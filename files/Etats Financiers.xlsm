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16.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trlProps/ctrlProp17.xml" ContentType="application/vnd.ms-excel.controlproperties+xml"/>
  <Override PartName="/xl/drawings/drawing16.xml" ContentType="application/vnd.openxmlformats-officedocument.drawing+xml"/>
  <Override PartName="/xl/ctrlProps/ctrlProp18.xml" ContentType="application/vnd.ms-excel.controlproperties+xml"/>
  <Override PartName="/xl/drawings/drawing17.xml" ContentType="application/vnd.openxmlformats-officedocument.drawing+xml"/>
  <Override PartName="/xl/ctrlProps/ctrlProp1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Users\bfsow\Desktop\SPEEDY OHADA\"/>
    </mc:Choice>
  </mc:AlternateContent>
  <xr:revisionPtr revIDLastSave="0" documentId="13_ncr:1_{30200E9A-A411-4C97-8F04-FDDCD7E6F412}" xr6:coauthVersionLast="47" xr6:coauthVersionMax="47" xr10:uidLastSave="{00000000-0000-0000-0000-000000000000}"/>
  <bookViews>
    <workbookView xWindow="-120" yWindow="-120" windowWidth="29040" windowHeight="15720" tabRatio="914" firstSheet="1" activeTab="11" xr2:uid="{00000000-000D-0000-FFFF-FFFF00000000}"/>
  </bookViews>
  <sheets>
    <sheet name="PAGE DE GARDE" sheetId="1" r:id="rId1"/>
    <sheet name="FICHE R1" sheetId="2" r:id="rId2"/>
    <sheet name="FICHE R2" sheetId="3" r:id="rId3"/>
    <sheet name="dirigeants" sheetId="4" r:id="rId4"/>
    <sheet name="ACTIF" sheetId="5" r:id="rId5"/>
    <sheet name="PASSIF" sheetId="6" r:id="rId6"/>
    <sheet name="BILAN paysage" sheetId="7" r:id="rId7"/>
    <sheet name="COMPTE DE RESULTAT" sheetId="8" r:id="rId8"/>
    <sheet name="TABLEAU DE FLUX DE TRESORERIE" sheetId="9" r:id="rId9"/>
    <sheet name="NOTES ANNEXES" sheetId="10" r:id="rId10"/>
    <sheet name="Imprimer" sheetId="64" r:id="rId11"/>
    <sheet name="NOTE 1" sheetId="11" r:id="rId12"/>
    <sheet name="NOTE 2" sheetId="12" r:id="rId13"/>
    <sheet name="NOTE 3 A" sheetId="13" r:id="rId14"/>
    <sheet name="NOTE 3 B" sheetId="14" r:id="rId15"/>
    <sheet name="NOTE 3 C" sheetId="15" r:id="rId16"/>
    <sheet name="NOTE 3C Bis" sheetId="16" r:id="rId17"/>
    <sheet name="NOTE 3 D" sheetId="17" r:id="rId18"/>
    <sheet name="NOTE 3 E" sheetId="18" r:id="rId19"/>
    <sheet name="NOTE 4" sheetId="19" r:id="rId20"/>
    <sheet name="NOTE 5" sheetId="20" r:id="rId21"/>
    <sheet name="NOTE 6" sheetId="21" r:id="rId22"/>
    <sheet name="NOTE 7" sheetId="22" r:id="rId23"/>
    <sheet name="NOTE 8" sheetId="23" r:id="rId24"/>
    <sheet name="NOTE 8 A" sheetId="24" r:id="rId25"/>
    <sheet name="NOTE 8 B" sheetId="25" r:id="rId26"/>
    <sheet name="NOTE 8 C" sheetId="26" r:id="rId27"/>
    <sheet name="NOTE 9" sheetId="27" r:id="rId28"/>
    <sheet name="NOTE 10" sheetId="28" r:id="rId29"/>
    <sheet name="NOTE 11" sheetId="29" r:id="rId30"/>
    <sheet name="NOTE 12" sheetId="30" r:id="rId31"/>
    <sheet name="NOTE 13" sheetId="31" r:id="rId32"/>
    <sheet name="NOTE 14" sheetId="32" r:id="rId33"/>
    <sheet name="NOTE 15 A" sheetId="33" r:id="rId34"/>
    <sheet name="NOTE 15 B" sheetId="34" r:id="rId35"/>
    <sheet name="NOTE 16 A" sheetId="35" r:id="rId36"/>
    <sheet name="NOTE 16 B" sheetId="36" r:id="rId37"/>
    <sheet name="NOTE 16 B bis" sheetId="37" r:id="rId38"/>
    <sheet name="NOTE 16 C" sheetId="38" r:id="rId39"/>
    <sheet name="NOTE 17" sheetId="39" r:id="rId40"/>
    <sheet name="NOTE 18" sheetId="40" r:id="rId41"/>
    <sheet name="NOTE 19" sheetId="41" r:id="rId42"/>
    <sheet name="NOTE 20" sheetId="42" r:id="rId43"/>
    <sheet name="NOTE 21" sheetId="43" r:id="rId44"/>
    <sheet name="NOTE 22" sheetId="44" r:id="rId45"/>
    <sheet name="NOTE 23" sheetId="45" r:id="rId46"/>
    <sheet name="NOTE 24" sheetId="46" r:id="rId47"/>
    <sheet name="NOTE 25" sheetId="47" r:id="rId48"/>
    <sheet name="NOTE 26" sheetId="48" r:id="rId49"/>
    <sheet name="NOTE 27 A" sheetId="49" r:id="rId50"/>
    <sheet name="NOTE 27 B" sheetId="50" r:id="rId51"/>
    <sheet name="NOTE 28 A" sheetId="51" r:id="rId52"/>
    <sheet name="NOTE 28 B" sheetId="52" r:id="rId53"/>
    <sheet name="NOTE 28 C" sheetId="53" r:id="rId54"/>
    <sheet name="NOTE 29" sheetId="54" r:id="rId55"/>
    <sheet name="NOTE 30" sheetId="55" r:id="rId56"/>
    <sheet name="NOTE 31" sheetId="56" r:id="rId57"/>
    <sheet name="NOTE 32" sheetId="57" r:id="rId58"/>
    <sheet name="NOTE 33" sheetId="58" r:id="rId59"/>
    <sheet name="NOTE 34" sheetId="59" r:id="rId60"/>
    <sheet name="NOTE 35" sheetId="60" r:id="rId61"/>
    <sheet name="NOTE 36 TABLEAU DE CODES" sheetId="61" r:id="rId62"/>
    <sheet name="CODES ACTIVITES ECONOMIQUES" sheetId="62" r:id="rId63"/>
    <sheet name="DETAIL DES CHARGES" sheetId="63" r:id="rId64"/>
  </sheets>
  <externalReferences>
    <externalReference r:id="rId65"/>
  </externalReferences>
  <definedNames>
    <definedName name="_xlnm.Print_Area" localSheetId="4">ACTIF!$B$2:$K$44</definedName>
    <definedName name="_xlnm.Print_Area" localSheetId="6">'BILAN paysage'!$B$1:$O$38</definedName>
    <definedName name="_xlnm.Print_Area" localSheetId="62">'CODES ACTIVITES ECONOMIQUES'!$C$3:$E$84</definedName>
    <definedName name="_xlnm.Print_Area" localSheetId="7">'COMPTE DE RESULTAT'!$B$2:$J$141</definedName>
    <definedName name="_xlnm.Print_Area" localSheetId="63">'DETAIL DES CHARGES'!$B$1:$K$310</definedName>
    <definedName name="_xlnm.Print_Area" localSheetId="3">dirigeants!$B$1:$J$66</definedName>
    <definedName name="_xlnm.Print_Area" localSheetId="1">'FICHE R1'!$B$1:$V$65</definedName>
    <definedName name="_xlnm.Print_Area" localSheetId="2">'FICHE R2'!$B$2:$T$57</definedName>
    <definedName name="_xlnm.Print_Area" localSheetId="11">'NOTE 1'!$B$2:$H$61</definedName>
    <definedName name="_xlnm.Print_Area" localSheetId="28">'NOTE 10'!$B$2:$G$30</definedName>
    <definedName name="_xlnm.Print_Area" localSheetId="29">'NOTE 11'!$B$2:$G$36</definedName>
    <definedName name="_xlnm.Print_Area" localSheetId="30">'NOTE 12'!$B$2:$H$64</definedName>
    <definedName name="_xlnm.Print_Area" localSheetId="31">'NOTE 13'!$B$2:$H$42</definedName>
    <definedName name="_xlnm.Print_Area" localSheetId="32">'NOTE 14'!$B$4:$G$39</definedName>
    <definedName name="_xlnm.Print_Area" localSheetId="33">'NOTE 15 A'!$B$2:$J$42</definedName>
    <definedName name="_xlnm.Print_Area" localSheetId="34">'NOTE 15 B'!$B$2:$J$30</definedName>
    <definedName name="_xlnm.Print_Area" localSheetId="35">'NOTE 16 A'!$B$2:$J$53</definedName>
    <definedName name="_xlnm.Print_Area" localSheetId="36">'NOTE 16 B'!$B$2:$I$46</definedName>
    <definedName name="_xlnm.Print_Area" localSheetId="37">'NOTE 16 B bis'!$B$2:$H$32</definedName>
    <definedName name="_xlnm.Print_Area" localSheetId="38">'NOTE 16 C'!$B$2:$H$31</definedName>
    <definedName name="_xlnm.Print_Area" localSheetId="39">'NOTE 17'!$B$2:$K$42</definedName>
    <definedName name="_xlnm.Print_Area" localSheetId="40">'NOTE 18'!$B$4:$J$40</definedName>
    <definedName name="_xlnm.Print_Area" localSheetId="41">'NOTE 19'!$B$2:$P$40</definedName>
    <definedName name="_xlnm.Print_Area" localSheetId="12">'NOTE 2'!$B$2:$H$59</definedName>
    <definedName name="_xlnm.Print_Area" localSheetId="42">'NOTE 20'!$B$2:$G$32</definedName>
    <definedName name="_xlnm.Print_Area" localSheetId="43">'NOTE 21'!$B$2:$I$68</definedName>
    <definedName name="_xlnm.Print_Area" localSheetId="44">'NOTE 22'!$B$2:$H$53</definedName>
    <definedName name="_xlnm.Print_Area" localSheetId="45">'NOTE 23'!$B$2:$G$30</definedName>
    <definedName name="_xlnm.Print_Area" localSheetId="46">'NOTE 24'!$B$2:$G$38</definedName>
    <definedName name="_xlnm.Print_Area" localSheetId="47">'NOTE 25'!$B$2:$G$28</definedName>
    <definedName name="_xlnm.Print_Area" localSheetId="48">'NOTE 26'!$B$2:$H$34</definedName>
    <definedName name="_xlnm.Print_Area" localSheetId="49">'NOTE 27 A'!$B$2:$G$32</definedName>
    <definedName name="_xlnm.Print_Area" localSheetId="50">'NOTE 27 B'!$B$2:$T$43</definedName>
    <definedName name="_xlnm.Print_Area" localSheetId="51">'NOTE 28 A'!$B$2:$M$35</definedName>
    <definedName name="_xlnm.Print_Area" localSheetId="52">'NOTE 28 B'!$B$2:$L$46</definedName>
    <definedName name="_xlnm.Print_Area" localSheetId="53">'NOTE 28 C'!$B$2:$K$39</definedName>
    <definedName name="_xlnm.Print_Area" localSheetId="54">'NOTE 29'!$B$2:$H$44</definedName>
    <definedName name="_xlnm.Print_Area" localSheetId="13">'NOTE 3 A'!$B$5:$J$43</definedName>
    <definedName name="_xlnm.Print_Area" localSheetId="14">'NOTE 3 B'!$B$2:$K$29</definedName>
    <definedName name="_xlnm.Print_Area" localSheetId="15">'NOTE 3 C'!$B$2:$G$36</definedName>
    <definedName name="_xlnm.Print_Area" localSheetId="17">'NOTE 3 D'!$B$2:$H$32</definedName>
    <definedName name="_xlnm.Print_Area" localSheetId="18">'NOTE 3 E'!$B$2:$I$58</definedName>
    <definedName name="_xlnm.Print_Area" localSheetId="55">'NOTE 30'!$B$2:$H$46</definedName>
    <definedName name="_xlnm.Print_Area" localSheetId="56">'NOTE 31'!$B$2:$H$40</definedName>
    <definedName name="_xlnm.Print_Area" localSheetId="57">'NOTE 32'!$B$2:$K$38</definedName>
    <definedName name="_xlnm.Print_Area" localSheetId="58">'NOTE 33'!$B$2:$J$38</definedName>
    <definedName name="_xlnm.Print_Area" localSheetId="59">'NOTE 34'!$B$2:$H$69</definedName>
    <definedName name="_xlnm.Print_Area" localSheetId="60">'NOTE 35'!$B$2:$G$58</definedName>
    <definedName name="_xlnm.Print_Area" localSheetId="61">'NOTE 36 TABLEAU DE CODES'!$B$2:$K$43</definedName>
    <definedName name="_xlnm.Print_Area" localSheetId="16">'NOTE 3C Bis'!$B$2:$L$35</definedName>
    <definedName name="_xlnm.Print_Area" localSheetId="19">'NOTE 4'!$B$2:$I$39</definedName>
    <definedName name="_xlnm.Print_Area" localSheetId="20">'NOTE 5'!$B$1:$G$30</definedName>
    <definedName name="_xlnm.Print_Area" localSheetId="21">'NOTE 6'!$B$2:$G$36</definedName>
    <definedName name="_xlnm.Print_Area" localSheetId="22">'NOTE 7'!$B$2:$I$38</definedName>
    <definedName name="_xlnm.Print_Area" localSheetId="23">'NOTE 8'!$B$2:$I$35</definedName>
    <definedName name="_xlnm.Print_Area" localSheetId="24">'NOTE 8 A'!$B$2:$I$31</definedName>
    <definedName name="_xlnm.Print_Area" localSheetId="25">'NOTE 8 B'!$B$2:$K$22</definedName>
    <definedName name="_xlnm.Print_Area" localSheetId="26">'NOTE 8 C'!$B$2:$K$22</definedName>
    <definedName name="_xlnm.Print_Area" localSheetId="27">'NOTE 9'!$B$2:$G$31</definedName>
    <definedName name="_xlnm.Print_Area" localSheetId="9">'NOTES ANNEXES'!$B$1:$K$71</definedName>
    <definedName name="_xlnm.Print_Area" localSheetId="0">'PAGE DE GARDE'!$C$1:$Q$134</definedName>
    <definedName name="_xlnm.Print_Area" localSheetId="5">PASSIF!$B$2:$J$41</definedName>
    <definedName name="_xlnm.Print_Area" localSheetId="8">'TABLEAU DE FLUX DE TRESORERIE'!$B$2:$I$103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2" i="9" l="1"/>
  <c r="I29" i="9"/>
  <c r="I37" i="5"/>
  <c r="J37" i="5"/>
  <c r="K37" i="5"/>
  <c r="H37" i="5"/>
  <c r="H31" i="7"/>
  <c r="I31" i="7"/>
  <c r="J31" i="7"/>
  <c r="G31" i="7"/>
  <c r="I89" i="9" l="1"/>
  <c r="C25" i="50" l="1"/>
  <c r="P22" i="50"/>
  <c r="P24" i="50"/>
  <c r="T20" i="50"/>
  <c r="B22" i="46"/>
  <c r="B17" i="46"/>
  <c r="B14" i="46"/>
  <c r="B13" i="46"/>
  <c r="B11" i="46"/>
  <c r="F12" i="44" l="1"/>
  <c r="F39" i="44"/>
  <c r="B16" i="58" l="1"/>
  <c r="C16" i="58"/>
  <c r="D16" i="58"/>
  <c r="E16" i="58"/>
  <c r="F16" i="58"/>
  <c r="G16" i="58"/>
  <c r="H16" i="58"/>
  <c r="I16" i="58"/>
  <c r="J16" i="58"/>
  <c r="B17" i="58"/>
  <c r="C17" i="58"/>
  <c r="D17" i="58"/>
  <c r="E17" i="58"/>
  <c r="F17" i="58"/>
  <c r="G17" i="58"/>
  <c r="H17" i="58"/>
  <c r="I17" i="58"/>
  <c r="J17" i="58"/>
  <c r="B18" i="58"/>
  <c r="C18" i="58"/>
  <c r="D18" i="58"/>
  <c r="E18" i="58"/>
  <c r="F18" i="58"/>
  <c r="G18" i="58"/>
  <c r="H18" i="58"/>
  <c r="I18" i="58"/>
  <c r="J18" i="58"/>
  <c r="B19" i="58"/>
  <c r="C19" i="58"/>
  <c r="D19" i="58"/>
  <c r="E19" i="58"/>
  <c r="F19" i="58"/>
  <c r="G19" i="58"/>
  <c r="H19" i="58"/>
  <c r="I19" i="58"/>
  <c r="J19" i="58"/>
  <c r="B20" i="58"/>
  <c r="C20" i="58"/>
  <c r="D20" i="58"/>
  <c r="E20" i="58"/>
  <c r="F20" i="58"/>
  <c r="G20" i="58"/>
  <c r="H20" i="58"/>
  <c r="I20" i="58"/>
  <c r="J20" i="58"/>
  <c r="B21" i="58"/>
  <c r="C21" i="58"/>
  <c r="D21" i="58"/>
  <c r="E21" i="58"/>
  <c r="F21" i="58"/>
  <c r="G21" i="58"/>
  <c r="H21" i="58"/>
  <c r="I21" i="58"/>
  <c r="J21" i="58"/>
  <c r="B22" i="58"/>
  <c r="C22" i="58"/>
  <c r="D22" i="58"/>
  <c r="E22" i="58"/>
  <c r="F22" i="58"/>
  <c r="G22" i="58"/>
  <c r="H22" i="58"/>
  <c r="I22" i="58"/>
  <c r="J22" i="58"/>
  <c r="B23" i="58"/>
  <c r="C23" i="58"/>
  <c r="D23" i="58"/>
  <c r="E23" i="58"/>
  <c r="F23" i="58"/>
  <c r="G23" i="58"/>
  <c r="H23" i="58"/>
  <c r="I23" i="58"/>
  <c r="J23" i="58"/>
  <c r="B24" i="58"/>
  <c r="C24" i="58"/>
  <c r="D24" i="58"/>
  <c r="E24" i="58"/>
  <c r="F24" i="58"/>
  <c r="G24" i="58"/>
  <c r="H24" i="58"/>
  <c r="I24" i="58"/>
  <c r="J24" i="58"/>
  <c r="B25" i="58"/>
  <c r="C25" i="58"/>
  <c r="D25" i="58"/>
  <c r="E25" i="58"/>
  <c r="F25" i="58"/>
  <c r="G25" i="58"/>
  <c r="H25" i="58"/>
  <c r="I25" i="58"/>
  <c r="J25" i="58"/>
  <c r="B26" i="58"/>
  <c r="C26" i="58"/>
  <c r="D26" i="58"/>
  <c r="E26" i="58"/>
  <c r="F26" i="58"/>
  <c r="G26" i="58"/>
  <c r="H26" i="58"/>
  <c r="I26" i="58"/>
  <c r="J26" i="58"/>
  <c r="B27" i="58"/>
  <c r="C27" i="58"/>
  <c r="D27" i="58"/>
  <c r="E27" i="58"/>
  <c r="F27" i="58"/>
  <c r="G27" i="58"/>
  <c r="H27" i="58"/>
  <c r="I27" i="58"/>
  <c r="J27" i="58"/>
  <c r="B28" i="58"/>
  <c r="C28" i="58"/>
  <c r="D28" i="58"/>
  <c r="E28" i="58"/>
  <c r="F28" i="58"/>
  <c r="G28" i="58"/>
  <c r="H28" i="58"/>
  <c r="I28" i="58"/>
  <c r="J28" i="58"/>
  <c r="B29" i="58"/>
  <c r="C29" i="58"/>
  <c r="D29" i="58"/>
  <c r="E29" i="58"/>
  <c r="F29" i="58"/>
  <c r="G29" i="58"/>
  <c r="H29" i="58"/>
  <c r="I29" i="58"/>
  <c r="J29" i="58"/>
  <c r="B30" i="58"/>
  <c r="C30" i="58"/>
  <c r="D30" i="58"/>
  <c r="E30" i="58"/>
  <c r="F30" i="58"/>
  <c r="G30" i="58"/>
  <c r="H30" i="58"/>
  <c r="I30" i="58"/>
  <c r="J30" i="58"/>
  <c r="B31" i="58"/>
  <c r="C31" i="58"/>
  <c r="D31" i="58"/>
  <c r="E31" i="58"/>
  <c r="F31" i="58"/>
  <c r="G31" i="58"/>
  <c r="H31" i="58"/>
  <c r="I31" i="58"/>
  <c r="J31" i="58"/>
  <c r="B32" i="58"/>
  <c r="C32" i="58"/>
  <c r="D32" i="58"/>
  <c r="E32" i="58"/>
  <c r="F32" i="58"/>
  <c r="G32" i="58"/>
  <c r="H32" i="58"/>
  <c r="I32" i="58"/>
  <c r="J32" i="58"/>
  <c r="B33" i="58"/>
  <c r="C33" i="58"/>
  <c r="D33" i="58"/>
  <c r="E33" i="58"/>
  <c r="F33" i="58"/>
  <c r="G33" i="58"/>
  <c r="H33" i="58"/>
  <c r="I33" i="58"/>
  <c r="J33" i="58"/>
  <c r="B34" i="58"/>
  <c r="C34" i="58"/>
  <c r="D34" i="58"/>
  <c r="E34" i="58"/>
  <c r="F34" i="58"/>
  <c r="G34" i="58"/>
  <c r="H34" i="58"/>
  <c r="I34" i="58"/>
  <c r="J34" i="58"/>
  <c r="B35" i="58"/>
  <c r="C35" i="58"/>
  <c r="D35" i="58"/>
  <c r="E35" i="58"/>
  <c r="F35" i="58"/>
  <c r="G35" i="58"/>
  <c r="H35" i="58"/>
  <c r="I35" i="58"/>
  <c r="J35" i="58"/>
  <c r="B36" i="58"/>
  <c r="C36" i="58"/>
  <c r="D36" i="58"/>
  <c r="E36" i="58"/>
  <c r="F36" i="58"/>
  <c r="G36" i="58"/>
  <c r="H36" i="58"/>
  <c r="I36" i="58"/>
  <c r="J36" i="58"/>
  <c r="C37" i="58"/>
  <c r="D37" i="58"/>
  <c r="E37" i="58"/>
  <c r="F37" i="58"/>
  <c r="G37" i="58"/>
  <c r="H37" i="58"/>
  <c r="I37" i="58"/>
  <c r="J37" i="58"/>
  <c r="B38" i="58"/>
  <c r="C38" i="58"/>
  <c r="D38" i="58"/>
  <c r="E38" i="58"/>
  <c r="F38" i="58"/>
  <c r="G38" i="58"/>
  <c r="H38" i="58"/>
  <c r="I38" i="58"/>
  <c r="J38" i="58"/>
  <c r="C15" i="58"/>
  <c r="D15" i="58"/>
  <c r="E15" i="58"/>
  <c r="F15" i="58"/>
  <c r="G15" i="58"/>
  <c r="H15" i="58"/>
  <c r="I15" i="58"/>
  <c r="J15" i="58"/>
  <c r="B15" i="58"/>
  <c r="D37" i="57"/>
  <c r="E37" i="57"/>
  <c r="F37" i="57"/>
  <c r="G37" i="57"/>
  <c r="H37" i="57"/>
  <c r="I37" i="57"/>
  <c r="J37" i="57"/>
  <c r="K37" i="57"/>
  <c r="D38" i="57"/>
  <c r="E38" i="57"/>
  <c r="F38" i="57"/>
  <c r="G38" i="57"/>
  <c r="H38" i="57"/>
  <c r="I38" i="57"/>
  <c r="J38" i="57"/>
  <c r="K38" i="57"/>
  <c r="C38" i="57"/>
  <c r="D36" i="57"/>
  <c r="E36" i="57"/>
  <c r="F36" i="57"/>
  <c r="G36" i="57"/>
  <c r="H36" i="57"/>
  <c r="I36" i="57"/>
  <c r="J36" i="57"/>
  <c r="K36" i="57"/>
  <c r="C37" i="57"/>
  <c r="C12" i="57"/>
  <c r="D12" i="57"/>
  <c r="E12" i="57"/>
  <c r="F12" i="57"/>
  <c r="G12" i="57"/>
  <c r="H12" i="57"/>
  <c r="I12" i="57"/>
  <c r="J12" i="57"/>
  <c r="K12" i="57"/>
  <c r="C13" i="57"/>
  <c r="D13" i="57"/>
  <c r="E13" i="57"/>
  <c r="F13" i="57"/>
  <c r="G13" i="57"/>
  <c r="H13" i="57"/>
  <c r="I13" i="57"/>
  <c r="J13" i="57"/>
  <c r="K13" i="57"/>
  <c r="C14" i="57"/>
  <c r="D14" i="57"/>
  <c r="E14" i="57"/>
  <c r="F14" i="57"/>
  <c r="G14" i="57"/>
  <c r="H14" i="57"/>
  <c r="I14" i="57"/>
  <c r="J14" i="57"/>
  <c r="K14" i="57"/>
  <c r="C15" i="57"/>
  <c r="D15" i="57"/>
  <c r="E15" i="57"/>
  <c r="F15" i="57"/>
  <c r="G15" i="57"/>
  <c r="H15" i="57"/>
  <c r="I15" i="57"/>
  <c r="J15" i="57"/>
  <c r="K15" i="57"/>
  <c r="C16" i="57"/>
  <c r="D16" i="57"/>
  <c r="E16" i="57"/>
  <c r="F16" i="57"/>
  <c r="G16" i="57"/>
  <c r="H16" i="57"/>
  <c r="I16" i="57"/>
  <c r="J16" i="57"/>
  <c r="K16" i="57"/>
  <c r="C17" i="57"/>
  <c r="D17" i="57"/>
  <c r="E17" i="57"/>
  <c r="F17" i="57"/>
  <c r="G17" i="57"/>
  <c r="H17" i="57"/>
  <c r="I17" i="57"/>
  <c r="J17" i="57"/>
  <c r="K17" i="57"/>
  <c r="C18" i="57"/>
  <c r="D18" i="57"/>
  <c r="E18" i="57"/>
  <c r="F18" i="57"/>
  <c r="G18" i="57"/>
  <c r="H18" i="57"/>
  <c r="I18" i="57"/>
  <c r="J18" i="57"/>
  <c r="K18" i="57"/>
  <c r="C19" i="57"/>
  <c r="D19" i="57"/>
  <c r="E19" i="57"/>
  <c r="F19" i="57"/>
  <c r="G19" i="57"/>
  <c r="H19" i="57"/>
  <c r="I19" i="57"/>
  <c r="J19" i="57"/>
  <c r="K19" i="57"/>
  <c r="C20" i="57"/>
  <c r="D20" i="57"/>
  <c r="E20" i="57"/>
  <c r="F20" i="57"/>
  <c r="G20" i="57"/>
  <c r="H20" i="57"/>
  <c r="I20" i="57"/>
  <c r="J20" i="57"/>
  <c r="K20" i="57"/>
  <c r="C21" i="57"/>
  <c r="D21" i="57"/>
  <c r="E21" i="57"/>
  <c r="F21" i="57"/>
  <c r="G21" i="57"/>
  <c r="H21" i="57"/>
  <c r="I21" i="57"/>
  <c r="J21" i="57"/>
  <c r="K21" i="57"/>
  <c r="C22" i="57"/>
  <c r="D22" i="57"/>
  <c r="E22" i="57"/>
  <c r="F22" i="57"/>
  <c r="G22" i="57"/>
  <c r="H22" i="57"/>
  <c r="I22" i="57"/>
  <c r="J22" i="57"/>
  <c r="K22" i="57"/>
  <c r="C23" i="57"/>
  <c r="D23" i="57"/>
  <c r="E23" i="57"/>
  <c r="F23" i="57"/>
  <c r="G23" i="57"/>
  <c r="H23" i="57"/>
  <c r="I23" i="57"/>
  <c r="J23" i="57"/>
  <c r="K23" i="57"/>
  <c r="C24" i="57"/>
  <c r="D24" i="57"/>
  <c r="E24" i="57"/>
  <c r="F24" i="57"/>
  <c r="G24" i="57"/>
  <c r="H24" i="57"/>
  <c r="I24" i="57"/>
  <c r="J24" i="57"/>
  <c r="K24" i="57"/>
  <c r="C25" i="57"/>
  <c r="D25" i="57"/>
  <c r="E25" i="57"/>
  <c r="F25" i="57"/>
  <c r="G25" i="57"/>
  <c r="H25" i="57"/>
  <c r="I25" i="57"/>
  <c r="J25" i="57"/>
  <c r="K25" i="57"/>
  <c r="C26" i="57"/>
  <c r="D26" i="57"/>
  <c r="E26" i="57"/>
  <c r="F26" i="57"/>
  <c r="G26" i="57"/>
  <c r="H26" i="57"/>
  <c r="I26" i="57"/>
  <c r="J26" i="57"/>
  <c r="K26" i="57"/>
  <c r="C27" i="57"/>
  <c r="D27" i="57"/>
  <c r="E27" i="57"/>
  <c r="F27" i="57"/>
  <c r="G27" i="57"/>
  <c r="H27" i="57"/>
  <c r="I27" i="57"/>
  <c r="J27" i="57"/>
  <c r="K27" i="57"/>
  <c r="C28" i="57"/>
  <c r="D28" i="57"/>
  <c r="E28" i="57"/>
  <c r="F28" i="57"/>
  <c r="G28" i="57"/>
  <c r="H28" i="57"/>
  <c r="I28" i="57"/>
  <c r="J28" i="57"/>
  <c r="K28" i="57"/>
  <c r="C29" i="57"/>
  <c r="D29" i="57"/>
  <c r="E29" i="57"/>
  <c r="F29" i="57"/>
  <c r="G29" i="57"/>
  <c r="H29" i="57"/>
  <c r="I29" i="57"/>
  <c r="J29" i="57"/>
  <c r="K29" i="57"/>
  <c r="C30" i="57"/>
  <c r="D30" i="57"/>
  <c r="E30" i="57"/>
  <c r="F30" i="57"/>
  <c r="G30" i="57"/>
  <c r="H30" i="57"/>
  <c r="I30" i="57"/>
  <c r="J30" i="57"/>
  <c r="K30" i="57"/>
  <c r="C31" i="57"/>
  <c r="D31" i="57"/>
  <c r="E31" i="57"/>
  <c r="F31" i="57"/>
  <c r="G31" i="57"/>
  <c r="H31" i="57"/>
  <c r="I31" i="57"/>
  <c r="J31" i="57"/>
  <c r="K31" i="57"/>
  <c r="C32" i="57"/>
  <c r="D32" i="57"/>
  <c r="E32" i="57"/>
  <c r="F32" i="57"/>
  <c r="G32" i="57"/>
  <c r="H32" i="57"/>
  <c r="I32" i="57"/>
  <c r="J32" i="57"/>
  <c r="K32" i="57"/>
  <c r="C33" i="57"/>
  <c r="D33" i="57"/>
  <c r="E33" i="57"/>
  <c r="F33" i="57"/>
  <c r="G33" i="57"/>
  <c r="H33" i="57"/>
  <c r="I33" i="57"/>
  <c r="J33" i="57"/>
  <c r="K33" i="57"/>
  <c r="C34" i="57"/>
  <c r="D34" i="57"/>
  <c r="E34" i="57"/>
  <c r="F34" i="57"/>
  <c r="G34" i="57"/>
  <c r="H34" i="57"/>
  <c r="I34" i="57"/>
  <c r="J34" i="57"/>
  <c r="K34" i="57"/>
  <c r="C35" i="57"/>
  <c r="D35" i="57"/>
  <c r="E35" i="57"/>
  <c r="F35" i="57"/>
  <c r="G35" i="57"/>
  <c r="H35" i="57"/>
  <c r="I35" i="57"/>
  <c r="J35" i="57"/>
  <c r="K35" i="57"/>
  <c r="C36" i="57"/>
  <c r="B13" i="57"/>
  <c r="B14" i="57"/>
  <c r="B15" i="57"/>
  <c r="B16" i="57"/>
  <c r="B17" i="57"/>
  <c r="B18" i="57"/>
  <c r="B19" i="57"/>
  <c r="B20" i="57"/>
  <c r="B21" i="57"/>
  <c r="B22" i="57"/>
  <c r="B23" i="57"/>
  <c r="B24" i="57"/>
  <c r="B25" i="57"/>
  <c r="B26" i="57"/>
  <c r="B27" i="57"/>
  <c r="B28" i="57"/>
  <c r="B29" i="57"/>
  <c r="B30" i="57"/>
  <c r="B31" i="57"/>
  <c r="B32" i="57"/>
  <c r="B33" i="57"/>
  <c r="B34" i="57"/>
  <c r="B35" i="57"/>
  <c r="B36" i="57"/>
  <c r="B12" i="57"/>
  <c r="E13" i="56"/>
  <c r="F13" i="56"/>
  <c r="G13" i="56"/>
  <c r="H13" i="56"/>
  <c r="D14" i="56"/>
  <c r="E14" i="56"/>
  <c r="F14" i="56"/>
  <c r="G14" i="56"/>
  <c r="H14" i="56"/>
  <c r="D15" i="56"/>
  <c r="E15" i="56"/>
  <c r="F15" i="56"/>
  <c r="G15" i="56"/>
  <c r="H15" i="56"/>
  <c r="D16" i="56"/>
  <c r="E16" i="56"/>
  <c r="F16" i="56"/>
  <c r="G16" i="56"/>
  <c r="H16" i="56"/>
  <c r="D17" i="56"/>
  <c r="E17" i="56"/>
  <c r="F17" i="56"/>
  <c r="G17" i="56"/>
  <c r="H17" i="56"/>
  <c r="D18" i="56"/>
  <c r="E18" i="56"/>
  <c r="F18" i="56"/>
  <c r="G18" i="56"/>
  <c r="H18" i="56"/>
  <c r="D19" i="56"/>
  <c r="E19" i="56"/>
  <c r="F19" i="56"/>
  <c r="G19" i="56"/>
  <c r="H19" i="56"/>
  <c r="E20" i="56"/>
  <c r="F20" i="56"/>
  <c r="G20" i="56"/>
  <c r="H20" i="56"/>
  <c r="F21" i="56"/>
  <c r="G21" i="56"/>
  <c r="H21" i="56"/>
  <c r="D22" i="56"/>
  <c r="E22" i="56"/>
  <c r="F22" i="56"/>
  <c r="G22" i="56"/>
  <c r="H22" i="56"/>
  <c r="E23" i="56"/>
  <c r="F23" i="56"/>
  <c r="G23" i="56"/>
  <c r="H23" i="56"/>
  <c r="E24" i="56"/>
  <c r="F24" i="56"/>
  <c r="G24" i="56"/>
  <c r="H24" i="56"/>
  <c r="F25" i="56"/>
  <c r="G25" i="56"/>
  <c r="H25" i="56"/>
  <c r="D26" i="56"/>
  <c r="E26" i="56"/>
  <c r="F26" i="56"/>
  <c r="G26" i="56"/>
  <c r="H26" i="56"/>
  <c r="E27" i="56"/>
  <c r="F27" i="56"/>
  <c r="G27" i="56"/>
  <c r="H27" i="56"/>
  <c r="E28" i="56"/>
  <c r="F28" i="56"/>
  <c r="G28" i="56"/>
  <c r="H28" i="56"/>
  <c r="D29" i="56"/>
  <c r="E29" i="56"/>
  <c r="F29" i="56"/>
  <c r="G29" i="56"/>
  <c r="H29" i="56"/>
  <c r="D30" i="56"/>
  <c r="E30" i="56"/>
  <c r="F30" i="56"/>
  <c r="G30" i="56"/>
  <c r="H30" i="56"/>
  <c r="D31" i="56"/>
  <c r="E31" i="56"/>
  <c r="F31" i="56"/>
  <c r="G31" i="56"/>
  <c r="H31" i="56"/>
  <c r="E32" i="56"/>
  <c r="F32" i="56"/>
  <c r="G32" i="56"/>
  <c r="H32" i="56"/>
  <c r="E33" i="56"/>
  <c r="F33" i="56"/>
  <c r="G33" i="56"/>
  <c r="H33" i="56"/>
  <c r="E34" i="56"/>
  <c r="F34" i="56"/>
  <c r="G34" i="56"/>
  <c r="H34" i="56"/>
  <c r="E12" i="56"/>
  <c r="F12" i="56"/>
  <c r="G12" i="56"/>
  <c r="H12" i="56"/>
  <c r="D12" i="56"/>
  <c r="E10" i="56"/>
  <c r="D10" i="56"/>
  <c r="C37" i="55"/>
  <c r="C38" i="55"/>
  <c r="C39" i="55"/>
  <c r="C40" i="55"/>
  <c r="C41" i="55"/>
  <c r="C42" i="55"/>
  <c r="C43" i="55"/>
  <c r="C44" i="55"/>
  <c r="C45" i="55"/>
  <c r="C46" i="55"/>
  <c r="C36" i="55"/>
  <c r="F25" i="55"/>
  <c r="G25" i="55"/>
  <c r="G24" i="55"/>
  <c r="F24" i="55"/>
  <c r="F13" i="55"/>
  <c r="G13" i="55"/>
  <c r="G12" i="55"/>
  <c r="F12" i="55"/>
  <c r="C34" i="54"/>
  <c r="C35" i="54"/>
  <c r="C36" i="54"/>
  <c r="C37" i="54"/>
  <c r="C38" i="54"/>
  <c r="C39" i="54"/>
  <c r="C40" i="54"/>
  <c r="C41" i="54"/>
  <c r="C42" i="54"/>
  <c r="C43" i="54"/>
  <c r="C44" i="54"/>
  <c r="C33" i="54"/>
  <c r="B20" i="54"/>
  <c r="B29" i="54"/>
  <c r="D11" i="53"/>
  <c r="C26" i="53"/>
  <c r="C27" i="53"/>
  <c r="C28" i="53"/>
  <c r="C29" i="53"/>
  <c r="C30" i="53"/>
  <c r="C31" i="53"/>
  <c r="C32" i="53"/>
  <c r="C33" i="53"/>
  <c r="C34" i="53"/>
  <c r="C35" i="53"/>
  <c r="C36" i="53"/>
  <c r="C37" i="53"/>
  <c r="C38" i="53"/>
  <c r="C39" i="53"/>
  <c r="C25" i="53"/>
  <c r="D34" i="52"/>
  <c r="D35" i="52"/>
  <c r="D36" i="52"/>
  <c r="D37" i="52"/>
  <c r="D38" i="52"/>
  <c r="D39" i="52"/>
  <c r="D40" i="52"/>
  <c r="D41" i="52"/>
  <c r="D42" i="52"/>
  <c r="D43" i="52"/>
  <c r="D44" i="52"/>
  <c r="D45" i="52"/>
  <c r="D46" i="52"/>
  <c r="D33" i="52"/>
  <c r="E20" i="52"/>
  <c r="G20" i="52"/>
  <c r="I20" i="52"/>
  <c r="E21" i="52"/>
  <c r="G21" i="52"/>
  <c r="I21" i="52"/>
  <c r="E22" i="52"/>
  <c r="G22" i="52"/>
  <c r="I22" i="52"/>
  <c r="G19" i="52"/>
  <c r="I19" i="52"/>
  <c r="E19" i="52"/>
  <c r="D27" i="51"/>
  <c r="D28" i="51"/>
  <c r="D29" i="51"/>
  <c r="D30" i="51"/>
  <c r="D31" i="51"/>
  <c r="D32" i="51"/>
  <c r="D33" i="51"/>
  <c r="D34" i="51"/>
  <c r="D35" i="51"/>
  <c r="D26" i="51"/>
  <c r="D33" i="50"/>
  <c r="D34" i="50"/>
  <c r="D35" i="50"/>
  <c r="D36" i="50"/>
  <c r="D37" i="50"/>
  <c r="D38" i="50"/>
  <c r="D39" i="50"/>
  <c r="D40" i="50"/>
  <c r="D41" i="50"/>
  <c r="D42" i="50"/>
  <c r="D43" i="50"/>
  <c r="D32" i="50"/>
  <c r="M28" i="50"/>
  <c r="N28" i="50"/>
  <c r="N27" i="50"/>
  <c r="M27" i="50"/>
  <c r="F28" i="50"/>
  <c r="G28" i="50"/>
  <c r="H28" i="50"/>
  <c r="I28" i="50"/>
  <c r="J28" i="50"/>
  <c r="K28" i="50"/>
  <c r="G27" i="50"/>
  <c r="H27" i="50"/>
  <c r="I27" i="50"/>
  <c r="J27" i="50"/>
  <c r="K27" i="50"/>
  <c r="F27" i="50"/>
  <c r="T24" i="50"/>
  <c r="S24" i="50"/>
  <c r="T22" i="50"/>
  <c r="S22" i="50"/>
  <c r="M23" i="50"/>
  <c r="N23" i="50"/>
  <c r="M24" i="50"/>
  <c r="N24" i="50"/>
  <c r="M25" i="50"/>
  <c r="N25" i="50"/>
  <c r="N22" i="50"/>
  <c r="M22" i="50"/>
  <c r="F23" i="50"/>
  <c r="G23" i="50"/>
  <c r="H23" i="50"/>
  <c r="I23" i="50"/>
  <c r="J23" i="50"/>
  <c r="K23" i="50"/>
  <c r="F24" i="50"/>
  <c r="G24" i="50"/>
  <c r="H24" i="50"/>
  <c r="I24" i="50"/>
  <c r="J24" i="50"/>
  <c r="K24" i="50"/>
  <c r="F25" i="50"/>
  <c r="G25" i="50"/>
  <c r="H25" i="50"/>
  <c r="I25" i="50"/>
  <c r="J25" i="50"/>
  <c r="K25" i="50"/>
  <c r="G22" i="50"/>
  <c r="H22" i="50"/>
  <c r="I22" i="50"/>
  <c r="J22" i="50"/>
  <c r="K22" i="50"/>
  <c r="F22" i="50"/>
  <c r="P18" i="50"/>
  <c r="Q18" i="50"/>
  <c r="R18" i="50"/>
  <c r="S18" i="50"/>
  <c r="Q17" i="50"/>
  <c r="R17" i="50"/>
  <c r="S17" i="50"/>
  <c r="P17" i="50"/>
  <c r="M18" i="50"/>
  <c r="N18" i="50"/>
  <c r="N17" i="50"/>
  <c r="M17" i="50"/>
  <c r="F18" i="50"/>
  <c r="G18" i="50"/>
  <c r="H18" i="50"/>
  <c r="I18" i="50"/>
  <c r="J18" i="50"/>
  <c r="K18" i="50"/>
  <c r="G17" i="50"/>
  <c r="H17" i="50"/>
  <c r="I17" i="50"/>
  <c r="J17" i="50"/>
  <c r="K17" i="50"/>
  <c r="F17" i="50"/>
  <c r="Q12" i="50"/>
  <c r="R12" i="50"/>
  <c r="S12" i="50"/>
  <c r="Q13" i="50"/>
  <c r="R13" i="50"/>
  <c r="S13" i="50"/>
  <c r="Q14" i="50"/>
  <c r="R14" i="50"/>
  <c r="S14" i="50"/>
  <c r="Q15" i="50"/>
  <c r="R15" i="50"/>
  <c r="S15" i="50"/>
  <c r="P13" i="50"/>
  <c r="P14" i="50"/>
  <c r="P15" i="50"/>
  <c r="P12" i="50"/>
  <c r="M13" i="50"/>
  <c r="N13" i="50"/>
  <c r="M14" i="50"/>
  <c r="N14" i="50"/>
  <c r="M15" i="50"/>
  <c r="N15" i="50"/>
  <c r="N12" i="50"/>
  <c r="M12" i="50"/>
  <c r="G12" i="50"/>
  <c r="H12" i="50"/>
  <c r="I12" i="50"/>
  <c r="J12" i="50"/>
  <c r="K12" i="50"/>
  <c r="G13" i="50"/>
  <c r="H13" i="50"/>
  <c r="I13" i="50"/>
  <c r="J13" i="50"/>
  <c r="K13" i="50"/>
  <c r="G14" i="50"/>
  <c r="H14" i="50"/>
  <c r="I14" i="50"/>
  <c r="J14" i="50"/>
  <c r="K14" i="50"/>
  <c r="G15" i="50"/>
  <c r="H15" i="50"/>
  <c r="I15" i="50"/>
  <c r="J15" i="50"/>
  <c r="K15" i="50"/>
  <c r="F13" i="50"/>
  <c r="F14" i="50"/>
  <c r="F15" i="50"/>
  <c r="F12" i="50"/>
  <c r="C22" i="49"/>
  <c r="C23" i="49"/>
  <c r="C24" i="49"/>
  <c r="C25" i="49"/>
  <c r="C26" i="49"/>
  <c r="C27" i="49"/>
  <c r="C28" i="49"/>
  <c r="C29" i="49"/>
  <c r="C30" i="49"/>
  <c r="C31" i="49"/>
  <c r="C32" i="49"/>
  <c r="C21" i="49"/>
  <c r="C25" i="48"/>
  <c r="C26" i="48"/>
  <c r="C27" i="48"/>
  <c r="C28" i="48"/>
  <c r="C29" i="48"/>
  <c r="C30" i="48"/>
  <c r="C31" i="48"/>
  <c r="C32" i="48"/>
  <c r="C33" i="48"/>
  <c r="C34" i="48"/>
  <c r="C24" i="48"/>
  <c r="C20" i="47"/>
  <c r="C21" i="47"/>
  <c r="C22" i="47"/>
  <c r="C23" i="47"/>
  <c r="C24" i="47"/>
  <c r="C25" i="47"/>
  <c r="C26" i="47"/>
  <c r="C27" i="47"/>
  <c r="C28" i="47"/>
  <c r="C19" i="47"/>
  <c r="C29" i="46"/>
  <c r="C30" i="46"/>
  <c r="C31" i="46"/>
  <c r="C32" i="46"/>
  <c r="C33" i="46"/>
  <c r="C34" i="46"/>
  <c r="C35" i="46"/>
  <c r="C36" i="46"/>
  <c r="C37" i="46"/>
  <c r="C38" i="46"/>
  <c r="C28" i="46"/>
  <c r="C21" i="45"/>
  <c r="C22" i="45"/>
  <c r="C23" i="45"/>
  <c r="C24" i="45"/>
  <c r="C25" i="45"/>
  <c r="C26" i="45"/>
  <c r="C27" i="45"/>
  <c r="C28" i="45"/>
  <c r="C29" i="45"/>
  <c r="C30" i="45"/>
  <c r="C20" i="45"/>
  <c r="C45" i="44"/>
  <c r="C46" i="44"/>
  <c r="C47" i="44"/>
  <c r="C48" i="44"/>
  <c r="C49" i="44"/>
  <c r="C50" i="44"/>
  <c r="C51" i="44"/>
  <c r="C52" i="44"/>
  <c r="C53" i="44"/>
  <c r="C44" i="44"/>
  <c r="G19" i="44"/>
  <c r="F19" i="44"/>
  <c r="G12" i="44"/>
  <c r="C60" i="43"/>
  <c r="C61" i="43"/>
  <c r="C62" i="43"/>
  <c r="C63" i="43"/>
  <c r="C64" i="43"/>
  <c r="C65" i="43"/>
  <c r="C66" i="43"/>
  <c r="C67" i="43"/>
  <c r="C68" i="43"/>
  <c r="C59" i="43"/>
  <c r="H19" i="43"/>
  <c r="G19" i="43"/>
  <c r="H12" i="43"/>
  <c r="G12" i="43"/>
  <c r="C24" i="42"/>
  <c r="C25" i="42"/>
  <c r="C26" i="42"/>
  <c r="C27" i="42"/>
  <c r="C28" i="42"/>
  <c r="C29" i="42"/>
  <c r="C30" i="42"/>
  <c r="C31" i="42"/>
  <c r="C32" i="42"/>
  <c r="C23" i="42"/>
  <c r="C33" i="41"/>
  <c r="C34" i="41"/>
  <c r="C35" i="41"/>
  <c r="C36" i="41"/>
  <c r="C37" i="41"/>
  <c r="C38" i="41"/>
  <c r="C39" i="41"/>
  <c r="C40" i="41"/>
  <c r="C32" i="41"/>
  <c r="J12" i="41"/>
  <c r="K12" i="41"/>
  <c r="L12" i="41"/>
  <c r="J13" i="41"/>
  <c r="K13" i="41"/>
  <c r="L13" i="41"/>
  <c r="J14" i="41"/>
  <c r="K14" i="41"/>
  <c r="L14" i="41"/>
  <c r="J15" i="41"/>
  <c r="K15" i="41"/>
  <c r="L15" i="41"/>
  <c r="J16" i="41"/>
  <c r="K16" i="41"/>
  <c r="L16" i="41"/>
  <c r="J18" i="41"/>
  <c r="K18" i="41"/>
  <c r="L18" i="41"/>
  <c r="J19" i="41"/>
  <c r="K19" i="41"/>
  <c r="L19" i="41"/>
  <c r="J20" i="41"/>
  <c r="K20" i="41"/>
  <c r="L20" i="41"/>
  <c r="J21" i="41"/>
  <c r="K21" i="41"/>
  <c r="L21" i="41"/>
  <c r="J22" i="41"/>
  <c r="K22" i="41"/>
  <c r="L22" i="41"/>
  <c r="J23" i="41"/>
  <c r="K23" i="41"/>
  <c r="L23" i="41"/>
  <c r="J24" i="41"/>
  <c r="K24" i="41"/>
  <c r="L24" i="41"/>
  <c r="J26" i="41"/>
  <c r="K26" i="41"/>
  <c r="L26" i="41"/>
  <c r="J27" i="41"/>
  <c r="K27" i="41"/>
  <c r="L27" i="41"/>
  <c r="J28" i="41"/>
  <c r="K28" i="41"/>
  <c r="L28" i="41"/>
  <c r="K11" i="41"/>
  <c r="L11" i="41"/>
  <c r="J11" i="41"/>
  <c r="C32" i="40"/>
  <c r="C33" i="40"/>
  <c r="C34" i="40"/>
  <c r="C35" i="40"/>
  <c r="C36" i="40"/>
  <c r="C37" i="40"/>
  <c r="C38" i="40"/>
  <c r="C39" i="40"/>
  <c r="C40" i="40"/>
  <c r="C31" i="40"/>
  <c r="H14" i="40"/>
  <c r="I14" i="40"/>
  <c r="J14" i="40"/>
  <c r="H15" i="40"/>
  <c r="I15" i="40"/>
  <c r="J15" i="40"/>
  <c r="H16" i="40"/>
  <c r="I16" i="40"/>
  <c r="J16" i="40"/>
  <c r="H17" i="40"/>
  <c r="I17" i="40"/>
  <c r="J17" i="40"/>
  <c r="H18" i="40"/>
  <c r="I18" i="40"/>
  <c r="J18" i="40"/>
  <c r="H19" i="40"/>
  <c r="I19" i="40"/>
  <c r="J19" i="40"/>
  <c r="H20" i="40"/>
  <c r="I20" i="40"/>
  <c r="J20" i="40"/>
  <c r="H21" i="40"/>
  <c r="I21" i="40"/>
  <c r="J21" i="40"/>
  <c r="H22" i="40"/>
  <c r="I22" i="40"/>
  <c r="J22" i="40"/>
  <c r="H23" i="40"/>
  <c r="I23" i="40"/>
  <c r="J23" i="40"/>
  <c r="H24" i="40"/>
  <c r="I24" i="40"/>
  <c r="J24" i="40"/>
  <c r="H25" i="40"/>
  <c r="I25" i="40"/>
  <c r="J25" i="40"/>
  <c r="H26" i="40"/>
  <c r="I26" i="40"/>
  <c r="J26" i="40"/>
  <c r="H27" i="40"/>
  <c r="I27" i="40"/>
  <c r="J27" i="40"/>
  <c r="H28" i="40"/>
  <c r="I28" i="40"/>
  <c r="J28" i="40"/>
  <c r="H29" i="40"/>
  <c r="I29" i="40"/>
  <c r="J29" i="40"/>
  <c r="I13" i="40"/>
  <c r="J13" i="40"/>
  <c r="H13" i="40"/>
  <c r="E14" i="40"/>
  <c r="D14" i="40"/>
  <c r="C33" i="39"/>
  <c r="C34" i="39"/>
  <c r="C35" i="39"/>
  <c r="C36" i="39"/>
  <c r="C37" i="39"/>
  <c r="C38" i="39"/>
  <c r="C39" i="39"/>
  <c r="C40" i="39"/>
  <c r="C41" i="39"/>
  <c r="C42" i="39"/>
  <c r="C32" i="39"/>
  <c r="G17" i="39"/>
  <c r="H17" i="39"/>
  <c r="I17" i="39"/>
  <c r="J17" i="39"/>
  <c r="F17" i="39"/>
  <c r="C30" i="38"/>
  <c r="C31" i="38"/>
  <c r="C21" i="38"/>
  <c r="C22" i="38"/>
  <c r="C23" i="38"/>
  <c r="C24" i="38"/>
  <c r="C25" i="38"/>
  <c r="C26" i="38"/>
  <c r="C27" i="38"/>
  <c r="C28" i="38"/>
  <c r="C29" i="38"/>
  <c r="C20" i="38"/>
  <c r="G12" i="38"/>
  <c r="H12" i="38"/>
  <c r="G13" i="38"/>
  <c r="H13" i="38"/>
  <c r="G14" i="38"/>
  <c r="H14" i="38"/>
  <c r="G15" i="38"/>
  <c r="H15" i="38"/>
  <c r="G16" i="38"/>
  <c r="H16" i="38"/>
  <c r="G17" i="38"/>
  <c r="H17" i="38"/>
  <c r="G18" i="38"/>
  <c r="H18" i="38"/>
  <c r="H11" i="38"/>
  <c r="G11" i="38"/>
  <c r="C25" i="37"/>
  <c r="C26" i="37"/>
  <c r="C27" i="37"/>
  <c r="C28" i="37"/>
  <c r="C29" i="37"/>
  <c r="C30" i="37"/>
  <c r="C31" i="37"/>
  <c r="C32" i="37"/>
  <c r="C24" i="37"/>
  <c r="E13" i="37"/>
  <c r="G13" i="37"/>
  <c r="E14" i="37"/>
  <c r="G14" i="37"/>
  <c r="G12" i="37"/>
  <c r="E12" i="37"/>
  <c r="F19" i="37"/>
  <c r="G19" i="37"/>
  <c r="H19" i="37"/>
  <c r="F20" i="37"/>
  <c r="G20" i="37"/>
  <c r="H20" i="37"/>
  <c r="F21" i="37"/>
  <c r="G21" i="37"/>
  <c r="H21" i="37"/>
  <c r="E20" i="37"/>
  <c r="E21" i="37"/>
  <c r="E19" i="37"/>
  <c r="C38" i="36"/>
  <c r="C39" i="36"/>
  <c r="C40" i="36"/>
  <c r="C41" i="36"/>
  <c r="C42" i="36"/>
  <c r="C43" i="36"/>
  <c r="C44" i="36"/>
  <c r="C45" i="36"/>
  <c r="C46" i="36"/>
  <c r="C37" i="36"/>
  <c r="G33" i="36"/>
  <c r="H33" i="36"/>
  <c r="I33" i="36"/>
  <c r="G34" i="36"/>
  <c r="H34" i="36"/>
  <c r="I34" i="36"/>
  <c r="G35" i="36"/>
  <c r="H35" i="36"/>
  <c r="I35" i="36"/>
  <c r="F34" i="36"/>
  <c r="F35" i="36"/>
  <c r="F33" i="36"/>
  <c r="F23" i="36"/>
  <c r="G23" i="36"/>
  <c r="F24" i="36"/>
  <c r="G24" i="36"/>
  <c r="F25" i="36"/>
  <c r="G25" i="36"/>
  <c r="F26" i="36"/>
  <c r="G26" i="36"/>
  <c r="F27" i="36"/>
  <c r="G27" i="36"/>
  <c r="F28" i="36"/>
  <c r="G28" i="36"/>
  <c r="G22" i="36"/>
  <c r="F22" i="36"/>
  <c r="G12" i="36"/>
  <c r="G13" i="36"/>
  <c r="G14" i="36"/>
  <c r="G15" i="36"/>
  <c r="G16" i="36"/>
  <c r="G17" i="36"/>
  <c r="F13" i="36"/>
  <c r="F14" i="36"/>
  <c r="F15" i="36"/>
  <c r="F16" i="36"/>
  <c r="F17" i="36"/>
  <c r="F12" i="36"/>
  <c r="C45" i="35"/>
  <c r="C46" i="35"/>
  <c r="C47" i="35"/>
  <c r="C48" i="35"/>
  <c r="C49" i="35"/>
  <c r="C50" i="35"/>
  <c r="C51" i="35"/>
  <c r="C52" i="35"/>
  <c r="C53" i="35"/>
  <c r="C44" i="35"/>
  <c r="I12" i="35"/>
  <c r="J12" i="35"/>
  <c r="I13" i="35"/>
  <c r="J13" i="35"/>
  <c r="I14" i="35"/>
  <c r="J14" i="35"/>
  <c r="I15" i="35"/>
  <c r="J15" i="35"/>
  <c r="I16" i="35"/>
  <c r="J16" i="35"/>
  <c r="I17" i="35"/>
  <c r="J17" i="35"/>
  <c r="I18" i="35"/>
  <c r="J18" i="35"/>
  <c r="I19" i="35"/>
  <c r="J19" i="35"/>
  <c r="I20" i="35"/>
  <c r="J20" i="35"/>
  <c r="I21" i="35"/>
  <c r="J21" i="35"/>
  <c r="I23" i="35"/>
  <c r="J23" i="35"/>
  <c r="I24" i="35"/>
  <c r="J24" i="35"/>
  <c r="I25" i="35"/>
  <c r="J25" i="35"/>
  <c r="I26" i="35"/>
  <c r="J26" i="35"/>
  <c r="I27" i="35"/>
  <c r="J27" i="35"/>
  <c r="I29" i="35"/>
  <c r="J29" i="35"/>
  <c r="I30" i="35"/>
  <c r="J30" i="35"/>
  <c r="I31" i="35"/>
  <c r="J31" i="35"/>
  <c r="I32" i="35"/>
  <c r="J32" i="35"/>
  <c r="I33" i="35"/>
  <c r="J33" i="35"/>
  <c r="I34" i="35"/>
  <c r="J34" i="35"/>
  <c r="I35" i="35"/>
  <c r="J35" i="35"/>
  <c r="I36" i="35"/>
  <c r="J36" i="35"/>
  <c r="I37" i="35"/>
  <c r="J37" i="35"/>
  <c r="I38" i="35"/>
  <c r="J38" i="35"/>
  <c r="I39" i="35"/>
  <c r="J39" i="35"/>
  <c r="I40" i="35"/>
  <c r="J40" i="35"/>
  <c r="I41" i="35"/>
  <c r="J41" i="35"/>
  <c r="H13" i="35"/>
  <c r="H14" i="35"/>
  <c r="H15" i="35"/>
  <c r="H16" i="35"/>
  <c r="H17" i="35"/>
  <c r="H18" i="35"/>
  <c r="H19" i="35"/>
  <c r="H20" i="35"/>
  <c r="H21" i="35"/>
  <c r="H23" i="35"/>
  <c r="H24" i="35"/>
  <c r="H25" i="35"/>
  <c r="H26" i="35"/>
  <c r="H27" i="35"/>
  <c r="H29" i="35"/>
  <c r="H30" i="35"/>
  <c r="H31" i="35"/>
  <c r="H32" i="35"/>
  <c r="H33" i="35"/>
  <c r="H34" i="35"/>
  <c r="H35" i="35"/>
  <c r="H36" i="35"/>
  <c r="H37" i="35"/>
  <c r="H38" i="35"/>
  <c r="H39" i="35"/>
  <c r="H40" i="35"/>
  <c r="H41" i="35"/>
  <c r="H12" i="35"/>
  <c r="C21" i="34"/>
  <c r="C22" i="34"/>
  <c r="C23" i="34"/>
  <c r="C24" i="34"/>
  <c r="C25" i="34"/>
  <c r="C26" i="34"/>
  <c r="C27" i="34"/>
  <c r="C28" i="34"/>
  <c r="C29" i="34"/>
  <c r="C30" i="34"/>
  <c r="C20" i="34"/>
  <c r="E12" i="34"/>
  <c r="F12" i="34"/>
  <c r="G12" i="34"/>
  <c r="E13" i="34"/>
  <c r="F13" i="34"/>
  <c r="G13" i="34"/>
  <c r="E14" i="34"/>
  <c r="F14" i="34"/>
  <c r="G14" i="34"/>
  <c r="E15" i="34"/>
  <c r="F15" i="34"/>
  <c r="G15" i="34"/>
  <c r="E16" i="34"/>
  <c r="G11" i="34"/>
  <c r="E11" i="34"/>
  <c r="F11" i="34"/>
  <c r="J12" i="34"/>
  <c r="J13" i="34"/>
  <c r="J14" i="34"/>
  <c r="J15" i="34"/>
  <c r="J11" i="34"/>
  <c r="C32" i="33"/>
  <c r="C33" i="33"/>
  <c r="C34" i="33"/>
  <c r="C35" i="33"/>
  <c r="C36" i="33"/>
  <c r="C37" i="33"/>
  <c r="C38" i="33"/>
  <c r="C39" i="33"/>
  <c r="C40" i="33"/>
  <c r="C41" i="33"/>
  <c r="C42" i="33"/>
  <c r="C31" i="33"/>
  <c r="I13" i="33"/>
  <c r="J13" i="33"/>
  <c r="I14" i="33"/>
  <c r="J14" i="33"/>
  <c r="I15" i="33"/>
  <c r="J15" i="33"/>
  <c r="I16" i="33"/>
  <c r="J16" i="33"/>
  <c r="I17" i="33"/>
  <c r="J17" i="33"/>
  <c r="I18" i="33"/>
  <c r="J18" i="33"/>
  <c r="I19" i="33"/>
  <c r="J19" i="33"/>
  <c r="I21" i="33"/>
  <c r="J21" i="33"/>
  <c r="I22" i="33"/>
  <c r="J22" i="33"/>
  <c r="I23" i="33"/>
  <c r="J23" i="33"/>
  <c r="I24" i="33"/>
  <c r="J24" i="33"/>
  <c r="I25" i="33"/>
  <c r="J25" i="33"/>
  <c r="I26" i="33"/>
  <c r="J26" i="33"/>
  <c r="I27" i="33"/>
  <c r="J27" i="33"/>
  <c r="J12" i="33"/>
  <c r="I12" i="33"/>
  <c r="D13" i="33"/>
  <c r="D14" i="33"/>
  <c r="D15" i="33"/>
  <c r="D16" i="33"/>
  <c r="D17" i="33"/>
  <c r="D18" i="33"/>
  <c r="D19" i="33"/>
  <c r="D20" i="33"/>
  <c r="D21" i="33"/>
  <c r="D22" i="33"/>
  <c r="D23" i="33"/>
  <c r="D24" i="33"/>
  <c r="D25" i="33"/>
  <c r="D26" i="33"/>
  <c r="D27" i="33"/>
  <c r="D28" i="33"/>
  <c r="D29" i="33"/>
  <c r="D12" i="33"/>
  <c r="C39" i="32"/>
  <c r="C29" i="32"/>
  <c r="C30" i="32"/>
  <c r="C31" i="32"/>
  <c r="C32" i="32"/>
  <c r="C33" i="32"/>
  <c r="C34" i="32"/>
  <c r="C35" i="32"/>
  <c r="C36" i="32"/>
  <c r="C37" i="32"/>
  <c r="C38" i="32"/>
  <c r="C28" i="32"/>
  <c r="C34" i="31"/>
  <c r="C35" i="31"/>
  <c r="C36" i="31"/>
  <c r="C37" i="31"/>
  <c r="C38" i="31"/>
  <c r="C39" i="31"/>
  <c r="C40" i="31"/>
  <c r="C41" i="31"/>
  <c r="C42" i="31"/>
  <c r="C33" i="31"/>
  <c r="E12" i="31"/>
  <c r="F12" i="31"/>
  <c r="G12" i="31"/>
  <c r="H12" i="31"/>
  <c r="E13" i="31"/>
  <c r="F13" i="31"/>
  <c r="G13" i="31"/>
  <c r="H13" i="31"/>
  <c r="E14" i="31"/>
  <c r="F14" i="31"/>
  <c r="G14" i="31"/>
  <c r="H14" i="31"/>
  <c r="E15" i="31"/>
  <c r="F15" i="31"/>
  <c r="G15" i="31"/>
  <c r="H15" i="31"/>
  <c r="E16" i="31"/>
  <c r="F16" i="31"/>
  <c r="G16" i="31"/>
  <c r="H16" i="31"/>
  <c r="E17" i="31"/>
  <c r="F17" i="31"/>
  <c r="G17" i="31"/>
  <c r="H17" i="31"/>
  <c r="E18" i="31"/>
  <c r="F18" i="31"/>
  <c r="G18" i="31"/>
  <c r="H18" i="31"/>
  <c r="E19" i="31"/>
  <c r="F19" i="31"/>
  <c r="G19" i="31"/>
  <c r="H19" i="31"/>
  <c r="E20" i="31"/>
  <c r="F20" i="31"/>
  <c r="G20" i="31"/>
  <c r="H20" i="31"/>
  <c r="E21" i="31"/>
  <c r="F21" i="31"/>
  <c r="G21" i="31"/>
  <c r="H21" i="31"/>
  <c r="E22" i="31"/>
  <c r="F22" i="31"/>
  <c r="G22" i="31"/>
  <c r="H22" i="31"/>
  <c r="E23" i="31"/>
  <c r="F23" i="31"/>
  <c r="G23" i="31"/>
  <c r="H23" i="31"/>
  <c r="E24" i="31"/>
  <c r="F24" i="31"/>
  <c r="G24" i="31"/>
  <c r="H24" i="31"/>
  <c r="E25" i="31"/>
  <c r="F25" i="31"/>
  <c r="G25" i="31"/>
  <c r="H25" i="31"/>
  <c r="E26" i="31"/>
  <c r="F26" i="31"/>
  <c r="G26" i="31"/>
  <c r="H26" i="31"/>
  <c r="E27" i="31"/>
  <c r="F27" i="31"/>
  <c r="G27" i="31"/>
  <c r="H27" i="31"/>
  <c r="E28" i="31"/>
  <c r="F28" i="31"/>
  <c r="G28" i="31"/>
  <c r="H28" i="31"/>
  <c r="D13" i="31"/>
  <c r="D14" i="31"/>
  <c r="D15" i="31"/>
  <c r="D16" i="31"/>
  <c r="D17" i="31"/>
  <c r="D18" i="31"/>
  <c r="D19" i="31"/>
  <c r="D20" i="31"/>
  <c r="D21" i="31"/>
  <c r="D22" i="31"/>
  <c r="D23" i="31"/>
  <c r="D24" i="31"/>
  <c r="D25" i="31"/>
  <c r="D26" i="31"/>
  <c r="D27" i="31"/>
  <c r="D28" i="31"/>
  <c r="D12" i="31"/>
  <c r="H10" i="31"/>
  <c r="B13" i="31"/>
  <c r="B14" i="31"/>
  <c r="B15" i="31"/>
  <c r="B16" i="31"/>
  <c r="B17" i="31"/>
  <c r="B18" i="31"/>
  <c r="B19" i="31"/>
  <c r="B20" i="31"/>
  <c r="B21" i="31"/>
  <c r="B22" i="31"/>
  <c r="B23" i="31"/>
  <c r="B24" i="31"/>
  <c r="B25" i="31"/>
  <c r="B26" i="31"/>
  <c r="B27" i="31"/>
  <c r="B28" i="31"/>
  <c r="B12" i="31"/>
  <c r="C60" i="30"/>
  <c r="C61" i="30"/>
  <c r="C62" i="30"/>
  <c r="C63" i="30"/>
  <c r="C64" i="30"/>
  <c r="C59" i="30"/>
  <c r="E53" i="30"/>
  <c r="E54" i="30"/>
  <c r="E55" i="30"/>
  <c r="E56" i="30"/>
  <c r="E57" i="30"/>
  <c r="D54" i="30"/>
  <c r="D55" i="30"/>
  <c r="D56" i="30"/>
  <c r="D57" i="30"/>
  <c r="D53" i="30"/>
  <c r="B54" i="30"/>
  <c r="B55" i="30"/>
  <c r="B56" i="30"/>
  <c r="B57" i="30"/>
  <c r="B53" i="30"/>
  <c r="D48" i="30"/>
  <c r="E48" i="30"/>
  <c r="D49" i="30"/>
  <c r="E49" i="30"/>
  <c r="D50" i="30"/>
  <c r="E50" i="30"/>
  <c r="D51" i="30"/>
  <c r="E51" i="30"/>
  <c r="E47" i="30"/>
  <c r="D47" i="30"/>
  <c r="B48" i="30"/>
  <c r="B49" i="30"/>
  <c r="B50" i="30"/>
  <c r="B51" i="30"/>
  <c r="B47" i="30"/>
  <c r="E27" i="30"/>
  <c r="F27" i="30"/>
  <c r="G27" i="30"/>
  <c r="E28" i="30"/>
  <c r="F28" i="30"/>
  <c r="G28" i="30"/>
  <c r="E29" i="30"/>
  <c r="F29" i="30"/>
  <c r="G29" i="30"/>
  <c r="E30" i="30"/>
  <c r="F30" i="30"/>
  <c r="G30" i="30"/>
  <c r="E31" i="30"/>
  <c r="F31" i="30"/>
  <c r="G31" i="30"/>
  <c r="E32" i="30"/>
  <c r="F32" i="30"/>
  <c r="G32" i="30"/>
  <c r="E33" i="30"/>
  <c r="F33" i="30"/>
  <c r="G33" i="30"/>
  <c r="E34" i="30"/>
  <c r="F34" i="30"/>
  <c r="G34" i="30"/>
  <c r="E35" i="30"/>
  <c r="F35" i="30"/>
  <c r="G35" i="30"/>
  <c r="E36" i="30"/>
  <c r="F36" i="30"/>
  <c r="G36" i="30"/>
  <c r="E37" i="30"/>
  <c r="F37" i="30"/>
  <c r="G37" i="30"/>
  <c r="E38" i="30"/>
  <c r="F38" i="30"/>
  <c r="G38" i="30"/>
  <c r="E39" i="30"/>
  <c r="F39" i="30"/>
  <c r="G39" i="30"/>
  <c r="E40" i="30"/>
  <c r="F40" i="30"/>
  <c r="G40" i="30"/>
  <c r="E41" i="30"/>
  <c r="F41" i="30"/>
  <c r="G41" i="30"/>
  <c r="D29" i="30"/>
  <c r="D30" i="30"/>
  <c r="D31" i="30"/>
  <c r="D32" i="30"/>
  <c r="D33" i="30"/>
  <c r="D34" i="30"/>
  <c r="D35" i="30"/>
  <c r="D36" i="30"/>
  <c r="D37" i="30"/>
  <c r="D38" i="30"/>
  <c r="D39" i="30"/>
  <c r="D40" i="30"/>
  <c r="D41" i="30"/>
  <c r="D28" i="30"/>
  <c r="D27" i="30"/>
  <c r="E12" i="30"/>
  <c r="F12" i="30"/>
  <c r="G12" i="30"/>
  <c r="E13" i="30"/>
  <c r="F13" i="30"/>
  <c r="G13" i="30"/>
  <c r="E14" i="30"/>
  <c r="F14" i="30"/>
  <c r="G14" i="30"/>
  <c r="E15" i="30"/>
  <c r="F15" i="30"/>
  <c r="G15" i="30"/>
  <c r="E16" i="30"/>
  <c r="F16" i="30"/>
  <c r="G16" i="30"/>
  <c r="E17" i="30"/>
  <c r="F17" i="30"/>
  <c r="G17" i="30"/>
  <c r="E18" i="30"/>
  <c r="F18" i="30"/>
  <c r="G18" i="30"/>
  <c r="E19" i="30"/>
  <c r="F19" i="30"/>
  <c r="G19" i="30"/>
  <c r="E20" i="30"/>
  <c r="F20" i="30"/>
  <c r="G20" i="30"/>
  <c r="E21" i="30"/>
  <c r="F21" i="30"/>
  <c r="G21" i="30"/>
  <c r="E22" i="30"/>
  <c r="F22" i="30"/>
  <c r="G22" i="30"/>
  <c r="E23" i="30"/>
  <c r="F23" i="30"/>
  <c r="G23" i="30"/>
  <c r="E24" i="30"/>
  <c r="F24" i="30"/>
  <c r="G24" i="30"/>
  <c r="E25" i="30"/>
  <c r="F25" i="30"/>
  <c r="G25" i="30"/>
  <c r="E26" i="30"/>
  <c r="F26" i="30"/>
  <c r="G26" i="30"/>
  <c r="D13" i="30"/>
  <c r="D14" i="30"/>
  <c r="D15" i="30"/>
  <c r="D16" i="30"/>
  <c r="D17" i="30"/>
  <c r="D18" i="30"/>
  <c r="D19" i="30"/>
  <c r="D20" i="30"/>
  <c r="D21" i="30"/>
  <c r="D22" i="30"/>
  <c r="D23" i="30"/>
  <c r="D24" i="30"/>
  <c r="D25" i="30"/>
  <c r="D26" i="30"/>
  <c r="D12" i="30"/>
  <c r="C36" i="64" l="1"/>
  <c r="C58" i="64"/>
  <c r="C57" i="64"/>
  <c r="C38" i="64"/>
  <c r="F14" i="40"/>
  <c r="B29" i="30"/>
  <c r="B30" i="30"/>
  <c r="B31" i="30"/>
  <c r="B32" i="30"/>
  <c r="B33" i="30"/>
  <c r="B34" i="30"/>
  <c r="B35" i="30"/>
  <c r="B36" i="30"/>
  <c r="B37" i="30"/>
  <c r="B38" i="30"/>
  <c r="B39" i="30"/>
  <c r="B40" i="30"/>
  <c r="B41" i="30"/>
  <c r="B28" i="30"/>
  <c r="B13" i="30"/>
  <c r="B14" i="30"/>
  <c r="B15" i="30"/>
  <c r="B16" i="30"/>
  <c r="B17" i="30"/>
  <c r="B18" i="30"/>
  <c r="B19" i="30"/>
  <c r="B20" i="30"/>
  <c r="B21" i="30"/>
  <c r="B22" i="30"/>
  <c r="B23" i="30"/>
  <c r="B24" i="30"/>
  <c r="B25" i="30"/>
  <c r="B26" i="30"/>
  <c r="B27" i="30"/>
  <c r="B12" i="30"/>
  <c r="E11" i="30"/>
  <c r="F11" i="30"/>
  <c r="G11" i="30"/>
  <c r="D11" i="30"/>
  <c r="C28" i="29"/>
  <c r="C29" i="29"/>
  <c r="C30" i="29"/>
  <c r="C31" i="29"/>
  <c r="C32" i="29"/>
  <c r="C33" i="29"/>
  <c r="C34" i="29"/>
  <c r="C35" i="29"/>
  <c r="C36" i="29"/>
  <c r="C27" i="29"/>
  <c r="C22" i="28"/>
  <c r="C23" i="28"/>
  <c r="C24" i="28"/>
  <c r="C25" i="28"/>
  <c r="C26" i="28"/>
  <c r="C27" i="28"/>
  <c r="C28" i="28"/>
  <c r="C29" i="28"/>
  <c r="C30" i="28"/>
  <c r="C21" i="28"/>
  <c r="C23" i="27"/>
  <c r="C24" i="27"/>
  <c r="C25" i="27"/>
  <c r="C26" i="27"/>
  <c r="C27" i="27"/>
  <c r="C28" i="27"/>
  <c r="C29" i="27"/>
  <c r="C30" i="27"/>
  <c r="C31" i="27"/>
  <c r="C22" i="27"/>
  <c r="I18" i="26"/>
  <c r="I19" i="26"/>
  <c r="I20" i="26"/>
  <c r="I21" i="26"/>
  <c r="I22" i="26"/>
  <c r="I17" i="26"/>
  <c r="I15" i="26"/>
  <c r="F13" i="26"/>
  <c r="F12" i="26"/>
  <c r="I18" i="25"/>
  <c r="I19" i="25"/>
  <c r="I20" i="25"/>
  <c r="I21" i="25"/>
  <c r="I22" i="25"/>
  <c r="I17" i="25"/>
  <c r="I15" i="25"/>
  <c r="F13" i="25"/>
  <c r="F12" i="25"/>
  <c r="I15" i="24"/>
  <c r="I16" i="24"/>
  <c r="I17" i="24"/>
  <c r="I18" i="24"/>
  <c r="I19" i="24"/>
  <c r="I20" i="24"/>
  <c r="I21" i="24"/>
  <c r="I22" i="24"/>
  <c r="I23" i="24"/>
  <c r="I24" i="24"/>
  <c r="I25" i="24"/>
  <c r="I26" i="24"/>
  <c r="I27" i="24"/>
  <c r="I28" i="24"/>
  <c r="I29" i="24"/>
  <c r="I30" i="24"/>
  <c r="I14" i="24"/>
  <c r="D14" i="24"/>
  <c r="D15" i="24"/>
  <c r="D16" i="24"/>
  <c r="D17" i="24"/>
  <c r="D18" i="24"/>
  <c r="D19" i="24"/>
  <c r="D20" i="24"/>
  <c r="D21" i="24"/>
  <c r="D22" i="24"/>
  <c r="D23" i="24"/>
  <c r="D24" i="24"/>
  <c r="F25" i="24"/>
  <c r="D25" i="24"/>
  <c r="G25" i="24"/>
  <c r="G26" i="24"/>
  <c r="G27" i="24"/>
  <c r="G28" i="24"/>
  <c r="G29" i="24"/>
  <c r="G30" i="24"/>
  <c r="E15" i="24"/>
  <c r="F15" i="24"/>
  <c r="G15" i="24"/>
  <c r="E16" i="24"/>
  <c r="F16" i="24"/>
  <c r="G16" i="24"/>
  <c r="E17" i="24"/>
  <c r="F17" i="24"/>
  <c r="G17" i="24"/>
  <c r="E18" i="24"/>
  <c r="F18" i="24"/>
  <c r="G18" i="24"/>
  <c r="E19" i="24"/>
  <c r="F19" i="24"/>
  <c r="G19" i="24"/>
  <c r="E20" i="24"/>
  <c r="F20" i="24"/>
  <c r="G20" i="24"/>
  <c r="E21" i="24"/>
  <c r="F21" i="24"/>
  <c r="G21" i="24"/>
  <c r="E22" i="24"/>
  <c r="F22" i="24"/>
  <c r="G22" i="24"/>
  <c r="E23" i="24"/>
  <c r="F23" i="24"/>
  <c r="G23" i="24"/>
  <c r="E24" i="24"/>
  <c r="F24" i="24"/>
  <c r="G24" i="24"/>
  <c r="G14" i="24"/>
  <c r="F14" i="24"/>
  <c r="E25" i="24"/>
  <c r="E26" i="24"/>
  <c r="E27" i="24"/>
  <c r="E28" i="24"/>
  <c r="E29" i="24"/>
  <c r="E30" i="24"/>
  <c r="E14" i="24"/>
  <c r="E11" i="24"/>
  <c r="F11" i="24"/>
  <c r="G11" i="24"/>
  <c r="H11" i="24"/>
  <c r="I11" i="24"/>
  <c r="E12" i="24"/>
  <c r="F12" i="24"/>
  <c r="G12" i="24"/>
  <c r="H12" i="24"/>
  <c r="I12" i="24"/>
  <c r="D12" i="24"/>
  <c r="D11" i="24"/>
  <c r="C27" i="23"/>
  <c r="C28" i="23"/>
  <c r="C29" i="23"/>
  <c r="C30" i="23"/>
  <c r="C31" i="23"/>
  <c r="C32" i="23"/>
  <c r="C33" i="23"/>
  <c r="C34" i="23"/>
  <c r="C35" i="23"/>
  <c r="C26" i="23"/>
  <c r="G12" i="23"/>
  <c r="H12" i="23"/>
  <c r="I12" i="23"/>
  <c r="G13" i="23"/>
  <c r="H13" i="23"/>
  <c r="I13" i="23"/>
  <c r="G14" i="23"/>
  <c r="H14" i="23"/>
  <c r="I14" i="23"/>
  <c r="G15" i="23"/>
  <c r="H15" i="23"/>
  <c r="I15" i="23"/>
  <c r="G16" i="23"/>
  <c r="H16" i="23"/>
  <c r="I16" i="23"/>
  <c r="G17" i="23"/>
  <c r="H17" i="23"/>
  <c r="I17" i="23"/>
  <c r="G18" i="23"/>
  <c r="H18" i="23"/>
  <c r="I18" i="23"/>
  <c r="G19" i="23"/>
  <c r="H19" i="23"/>
  <c r="I19" i="23"/>
  <c r="G20" i="23"/>
  <c r="H20" i="23"/>
  <c r="I20" i="23"/>
  <c r="G21" i="23"/>
  <c r="H21" i="23"/>
  <c r="I21" i="23"/>
  <c r="G23" i="23"/>
  <c r="H23" i="23"/>
  <c r="I23" i="23"/>
  <c r="H11" i="23"/>
  <c r="I11" i="23"/>
  <c r="G11" i="23"/>
  <c r="I25" i="22"/>
  <c r="G12" i="22"/>
  <c r="H12" i="22"/>
  <c r="I12" i="22"/>
  <c r="G13" i="22"/>
  <c r="H13" i="22"/>
  <c r="I13" i="22"/>
  <c r="G14" i="22"/>
  <c r="H14" i="22"/>
  <c r="I14" i="22"/>
  <c r="G15" i="22"/>
  <c r="H15" i="22"/>
  <c r="I15" i="22"/>
  <c r="G16" i="22"/>
  <c r="H16" i="22"/>
  <c r="I16" i="22"/>
  <c r="G17" i="22"/>
  <c r="H17" i="22"/>
  <c r="I17" i="22"/>
  <c r="G18" i="22"/>
  <c r="H18" i="22"/>
  <c r="I18" i="22"/>
  <c r="G19" i="22"/>
  <c r="H19" i="22"/>
  <c r="I19" i="22"/>
  <c r="G20" i="22"/>
  <c r="H20" i="22"/>
  <c r="I20" i="22"/>
  <c r="G21" i="22"/>
  <c r="H21" i="22"/>
  <c r="I21" i="22"/>
  <c r="G22" i="22"/>
  <c r="H22" i="22"/>
  <c r="I22" i="22"/>
  <c r="G23" i="22"/>
  <c r="H23" i="22"/>
  <c r="I23" i="22"/>
  <c r="G24" i="22"/>
  <c r="H24" i="22"/>
  <c r="I24" i="22"/>
  <c r="H11" i="22"/>
  <c r="I11" i="22"/>
  <c r="G11" i="22"/>
  <c r="C26" i="21"/>
  <c r="C27" i="21"/>
  <c r="C28" i="21"/>
  <c r="C29" i="21"/>
  <c r="C30" i="21"/>
  <c r="C31" i="21"/>
  <c r="C32" i="21"/>
  <c r="C33" i="21"/>
  <c r="C34" i="21"/>
  <c r="C35" i="21"/>
  <c r="C36" i="21"/>
  <c r="C25" i="21"/>
  <c r="C26" i="20"/>
  <c r="C27" i="20"/>
  <c r="C28" i="20"/>
  <c r="C29" i="20"/>
  <c r="C30" i="20"/>
  <c r="C25" i="20"/>
  <c r="C34" i="19"/>
  <c r="C35" i="19"/>
  <c r="C36" i="19"/>
  <c r="C37" i="19"/>
  <c r="C38" i="19"/>
  <c r="C39" i="19"/>
  <c r="C33" i="19"/>
  <c r="E27" i="19"/>
  <c r="F27" i="19"/>
  <c r="G27" i="19"/>
  <c r="H27" i="19"/>
  <c r="I27" i="19"/>
  <c r="E28" i="19"/>
  <c r="F28" i="19"/>
  <c r="G28" i="19"/>
  <c r="H28" i="19"/>
  <c r="I28" i="19"/>
  <c r="E29" i="19"/>
  <c r="F29" i="19"/>
  <c r="G29" i="19"/>
  <c r="H29" i="19"/>
  <c r="I29" i="19"/>
  <c r="E30" i="19"/>
  <c r="F30" i="19"/>
  <c r="G30" i="19"/>
  <c r="H30" i="19"/>
  <c r="I30" i="19"/>
  <c r="E31" i="19"/>
  <c r="F31" i="19"/>
  <c r="G31" i="19"/>
  <c r="H31" i="19"/>
  <c r="I31" i="19"/>
  <c r="D31" i="19"/>
  <c r="D28" i="19"/>
  <c r="D29" i="19"/>
  <c r="D30" i="19"/>
  <c r="D27" i="19"/>
  <c r="B28" i="19"/>
  <c r="B29" i="19"/>
  <c r="B30" i="19"/>
  <c r="B31" i="19"/>
  <c r="B27" i="19"/>
  <c r="G12" i="19"/>
  <c r="H12" i="19"/>
  <c r="I12" i="19"/>
  <c r="G13" i="19"/>
  <c r="H13" i="19"/>
  <c r="I13" i="19"/>
  <c r="G14" i="19"/>
  <c r="H14" i="19"/>
  <c r="I14" i="19"/>
  <c r="G15" i="19"/>
  <c r="H15" i="19"/>
  <c r="I15" i="19"/>
  <c r="G16" i="19"/>
  <c r="H16" i="19"/>
  <c r="I16" i="19"/>
  <c r="G17" i="19"/>
  <c r="H17" i="19"/>
  <c r="I17" i="19"/>
  <c r="G18" i="19"/>
  <c r="H18" i="19"/>
  <c r="I18" i="19"/>
  <c r="G19" i="19"/>
  <c r="H19" i="19"/>
  <c r="I19" i="19"/>
  <c r="G21" i="19"/>
  <c r="H21" i="19"/>
  <c r="I21" i="19"/>
  <c r="G22" i="19"/>
  <c r="H22" i="19"/>
  <c r="I22" i="19"/>
  <c r="H11" i="19"/>
  <c r="I11" i="19"/>
  <c r="G11" i="19"/>
  <c r="B57" i="18"/>
  <c r="B48" i="18"/>
  <c r="B49" i="18"/>
  <c r="B50" i="18"/>
  <c r="B51" i="18"/>
  <c r="B52" i="18"/>
  <c r="B53" i="18"/>
  <c r="B54" i="18"/>
  <c r="B55" i="18"/>
  <c r="B56" i="18"/>
  <c r="B47" i="18"/>
  <c r="B45" i="18"/>
  <c r="B40" i="18"/>
  <c r="B41" i="18"/>
  <c r="B42" i="18"/>
  <c r="B43" i="18"/>
  <c r="B44" i="18"/>
  <c r="B39" i="18"/>
  <c r="F20" i="18"/>
  <c r="G20" i="18"/>
  <c r="H20" i="18"/>
  <c r="I20" i="18"/>
  <c r="F21" i="18"/>
  <c r="G21" i="18"/>
  <c r="H21" i="18"/>
  <c r="I21" i="18"/>
  <c r="F22" i="18"/>
  <c r="G22" i="18"/>
  <c r="H22" i="18"/>
  <c r="I22" i="18"/>
  <c r="F23" i="18"/>
  <c r="G23" i="18"/>
  <c r="H23" i="18"/>
  <c r="I23" i="18"/>
  <c r="F24" i="18"/>
  <c r="G24" i="18"/>
  <c r="H24" i="18"/>
  <c r="I24" i="18"/>
  <c r="F25" i="18"/>
  <c r="G25" i="18"/>
  <c r="H25" i="18"/>
  <c r="I25" i="18"/>
  <c r="F26" i="18"/>
  <c r="G26" i="18"/>
  <c r="H26" i="18"/>
  <c r="I26" i="18"/>
  <c r="F27" i="18"/>
  <c r="G27" i="18"/>
  <c r="H27" i="18"/>
  <c r="I27" i="18"/>
  <c r="F28" i="18"/>
  <c r="G28" i="18"/>
  <c r="H28" i="18"/>
  <c r="I28" i="18"/>
  <c r="F29" i="18"/>
  <c r="G29" i="18"/>
  <c r="H29" i="18"/>
  <c r="I29" i="18"/>
  <c r="F30" i="18"/>
  <c r="G30" i="18"/>
  <c r="H30" i="18"/>
  <c r="I30" i="18"/>
  <c r="F31" i="18"/>
  <c r="G31" i="18"/>
  <c r="H31" i="18"/>
  <c r="I31" i="18"/>
  <c r="F32" i="18"/>
  <c r="G32" i="18"/>
  <c r="H32" i="18"/>
  <c r="I32" i="18"/>
  <c r="F33" i="18"/>
  <c r="G33" i="18"/>
  <c r="H33" i="18"/>
  <c r="I33" i="18"/>
  <c r="F34" i="18"/>
  <c r="G34" i="18"/>
  <c r="H34" i="18"/>
  <c r="I34" i="18"/>
  <c r="F35" i="18"/>
  <c r="G35" i="18"/>
  <c r="H35" i="18"/>
  <c r="I35" i="18"/>
  <c r="F36" i="18"/>
  <c r="G36" i="18"/>
  <c r="H36" i="18"/>
  <c r="I36" i="18"/>
  <c r="E36" i="18"/>
  <c r="E21" i="18"/>
  <c r="E22" i="18"/>
  <c r="E23" i="18"/>
  <c r="E24" i="18"/>
  <c r="E25" i="18"/>
  <c r="E26" i="18"/>
  <c r="E27" i="18"/>
  <c r="E28" i="18"/>
  <c r="E29" i="18"/>
  <c r="E30" i="18"/>
  <c r="E31" i="18"/>
  <c r="E32" i="18"/>
  <c r="E33" i="18"/>
  <c r="E34" i="18"/>
  <c r="E35" i="18"/>
  <c r="E20" i="18"/>
  <c r="B36" i="18"/>
  <c r="B21" i="18"/>
  <c r="B22" i="18"/>
  <c r="B23" i="18"/>
  <c r="B24" i="18"/>
  <c r="B25" i="18"/>
  <c r="B26" i="18"/>
  <c r="B27" i="18"/>
  <c r="B28" i="18"/>
  <c r="B29" i="18"/>
  <c r="B30" i="18"/>
  <c r="B31" i="18"/>
  <c r="B32" i="18"/>
  <c r="B33" i="18"/>
  <c r="B34" i="18"/>
  <c r="B35" i="18"/>
  <c r="B20" i="18"/>
  <c r="B14" i="18"/>
  <c r="B15" i="18"/>
  <c r="B16" i="18"/>
  <c r="B17" i="18"/>
  <c r="B18" i="18"/>
  <c r="B13" i="18"/>
  <c r="C26" i="64" l="1"/>
  <c r="E31" i="24"/>
  <c r="C25" i="64"/>
  <c r="G25" i="22"/>
  <c r="G20" i="19"/>
  <c r="G23" i="19" s="1"/>
  <c r="H25" i="22"/>
  <c r="I20" i="19"/>
  <c r="I23" i="19" s="1"/>
  <c r="H20" i="19"/>
  <c r="H23" i="19" s="1"/>
  <c r="C29" i="17"/>
  <c r="C30" i="17"/>
  <c r="C31" i="17"/>
  <c r="C32" i="17"/>
  <c r="C28" i="17"/>
  <c r="G24" i="17"/>
  <c r="G23" i="17"/>
  <c r="G18" i="17"/>
  <c r="G19" i="17"/>
  <c r="G20" i="17"/>
  <c r="G21" i="17"/>
  <c r="G17" i="17"/>
  <c r="G13" i="17"/>
  <c r="G14" i="17"/>
  <c r="G15" i="17"/>
  <c r="G12" i="17"/>
  <c r="D30" i="16"/>
  <c r="D31" i="16"/>
  <c r="D32" i="16"/>
  <c r="D33" i="16"/>
  <c r="D34" i="16"/>
  <c r="D35" i="16"/>
  <c r="D29" i="16"/>
  <c r="G20" i="16"/>
  <c r="I20" i="16"/>
  <c r="E20" i="16"/>
  <c r="G18" i="16"/>
  <c r="I18" i="16"/>
  <c r="E18" i="16"/>
  <c r="C28" i="15"/>
  <c r="C29" i="15"/>
  <c r="C30" i="15"/>
  <c r="C31" i="15"/>
  <c r="C32" i="15"/>
  <c r="C33" i="15"/>
  <c r="C34" i="15"/>
  <c r="C35" i="15"/>
  <c r="C36" i="15"/>
  <c r="E20" i="15"/>
  <c r="F20" i="15"/>
  <c r="D20" i="15"/>
  <c r="E18" i="15"/>
  <c r="F18" i="15"/>
  <c r="D18" i="15"/>
  <c r="G18" i="15" l="1"/>
  <c r="C21" i="14"/>
  <c r="C22" i="14"/>
  <c r="C23" i="14"/>
  <c r="C24" i="14"/>
  <c r="C25" i="14"/>
  <c r="C26" i="14"/>
  <c r="C20" i="14"/>
  <c r="E12" i="14"/>
  <c r="F12" i="14"/>
  <c r="G12" i="14"/>
  <c r="H12" i="14"/>
  <c r="I12" i="14"/>
  <c r="J12" i="14"/>
  <c r="K12" i="14"/>
  <c r="E13" i="14"/>
  <c r="F13" i="14"/>
  <c r="G13" i="14"/>
  <c r="H13" i="14"/>
  <c r="I13" i="14"/>
  <c r="J13" i="14"/>
  <c r="K13" i="14"/>
  <c r="E14" i="14"/>
  <c r="F14" i="14"/>
  <c r="G14" i="14"/>
  <c r="H14" i="14"/>
  <c r="I14" i="14"/>
  <c r="J14" i="14"/>
  <c r="K14" i="14"/>
  <c r="E15" i="14"/>
  <c r="F15" i="14"/>
  <c r="G15" i="14"/>
  <c r="H15" i="14"/>
  <c r="I15" i="14"/>
  <c r="J15" i="14"/>
  <c r="K15" i="14"/>
  <c r="E16" i="14"/>
  <c r="F16" i="14"/>
  <c r="G16" i="14"/>
  <c r="H16" i="14"/>
  <c r="I16" i="14"/>
  <c r="J16" i="14"/>
  <c r="K16" i="14"/>
  <c r="D13" i="14"/>
  <c r="D14" i="14"/>
  <c r="D15" i="14"/>
  <c r="D16" i="14"/>
  <c r="D12" i="14"/>
  <c r="C43" i="13"/>
  <c r="C39" i="13"/>
  <c r="C40" i="13"/>
  <c r="C41" i="13"/>
  <c r="C42" i="13"/>
  <c r="C38" i="13"/>
  <c r="I35" i="13"/>
  <c r="I34" i="13"/>
  <c r="I24" i="13"/>
  <c r="I25" i="13"/>
  <c r="I26" i="13"/>
  <c r="I27" i="13"/>
  <c r="I28" i="13"/>
  <c r="I29" i="13"/>
  <c r="I23" i="13"/>
  <c r="I19" i="13"/>
  <c r="I20" i="13"/>
  <c r="I21" i="13"/>
  <c r="I18" i="13"/>
  <c r="G18" i="13"/>
  <c r="G19" i="13"/>
  <c r="G20" i="13"/>
  <c r="G21" i="13"/>
  <c r="G23" i="13"/>
  <c r="G24" i="13"/>
  <c r="G25" i="13"/>
  <c r="G26" i="13"/>
  <c r="G27" i="13"/>
  <c r="G28" i="13"/>
  <c r="G29" i="13"/>
  <c r="F32" i="13"/>
  <c r="F31" i="13"/>
  <c r="F24" i="13"/>
  <c r="F25" i="13"/>
  <c r="F26" i="13"/>
  <c r="F27" i="13"/>
  <c r="F28" i="13"/>
  <c r="F29" i="13"/>
  <c r="F23" i="13"/>
  <c r="F19" i="13"/>
  <c r="F20" i="13"/>
  <c r="F21" i="13"/>
  <c r="F18" i="13"/>
  <c r="I59" i="4"/>
  <c r="I62" i="4"/>
  <c r="I63" i="4"/>
  <c r="I64" i="4"/>
  <c r="I65" i="4"/>
  <c r="I58" i="4"/>
  <c r="F61" i="4"/>
  <c r="F62" i="4"/>
  <c r="F63" i="4"/>
  <c r="F64" i="4"/>
  <c r="F65" i="4"/>
  <c r="F59" i="4"/>
  <c r="F58" i="4"/>
  <c r="B61" i="4"/>
  <c r="B62" i="4"/>
  <c r="B63" i="4"/>
  <c r="B64" i="4"/>
  <c r="B65" i="4"/>
  <c r="B59" i="4"/>
  <c r="F48" i="4"/>
  <c r="F49" i="4"/>
  <c r="F50" i="4"/>
  <c r="F51" i="4"/>
  <c r="F52" i="4"/>
  <c r="D48" i="4"/>
  <c r="D49" i="4"/>
  <c r="D50" i="4"/>
  <c r="D51" i="4"/>
  <c r="D52" i="4"/>
  <c r="B48" i="4"/>
  <c r="B49" i="4"/>
  <c r="B50" i="4"/>
  <c r="B51" i="4"/>
  <c r="B52" i="4"/>
  <c r="I46" i="4"/>
  <c r="I48" i="4"/>
  <c r="I49" i="4"/>
  <c r="I50" i="4"/>
  <c r="I51" i="4"/>
  <c r="I52" i="4"/>
  <c r="I45" i="4"/>
  <c r="I44" i="4"/>
  <c r="F45" i="4"/>
  <c r="F46" i="4"/>
  <c r="F44" i="4"/>
  <c r="D44" i="4"/>
  <c r="D45" i="4"/>
  <c r="D46" i="4"/>
  <c r="B46" i="4"/>
  <c r="B44" i="4"/>
  <c r="I35" i="4"/>
  <c r="I36" i="4"/>
  <c r="I37" i="4"/>
  <c r="I38" i="4"/>
  <c r="I31" i="4"/>
  <c r="I34" i="4"/>
  <c r="I30" i="4"/>
  <c r="F34" i="4"/>
  <c r="F35" i="4"/>
  <c r="F36" i="4"/>
  <c r="F37" i="4"/>
  <c r="F38" i="4"/>
  <c r="F31" i="4"/>
  <c r="F33" i="4"/>
  <c r="F30" i="4"/>
  <c r="D30" i="4"/>
  <c r="D31" i="4"/>
  <c r="D33" i="4"/>
  <c r="D34" i="4"/>
  <c r="D35" i="4"/>
  <c r="D36" i="4"/>
  <c r="D37" i="4"/>
  <c r="D38" i="4"/>
  <c r="B36" i="4"/>
  <c r="B37" i="4"/>
  <c r="B38" i="4"/>
  <c r="B31" i="4"/>
  <c r="B33" i="4"/>
  <c r="B34" i="4"/>
  <c r="B35" i="4"/>
  <c r="I15" i="4"/>
  <c r="I16" i="4"/>
  <c r="I17" i="4"/>
  <c r="I18" i="4"/>
  <c r="I19" i="4"/>
  <c r="I20" i="4"/>
  <c r="I21" i="4"/>
  <c r="I22" i="4"/>
  <c r="I14" i="4"/>
  <c r="H15" i="4"/>
  <c r="H16" i="4"/>
  <c r="H17" i="4"/>
  <c r="H18" i="4"/>
  <c r="H19" i="4"/>
  <c r="H20" i="4"/>
  <c r="H21" i="4"/>
  <c r="H22" i="4"/>
  <c r="H14" i="4"/>
  <c r="F14" i="4"/>
  <c r="F15" i="4"/>
  <c r="F16" i="4"/>
  <c r="F17" i="4"/>
  <c r="F18" i="4"/>
  <c r="F19" i="4"/>
  <c r="F20" i="4"/>
  <c r="F21" i="4"/>
  <c r="F22" i="4"/>
  <c r="D14" i="4"/>
  <c r="D15" i="4"/>
  <c r="D16" i="4"/>
  <c r="D17" i="4"/>
  <c r="D18" i="4"/>
  <c r="D19" i="4"/>
  <c r="D20" i="4"/>
  <c r="D21" i="4"/>
  <c r="D22" i="4"/>
  <c r="B18" i="4"/>
  <c r="B19" i="4"/>
  <c r="B20" i="4"/>
  <c r="B21" i="4"/>
  <c r="B22" i="4"/>
  <c r="B15" i="4"/>
  <c r="B16" i="4"/>
  <c r="B17" i="4"/>
  <c r="B14" i="4"/>
  <c r="C52" i="11" l="1"/>
  <c r="C53" i="11"/>
  <c r="C54" i="11"/>
  <c r="C55" i="11"/>
  <c r="C56" i="11"/>
  <c r="C57" i="11"/>
  <c r="C58" i="11"/>
  <c r="C59" i="11"/>
  <c r="C60" i="11"/>
  <c r="C61" i="11"/>
  <c r="C51" i="11"/>
  <c r="E38" i="11"/>
  <c r="F38" i="11"/>
  <c r="G38" i="11"/>
  <c r="H38" i="11"/>
  <c r="E39" i="11"/>
  <c r="F39" i="11"/>
  <c r="G39" i="11"/>
  <c r="H39" i="11"/>
  <c r="E40" i="11"/>
  <c r="F40" i="11"/>
  <c r="G40" i="11"/>
  <c r="H40" i="11"/>
  <c r="E41" i="11"/>
  <c r="F41" i="11"/>
  <c r="G41" i="11"/>
  <c r="H41" i="11"/>
  <c r="E42" i="11"/>
  <c r="F42" i="11"/>
  <c r="G42" i="11"/>
  <c r="H42" i="11"/>
  <c r="E43" i="11"/>
  <c r="F43" i="11"/>
  <c r="G43" i="11"/>
  <c r="H43" i="11"/>
  <c r="E44" i="11"/>
  <c r="F44" i="11"/>
  <c r="G44" i="11"/>
  <c r="H44" i="11"/>
  <c r="E45" i="11"/>
  <c r="F45" i="11"/>
  <c r="G45" i="11"/>
  <c r="H45" i="11"/>
  <c r="E46" i="11"/>
  <c r="F46" i="11"/>
  <c r="G46" i="11"/>
  <c r="H46" i="11"/>
  <c r="E47" i="11"/>
  <c r="F47" i="11"/>
  <c r="G47" i="11"/>
  <c r="H47" i="11"/>
  <c r="E48" i="11"/>
  <c r="F48" i="11"/>
  <c r="G48" i="11"/>
  <c r="H48" i="11"/>
  <c r="D39" i="11"/>
  <c r="D40" i="11"/>
  <c r="D41" i="11"/>
  <c r="D42" i="11"/>
  <c r="D43" i="11"/>
  <c r="D44" i="11"/>
  <c r="D45" i="11"/>
  <c r="D46" i="11"/>
  <c r="D47" i="11"/>
  <c r="D48" i="11"/>
  <c r="D38" i="11"/>
  <c r="E13" i="11"/>
  <c r="F13" i="11"/>
  <c r="G13" i="11"/>
  <c r="H13" i="11"/>
  <c r="E14" i="11"/>
  <c r="F14" i="11"/>
  <c r="G14" i="11"/>
  <c r="H14" i="11"/>
  <c r="E15" i="11"/>
  <c r="F15" i="11"/>
  <c r="G15" i="11"/>
  <c r="H15" i="11"/>
  <c r="E16" i="11"/>
  <c r="F16" i="11"/>
  <c r="G16" i="11"/>
  <c r="H16" i="11"/>
  <c r="E17" i="11"/>
  <c r="F17" i="11"/>
  <c r="G17" i="11"/>
  <c r="H17" i="11"/>
  <c r="F18" i="11"/>
  <c r="G18" i="11"/>
  <c r="H18" i="11"/>
  <c r="E19" i="11"/>
  <c r="F19" i="11"/>
  <c r="G19" i="11"/>
  <c r="H19" i="11"/>
  <c r="E20" i="11"/>
  <c r="F20" i="11"/>
  <c r="G20" i="11"/>
  <c r="H20" i="11"/>
  <c r="E21" i="11"/>
  <c r="F21" i="11"/>
  <c r="G21" i="11"/>
  <c r="H21" i="11"/>
  <c r="E22" i="11"/>
  <c r="F22" i="11"/>
  <c r="G22" i="11"/>
  <c r="H22" i="11"/>
  <c r="E23" i="11"/>
  <c r="F23" i="11"/>
  <c r="G23" i="11"/>
  <c r="H23" i="11"/>
  <c r="E24" i="11"/>
  <c r="F24" i="11"/>
  <c r="G24" i="11"/>
  <c r="H24" i="11"/>
  <c r="E25" i="11"/>
  <c r="F25" i="11"/>
  <c r="G25" i="11"/>
  <c r="H25" i="11"/>
  <c r="E26" i="11"/>
  <c r="F26" i="11"/>
  <c r="G26" i="11"/>
  <c r="H26" i="11"/>
  <c r="E27" i="11"/>
  <c r="F27" i="11"/>
  <c r="G27" i="11"/>
  <c r="H27" i="11"/>
  <c r="E28" i="11"/>
  <c r="F28" i="11"/>
  <c r="G28" i="11"/>
  <c r="H28" i="11"/>
  <c r="E29" i="11"/>
  <c r="F29" i="11"/>
  <c r="G29" i="11"/>
  <c r="H29" i="11"/>
  <c r="E30" i="11"/>
  <c r="F30" i="11"/>
  <c r="G30" i="11"/>
  <c r="H30" i="11"/>
  <c r="E31" i="11"/>
  <c r="F31" i="11"/>
  <c r="G31" i="11"/>
  <c r="H31" i="11"/>
  <c r="E32" i="11"/>
  <c r="F32" i="11"/>
  <c r="G32" i="11"/>
  <c r="H32" i="11"/>
  <c r="E33" i="11"/>
  <c r="F33" i="11"/>
  <c r="G33" i="11"/>
  <c r="H33" i="11"/>
  <c r="D14" i="11"/>
  <c r="D15" i="11"/>
  <c r="D16" i="11"/>
  <c r="D17" i="11"/>
  <c r="D18" i="11"/>
  <c r="D19" i="11"/>
  <c r="D20" i="11"/>
  <c r="D21" i="11"/>
  <c r="D22" i="11"/>
  <c r="D23" i="11"/>
  <c r="D24" i="11"/>
  <c r="D25" i="11"/>
  <c r="D26" i="11"/>
  <c r="D27" i="11"/>
  <c r="D28" i="11"/>
  <c r="D29" i="11"/>
  <c r="D30" i="11"/>
  <c r="D31" i="11"/>
  <c r="D32" i="11"/>
  <c r="D33" i="11"/>
  <c r="D13" i="11"/>
  <c r="K14" i="10"/>
  <c r="K26" i="10"/>
  <c r="K27" i="10"/>
  <c r="K37" i="10"/>
  <c r="K39" i="10"/>
  <c r="K58" i="10"/>
  <c r="K59" i="10"/>
  <c r="K60" i="10"/>
  <c r="K62" i="10"/>
  <c r="K63" i="10"/>
  <c r="J14" i="10"/>
  <c r="J26" i="10"/>
  <c r="J27" i="10"/>
  <c r="J37" i="10"/>
  <c r="J39" i="10"/>
  <c r="J58" i="10"/>
  <c r="J59" i="10"/>
  <c r="J60" i="10"/>
  <c r="J62" i="10"/>
  <c r="J63" i="10"/>
  <c r="C7" i="64"/>
  <c r="C8" i="64" s="1"/>
  <c r="C9" i="64" l="1"/>
  <c r="B50" i="12"/>
  <c r="B51" i="12"/>
  <c r="B52" i="12"/>
  <c r="B53" i="12"/>
  <c r="B54" i="12"/>
  <c r="B55" i="12"/>
  <c r="B56" i="12"/>
  <c r="B57" i="12"/>
  <c r="B58" i="12"/>
  <c r="B59" i="12"/>
  <c r="B49" i="12"/>
  <c r="B37" i="12"/>
  <c r="B38" i="12"/>
  <c r="B39" i="12"/>
  <c r="B40" i="12"/>
  <c r="B41" i="12"/>
  <c r="B42" i="12"/>
  <c r="B43" i="12"/>
  <c r="B44" i="12"/>
  <c r="B45" i="12"/>
  <c r="B46" i="12"/>
  <c r="B36" i="12"/>
  <c r="B26" i="12"/>
  <c r="B27" i="12"/>
  <c r="B28" i="12"/>
  <c r="B29" i="12"/>
  <c r="B30" i="12"/>
  <c r="B31" i="12"/>
  <c r="B32" i="12"/>
  <c r="B33" i="12"/>
  <c r="B34" i="12"/>
  <c r="B35" i="12"/>
  <c r="B47" i="12"/>
  <c r="B48" i="12"/>
  <c r="B25" i="12"/>
  <c r="B15" i="12"/>
  <c r="B16" i="12"/>
  <c r="B17" i="12"/>
  <c r="B18" i="12"/>
  <c r="B19" i="12"/>
  <c r="B20" i="12"/>
  <c r="B21" i="12"/>
  <c r="B22" i="12"/>
  <c r="B23" i="12"/>
  <c r="B14" i="12"/>
  <c r="B276" i="63"/>
  <c r="M275" i="63"/>
  <c r="L275" i="63"/>
  <c r="N275" i="63" s="1"/>
  <c r="K275" i="63"/>
  <c r="J275" i="63"/>
  <c r="D274" i="63"/>
  <c r="I273" i="63"/>
  <c r="C273" i="63"/>
  <c r="I272" i="63"/>
  <c r="C272" i="63"/>
  <c r="D271" i="63"/>
  <c r="I270" i="63"/>
  <c r="C270" i="63"/>
  <c r="I269" i="63"/>
  <c r="M269" i="63" s="1"/>
  <c r="C269" i="63"/>
  <c r="I268" i="63"/>
  <c r="C268" i="63"/>
  <c r="I267" i="63"/>
  <c r="C267" i="63"/>
  <c r="I266" i="63"/>
  <c r="C266" i="63"/>
  <c r="D265" i="63"/>
  <c r="I264" i="63"/>
  <c r="M264" i="63" s="1"/>
  <c r="C264" i="63"/>
  <c r="I263" i="63"/>
  <c r="M263" i="63" s="1"/>
  <c r="C263" i="63"/>
  <c r="I262" i="63"/>
  <c r="C262" i="63"/>
  <c r="I261" i="63"/>
  <c r="M261" i="63" s="1"/>
  <c r="C261" i="63"/>
  <c r="I260" i="63"/>
  <c r="M260" i="63" s="1"/>
  <c r="C260" i="63"/>
  <c r="I259" i="63"/>
  <c r="M259" i="63" s="1"/>
  <c r="C259" i="63"/>
  <c r="I258" i="63"/>
  <c r="M258" i="63" s="1"/>
  <c r="C258" i="63"/>
  <c r="I257" i="63"/>
  <c r="C257" i="63"/>
  <c r="B252" i="63"/>
  <c r="G246" i="63"/>
  <c r="B246" i="63"/>
  <c r="I245" i="63"/>
  <c r="C245" i="63"/>
  <c r="I244" i="63"/>
  <c r="C244" i="63"/>
  <c r="I243" i="63"/>
  <c r="C243" i="63"/>
  <c r="I242" i="63"/>
  <c r="C242" i="63"/>
  <c r="I241" i="63"/>
  <c r="M241" i="63" s="1"/>
  <c r="C241" i="63"/>
  <c r="I240" i="63"/>
  <c r="C240" i="63"/>
  <c r="I239" i="63"/>
  <c r="M239" i="63" s="1"/>
  <c r="C239" i="63"/>
  <c r="I238" i="63"/>
  <c r="M238" i="63" s="1"/>
  <c r="C238" i="63"/>
  <c r="I237" i="63"/>
  <c r="M237" i="63" s="1"/>
  <c r="C237" i="63"/>
  <c r="I236" i="63"/>
  <c r="M236" i="63" s="1"/>
  <c r="C236" i="63"/>
  <c r="I235" i="63"/>
  <c r="M235" i="63" s="1"/>
  <c r="C235" i="63"/>
  <c r="I234" i="63"/>
  <c r="C234" i="63"/>
  <c r="I233" i="63"/>
  <c r="M233" i="63" s="1"/>
  <c r="C233" i="63"/>
  <c r="I232" i="63"/>
  <c r="C232" i="63"/>
  <c r="I231" i="63"/>
  <c r="C231" i="63"/>
  <c r="I230" i="63"/>
  <c r="C230" i="63"/>
  <c r="I229" i="63"/>
  <c r="C229" i="63"/>
  <c r="D228" i="63"/>
  <c r="I227" i="63"/>
  <c r="M227" i="63" s="1"/>
  <c r="C227" i="63"/>
  <c r="I226" i="63"/>
  <c r="M226" i="63" s="1"/>
  <c r="C226" i="63"/>
  <c r="I225" i="63"/>
  <c r="C225" i="63"/>
  <c r="I224" i="63"/>
  <c r="M224" i="63" s="1"/>
  <c r="C224" i="63"/>
  <c r="I223" i="63"/>
  <c r="C223" i="63"/>
  <c r="I222" i="63"/>
  <c r="M222" i="63" s="1"/>
  <c r="C222" i="63"/>
  <c r="I221" i="63"/>
  <c r="C221" i="63"/>
  <c r="I220" i="63"/>
  <c r="M220" i="63" s="1"/>
  <c r="C220" i="63"/>
  <c r="I219" i="63"/>
  <c r="M219" i="63" s="1"/>
  <c r="C219" i="63"/>
  <c r="I218" i="63"/>
  <c r="M218" i="63" s="1"/>
  <c r="C218" i="63"/>
  <c r="I217" i="63"/>
  <c r="C217" i="63"/>
  <c r="I216" i="63"/>
  <c r="M216" i="63" s="1"/>
  <c r="C216" i="63"/>
  <c r="I215" i="63"/>
  <c r="M215" i="63" s="1"/>
  <c r="C215" i="63"/>
  <c r="I214" i="63"/>
  <c r="C214" i="63"/>
  <c r="I213" i="63"/>
  <c r="C213" i="63"/>
  <c r="I212" i="63"/>
  <c r="M212" i="63" s="1"/>
  <c r="C212" i="63"/>
  <c r="I211" i="63"/>
  <c r="M211" i="63" s="1"/>
  <c r="C211" i="63"/>
  <c r="I210" i="63"/>
  <c r="C210" i="63"/>
  <c r="I209" i="63"/>
  <c r="C209" i="63"/>
  <c r="I208" i="63"/>
  <c r="M208" i="63" s="1"/>
  <c r="C208" i="63"/>
  <c r="I207" i="63"/>
  <c r="M207" i="63" s="1"/>
  <c r="C207" i="63"/>
  <c r="I206" i="63"/>
  <c r="M206" i="63" s="1"/>
  <c r="C206" i="63"/>
  <c r="I205" i="63"/>
  <c r="C205" i="63"/>
  <c r="I204" i="63"/>
  <c r="C204" i="63"/>
  <c r="I203" i="63"/>
  <c r="M203" i="63" s="1"/>
  <c r="C203" i="63"/>
  <c r="I202" i="63"/>
  <c r="M202" i="63" s="1"/>
  <c r="C202" i="63"/>
  <c r="I201" i="63"/>
  <c r="M201" i="63" s="1"/>
  <c r="C201" i="63"/>
  <c r="I200" i="63"/>
  <c r="M200" i="63" s="1"/>
  <c r="C200" i="63"/>
  <c r="I199" i="63"/>
  <c r="C199" i="63"/>
  <c r="I198" i="63"/>
  <c r="M198" i="63" s="1"/>
  <c r="C198" i="63"/>
  <c r="I197" i="63"/>
  <c r="C197" i="63"/>
  <c r="I196" i="63"/>
  <c r="M196" i="63" s="1"/>
  <c r="C196" i="63"/>
  <c r="I195" i="63"/>
  <c r="M195" i="63" s="1"/>
  <c r="C195" i="63"/>
  <c r="I194" i="63"/>
  <c r="C194" i="63"/>
  <c r="I193" i="63"/>
  <c r="C193" i="63"/>
  <c r="D192" i="63"/>
  <c r="I191" i="63"/>
  <c r="M191" i="63" s="1"/>
  <c r="C191" i="63"/>
  <c r="I190" i="63"/>
  <c r="M190" i="63" s="1"/>
  <c r="C190" i="63"/>
  <c r="I189" i="63"/>
  <c r="C189" i="63"/>
  <c r="I188" i="63"/>
  <c r="M188" i="63" s="1"/>
  <c r="C188" i="63"/>
  <c r="I187" i="63"/>
  <c r="C187" i="63"/>
  <c r="I186" i="63"/>
  <c r="M186" i="63" s="1"/>
  <c r="C186" i="63"/>
  <c r="I185" i="63"/>
  <c r="C185" i="63"/>
  <c r="I184" i="63"/>
  <c r="M184" i="63" s="1"/>
  <c r="C184" i="63"/>
  <c r="I183" i="63"/>
  <c r="C183" i="63"/>
  <c r="I182" i="63"/>
  <c r="C182" i="63"/>
  <c r="I181" i="63"/>
  <c r="M181" i="63" s="1"/>
  <c r="C181" i="63"/>
  <c r="I180" i="63"/>
  <c r="M180" i="63" s="1"/>
  <c r="C180" i="63"/>
  <c r="I179" i="63"/>
  <c r="M179" i="63" s="1"/>
  <c r="C179" i="63"/>
  <c r="I178" i="63"/>
  <c r="M178" i="63" s="1"/>
  <c r="C178" i="63"/>
  <c r="I177" i="63"/>
  <c r="C177" i="63"/>
  <c r="I176" i="63"/>
  <c r="C176" i="63"/>
  <c r="B174" i="63"/>
  <c r="B255" i="63" s="1"/>
  <c r="B171" i="63"/>
  <c r="G165" i="63"/>
  <c r="D164" i="63"/>
  <c r="I163" i="63"/>
  <c r="C163" i="63"/>
  <c r="I162" i="63"/>
  <c r="C162" i="63"/>
  <c r="I161" i="63"/>
  <c r="M161" i="63" s="1"/>
  <c r="C161" i="63"/>
  <c r="I160" i="63"/>
  <c r="M160" i="63" s="1"/>
  <c r="C160" i="63"/>
  <c r="I159" i="63"/>
  <c r="M159" i="63" s="1"/>
  <c r="C159" i="63"/>
  <c r="I158" i="63"/>
  <c r="C158" i="63"/>
  <c r="I157" i="63"/>
  <c r="C157" i="63"/>
  <c r="I156" i="63"/>
  <c r="C156" i="63"/>
  <c r="I155" i="63"/>
  <c r="M155" i="63" s="1"/>
  <c r="C155" i="63"/>
  <c r="I154" i="63"/>
  <c r="M154" i="63" s="1"/>
  <c r="C154" i="63"/>
  <c r="I153" i="63"/>
  <c r="M153" i="63" s="1"/>
  <c r="C153" i="63"/>
  <c r="I152" i="63"/>
  <c r="M152" i="63" s="1"/>
  <c r="C152" i="63"/>
  <c r="I151" i="63"/>
  <c r="C151" i="63"/>
  <c r="I150" i="63"/>
  <c r="C150" i="63"/>
  <c r="I149" i="63"/>
  <c r="M149" i="63" s="1"/>
  <c r="C149" i="63"/>
  <c r="I148" i="63"/>
  <c r="C148" i="63"/>
  <c r="I147" i="63"/>
  <c r="C147" i="63"/>
  <c r="I146" i="63"/>
  <c r="C146" i="63"/>
  <c r="D145" i="63"/>
  <c r="I144" i="63"/>
  <c r="C144" i="63"/>
  <c r="I143" i="63"/>
  <c r="M143" i="63" s="1"/>
  <c r="C143" i="63"/>
  <c r="I142" i="63"/>
  <c r="I141" i="63"/>
  <c r="C141" i="63"/>
  <c r="I140" i="63"/>
  <c r="M140" i="63" s="1"/>
  <c r="C140" i="63"/>
  <c r="I139" i="63"/>
  <c r="M139" i="63" s="1"/>
  <c r="C139" i="63"/>
  <c r="I138" i="63"/>
  <c r="C138" i="63"/>
  <c r="I137" i="63"/>
  <c r="M137" i="63" s="1"/>
  <c r="C137" i="63"/>
  <c r="I136" i="63"/>
  <c r="C136" i="63"/>
  <c r="I135" i="63"/>
  <c r="C135" i="63"/>
  <c r="I134" i="63"/>
  <c r="C134" i="63"/>
  <c r="I133" i="63"/>
  <c r="C133" i="63"/>
  <c r="I132" i="63"/>
  <c r="C132" i="63"/>
  <c r="I131" i="63"/>
  <c r="C131" i="63"/>
  <c r="I130" i="63"/>
  <c r="C130" i="63"/>
  <c r="I129" i="63"/>
  <c r="C129" i="63"/>
  <c r="I128" i="63"/>
  <c r="C128" i="63"/>
  <c r="I127" i="63"/>
  <c r="C127" i="63"/>
  <c r="I126" i="63"/>
  <c r="M126" i="63" s="1"/>
  <c r="C126" i="63"/>
  <c r="I125" i="63"/>
  <c r="C125" i="63"/>
  <c r="I124" i="63"/>
  <c r="C124" i="63"/>
  <c r="I123" i="63"/>
  <c r="C123" i="63"/>
  <c r="I122" i="63"/>
  <c r="C122" i="63"/>
  <c r="I121" i="63"/>
  <c r="C121" i="63"/>
  <c r="I120" i="63"/>
  <c r="C120" i="63"/>
  <c r="I119" i="63"/>
  <c r="M119" i="63" s="1"/>
  <c r="C119" i="63"/>
  <c r="I118" i="63"/>
  <c r="M118" i="63" s="1"/>
  <c r="C118" i="63"/>
  <c r="I117" i="63"/>
  <c r="C117" i="63"/>
  <c r="I116" i="63"/>
  <c r="M116" i="63" s="1"/>
  <c r="C116" i="63"/>
  <c r="I115" i="63"/>
  <c r="M115" i="63" s="1"/>
  <c r="C115" i="63"/>
  <c r="I114" i="63"/>
  <c r="C114" i="63"/>
  <c r="I113" i="63"/>
  <c r="C113" i="63"/>
  <c r="I112" i="63"/>
  <c r="M112" i="63" s="1"/>
  <c r="C112" i="63"/>
  <c r="I111" i="63"/>
  <c r="C111" i="63"/>
  <c r="I110" i="63"/>
  <c r="C110" i="63"/>
  <c r="I109" i="63"/>
  <c r="C109" i="63"/>
  <c r="I108" i="63"/>
  <c r="M108" i="63" s="1"/>
  <c r="C108" i="63"/>
  <c r="I107" i="63"/>
  <c r="I106" i="63"/>
  <c r="C106" i="63"/>
  <c r="I105" i="63"/>
  <c r="M105" i="63" s="1"/>
  <c r="C105" i="63"/>
  <c r="I104" i="63"/>
  <c r="C104" i="63"/>
  <c r="I103" i="63"/>
  <c r="C103" i="63"/>
  <c r="I102" i="63"/>
  <c r="M102" i="63" s="1"/>
  <c r="C102" i="63"/>
  <c r="I101" i="63"/>
  <c r="C101" i="63"/>
  <c r="I100" i="63"/>
  <c r="C100" i="63"/>
  <c r="I99" i="63"/>
  <c r="C99" i="63"/>
  <c r="I98" i="63"/>
  <c r="M98" i="63" s="1"/>
  <c r="C98" i="63"/>
  <c r="I97" i="63"/>
  <c r="M97" i="63" s="1"/>
  <c r="C97" i="63"/>
  <c r="I96" i="63"/>
  <c r="C96" i="63"/>
  <c r="I95" i="63"/>
  <c r="M95" i="63" s="1"/>
  <c r="C95" i="63"/>
  <c r="I94" i="63"/>
  <c r="C94" i="63"/>
  <c r="I93" i="63"/>
  <c r="C93" i="63"/>
  <c r="B91" i="63"/>
  <c r="B88" i="63"/>
  <c r="G82" i="63"/>
  <c r="B82" i="63"/>
  <c r="B165" i="63" s="1"/>
  <c r="I80" i="63"/>
  <c r="C80" i="63"/>
  <c r="I79" i="63"/>
  <c r="C79" i="63"/>
  <c r="I78" i="63"/>
  <c r="C78" i="63"/>
  <c r="I77" i="63"/>
  <c r="C77" i="63"/>
  <c r="I76" i="63"/>
  <c r="C76" i="63"/>
  <c r="I75" i="63"/>
  <c r="C75" i="63"/>
  <c r="I74" i="63"/>
  <c r="M74" i="63" s="1"/>
  <c r="C74" i="63"/>
  <c r="I73" i="63"/>
  <c r="M73" i="63" s="1"/>
  <c r="C73" i="63"/>
  <c r="I72" i="63"/>
  <c r="M72" i="63" s="1"/>
  <c r="C72" i="63"/>
  <c r="I71" i="63"/>
  <c r="C71" i="63"/>
  <c r="I70" i="63"/>
  <c r="M70" i="63" s="1"/>
  <c r="C70" i="63"/>
  <c r="I69" i="63"/>
  <c r="M69" i="63" s="1"/>
  <c r="C69" i="63"/>
  <c r="I68" i="63"/>
  <c r="M68" i="63" s="1"/>
  <c r="C68" i="63"/>
  <c r="I67" i="63"/>
  <c r="C67" i="63"/>
  <c r="I66" i="63"/>
  <c r="C66" i="63"/>
  <c r="I65" i="63"/>
  <c r="C65" i="63"/>
  <c r="I64" i="63"/>
  <c r="M64" i="63" s="1"/>
  <c r="C64" i="63"/>
  <c r="D63" i="63"/>
  <c r="I62" i="63"/>
  <c r="C62" i="63"/>
  <c r="I61" i="63"/>
  <c r="M61" i="63" s="1"/>
  <c r="C61" i="63"/>
  <c r="I60" i="63"/>
  <c r="C60" i="63"/>
  <c r="I59" i="63"/>
  <c r="C59" i="63"/>
  <c r="I58" i="63"/>
  <c r="M58" i="63" s="1"/>
  <c r="C58" i="63"/>
  <c r="I57" i="63"/>
  <c r="M57" i="63" s="1"/>
  <c r="C57" i="63"/>
  <c r="I56" i="63"/>
  <c r="C56" i="63"/>
  <c r="D55" i="63"/>
  <c r="I54" i="63"/>
  <c r="C54" i="63"/>
  <c r="D53" i="63"/>
  <c r="I52" i="63"/>
  <c r="M52" i="63" s="1"/>
  <c r="C52" i="63"/>
  <c r="I51" i="63"/>
  <c r="M51" i="63" s="1"/>
  <c r="C51" i="63"/>
  <c r="I50" i="63"/>
  <c r="M50" i="63" s="1"/>
  <c r="C50" i="63"/>
  <c r="I49" i="63"/>
  <c r="M49" i="63" s="1"/>
  <c r="C49" i="63"/>
  <c r="I48" i="63"/>
  <c r="M48" i="63" s="1"/>
  <c r="C48" i="63"/>
  <c r="I47" i="63"/>
  <c r="M47" i="63" s="1"/>
  <c r="C47" i="63"/>
  <c r="I46" i="63"/>
  <c r="C46" i="63"/>
  <c r="I45" i="63"/>
  <c r="C45" i="63"/>
  <c r="I44" i="63"/>
  <c r="C44" i="63"/>
  <c r="I43" i="63"/>
  <c r="C43" i="63"/>
  <c r="I42" i="63"/>
  <c r="C42" i="63"/>
  <c r="I41" i="63"/>
  <c r="C41" i="63"/>
  <c r="I40" i="63"/>
  <c r="C40" i="63"/>
  <c r="I39" i="63"/>
  <c r="C39" i="63"/>
  <c r="I38" i="63"/>
  <c r="M38" i="63" s="1"/>
  <c r="C38" i="63"/>
  <c r="I37" i="63"/>
  <c r="C37" i="63"/>
  <c r="I36" i="63"/>
  <c r="M36" i="63" s="1"/>
  <c r="C36" i="63"/>
  <c r="I35" i="63"/>
  <c r="C35" i="63"/>
  <c r="I34" i="63"/>
  <c r="M34" i="63" s="1"/>
  <c r="C34" i="63"/>
  <c r="I33" i="63"/>
  <c r="M33" i="63" s="1"/>
  <c r="C33" i="63"/>
  <c r="I32" i="63"/>
  <c r="M32" i="63" s="1"/>
  <c r="C32" i="63"/>
  <c r="I31" i="63"/>
  <c r="C31" i="63"/>
  <c r="D30" i="63"/>
  <c r="I29" i="63"/>
  <c r="I30" i="63" s="1"/>
  <c r="M30" i="63" s="1"/>
  <c r="C29" i="63"/>
  <c r="D28" i="63"/>
  <c r="I27" i="63"/>
  <c r="C27" i="63"/>
  <c r="I26" i="63"/>
  <c r="M26" i="63" s="1"/>
  <c r="C26" i="63"/>
  <c r="I25" i="63"/>
  <c r="M25" i="63" s="1"/>
  <c r="C25" i="63"/>
  <c r="I24" i="63"/>
  <c r="M24" i="63" s="1"/>
  <c r="C24" i="63"/>
  <c r="I23" i="63"/>
  <c r="C23" i="63"/>
  <c r="I22" i="63"/>
  <c r="C22" i="63"/>
  <c r="D21" i="63"/>
  <c r="I20" i="63"/>
  <c r="I21" i="63" s="1"/>
  <c r="M21" i="63" s="1"/>
  <c r="C20" i="63"/>
  <c r="D19" i="63"/>
  <c r="I18" i="63"/>
  <c r="M18" i="63" s="1"/>
  <c r="C18" i="63"/>
  <c r="I17" i="63"/>
  <c r="C17" i="63"/>
  <c r="I16" i="63"/>
  <c r="M16" i="63" s="1"/>
  <c r="C16" i="63"/>
  <c r="I15" i="63"/>
  <c r="C15" i="63"/>
  <c r="I14" i="63"/>
  <c r="C14" i="63"/>
  <c r="I13" i="63"/>
  <c r="C13" i="63"/>
  <c r="K11" i="63"/>
  <c r="K91" i="63" s="1"/>
  <c r="K174" i="63" s="1"/>
  <c r="K255" i="63" s="1"/>
  <c r="J11" i="63"/>
  <c r="J91" i="63" s="1"/>
  <c r="J174" i="63" s="1"/>
  <c r="J255" i="63" s="1"/>
  <c r="B11" i="63"/>
  <c r="J10" i="63"/>
  <c r="J90" i="63" s="1"/>
  <c r="J173" i="63" s="1"/>
  <c r="J254" i="63" s="1"/>
  <c r="B8" i="63"/>
  <c r="K6" i="63"/>
  <c r="K86" i="63" s="1"/>
  <c r="K169" i="63" s="1"/>
  <c r="K250" i="63" s="1"/>
  <c r="I6" i="63"/>
  <c r="H86" i="63" s="1"/>
  <c r="I169" i="63" s="1"/>
  <c r="I250" i="63" s="1"/>
  <c r="D6" i="63"/>
  <c r="D86" i="63" s="1"/>
  <c r="D169" i="63" s="1"/>
  <c r="D250" i="63" s="1"/>
  <c r="K5" i="63"/>
  <c r="K85" i="63" s="1"/>
  <c r="K168" i="63" s="1"/>
  <c r="K249" i="63" s="1"/>
  <c r="D5" i="63"/>
  <c r="D85" i="63" s="1"/>
  <c r="D168" i="63" s="1"/>
  <c r="D249" i="63" s="1"/>
  <c r="D4" i="63"/>
  <c r="D84" i="63" s="1"/>
  <c r="D167" i="63" s="1"/>
  <c r="D248" i="63" s="1"/>
  <c r="D3" i="63"/>
  <c r="D83" i="63" s="1"/>
  <c r="G2" i="63"/>
  <c r="B2" i="63"/>
  <c r="E84" i="62"/>
  <c r="E83" i="62"/>
  <c r="E82" i="62"/>
  <c r="C82" i="62"/>
  <c r="E81" i="62"/>
  <c r="C81" i="62"/>
  <c r="E80" i="62"/>
  <c r="C80" i="62"/>
  <c r="E79" i="62"/>
  <c r="C79" i="62"/>
  <c r="E78" i="62"/>
  <c r="C78" i="62"/>
  <c r="E77" i="62"/>
  <c r="C77" i="62"/>
  <c r="E76" i="62"/>
  <c r="C76" i="62"/>
  <c r="E75" i="62"/>
  <c r="C75" i="62"/>
  <c r="E74" i="62"/>
  <c r="C74" i="62"/>
  <c r="E73" i="62"/>
  <c r="C73" i="62"/>
  <c r="E72" i="62"/>
  <c r="C72" i="62"/>
  <c r="E71" i="62"/>
  <c r="C71" i="62"/>
  <c r="E70" i="62"/>
  <c r="C70" i="62"/>
  <c r="E69" i="62"/>
  <c r="C69" i="62"/>
  <c r="E68" i="62"/>
  <c r="C68" i="62"/>
  <c r="E67" i="62"/>
  <c r="C67" i="62"/>
  <c r="E66" i="62"/>
  <c r="C66" i="62"/>
  <c r="E65" i="62"/>
  <c r="C65" i="62"/>
  <c r="E64" i="62"/>
  <c r="C64" i="62"/>
  <c r="E63" i="62"/>
  <c r="C63" i="62"/>
  <c r="E62" i="62"/>
  <c r="C62" i="62"/>
  <c r="E61" i="62"/>
  <c r="C61" i="62"/>
  <c r="E60" i="62"/>
  <c r="C60" i="62"/>
  <c r="E59" i="62"/>
  <c r="C59" i="62"/>
  <c r="E58" i="62"/>
  <c r="C58" i="62"/>
  <c r="E57" i="62"/>
  <c r="C57" i="62"/>
  <c r="E56" i="62"/>
  <c r="C56" i="62"/>
  <c r="E55" i="62"/>
  <c r="C55" i="62"/>
  <c r="E54" i="62"/>
  <c r="C54" i="62"/>
  <c r="E53" i="62"/>
  <c r="C53" i="62"/>
  <c r="E52" i="62"/>
  <c r="C52" i="62"/>
  <c r="E51" i="62"/>
  <c r="C51" i="62"/>
  <c r="E50" i="62"/>
  <c r="C50" i="62"/>
  <c r="E49" i="62"/>
  <c r="C49" i="62"/>
  <c r="E48" i="62"/>
  <c r="C48" i="62"/>
  <c r="E47" i="62"/>
  <c r="C47" i="62"/>
  <c r="E46" i="62"/>
  <c r="C46" i="62"/>
  <c r="E45" i="62"/>
  <c r="C45" i="62"/>
  <c r="E44" i="62"/>
  <c r="C44" i="62"/>
  <c r="E43" i="62"/>
  <c r="C43" i="62"/>
  <c r="E42" i="62"/>
  <c r="C42" i="62"/>
  <c r="E41" i="62"/>
  <c r="C41" i="62"/>
  <c r="E40" i="62"/>
  <c r="C40" i="62"/>
  <c r="E39" i="62"/>
  <c r="C39" i="62"/>
  <c r="E38" i="62"/>
  <c r="C38" i="62"/>
  <c r="E37" i="62"/>
  <c r="C37" i="62"/>
  <c r="E36" i="62"/>
  <c r="C36" i="62"/>
  <c r="E35" i="62"/>
  <c r="C35" i="62"/>
  <c r="E34" i="62"/>
  <c r="C34" i="62"/>
  <c r="E33" i="62"/>
  <c r="C33" i="62"/>
  <c r="C32" i="62"/>
  <c r="E31" i="62"/>
  <c r="C31" i="62"/>
  <c r="E30" i="62"/>
  <c r="C30" i="62"/>
  <c r="E29" i="62"/>
  <c r="C29" i="62"/>
  <c r="E28" i="62"/>
  <c r="C28" i="62"/>
  <c r="E27" i="62"/>
  <c r="C27" i="62"/>
  <c r="E26" i="62"/>
  <c r="C26" i="62"/>
  <c r="E25" i="62"/>
  <c r="C25" i="62"/>
  <c r="E24" i="62"/>
  <c r="C24" i="62"/>
  <c r="E23" i="62"/>
  <c r="C23" i="62"/>
  <c r="E22" i="62"/>
  <c r="C22" i="62"/>
  <c r="E21" i="62"/>
  <c r="C21" i="62"/>
  <c r="E20" i="62"/>
  <c r="C20" i="62"/>
  <c r="E19" i="62"/>
  <c r="C19" i="62"/>
  <c r="E18" i="62"/>
  <c r="C18" i="62"/>
  <c r="E17" i="62"/>
  <c r="C17" i="62"/>
  <c r="E16" i="62"/>
  <c r="C16" i="62"/>
  <c r="E15" i="62"/>
  <c r="C15" i="62"/>
  <c r="E14" i="62"/>
  <c r="C14" i="62"/>
  <c r="E13" i="62"/>
  <c r="C13" i="62"/>
  <c r="E12" i="62"/>
  <c r="C12" i="62"/>
  <c r="E11" i="62"/>
  <c r="C11" i="62"/>
  <c r="E10" i="62"/>
  <c r="C10" i="62"/>
  <c r="E9" i="62"/>
  <c r="C9" i="62"/>
  <c r="E8" i="62"/>
  <c r="C8" i="62"/>
  <c r="E7" i="62"/>
  <c r="C7" i="62"/>
  <c r="E6" i="62"/>
  <c r="C6" i="62"/>
  <c r="E5" i="62"/>
  <c r="C5" i="62"/>
  <c r="E4" i="62"/>
  <c r="C4" i="62"/>
  <c r="E3" i="62"/>
  <c r="C3" i="62"/>
  <c r="B43" i="61"/>
  <c r="B42" i="61"/>
  <c r="B41" i="61"/>
  <c r="B40" i="61"/>
  <c r="B36" i="61"/>
  <c r="B34" i="61"/>
  <c r="B32" i="61"/>
  <c r="B30" i="61"/>
  <c r="B28" i="61"/>
  <c r="B26" i="61"/>
  <c r="B24" i="61"/>
  <c r="G23" i="61"/>
  <c r="G21" i="61"/>
  <c r="B20" i="61"/>
  <c r="G19" i="61"/>
  <c r="B18" i="61"/>
  <c r="B16" i="61"/>
  <c r="B14" i="61"/>
  <c r="G13" i="61"/>
  <c r="B12" i="61"/>
  <c r="B10" i="61"/>
  <c r="G9" i="61"/>
  <c r="B8" i="61"/>
  <c r="G7" i="61"/>
  <c r="B7" i="61"/>
  <c r="G4" i="61"/>
  <c r="B4" i="61"/>
  <c r="B2" i="61"/>
  <c r="B58" i="60"/>
  <c r="B57" i="60"/>
  <c r="B56" i="60"/>
  <c r="B55" i="60"/>
  <c r="B54" i="60"/>
  <c r="B53" i="60"/>
  <c r="B52" i="60"/>
  <c r="B51" i="60"/>
  <c r="B50" i="60"/>
  <c r="B49" i="60"/>
  <c r="B48" i="60"/>
  <c r="B47" i="60"/>
  <c r="B46" i="60"/>
  <c r="B45" i="60"/>
  <c r="B44" i="60"/>
  <c r="B43" i="60"/>
  <c r="B42" i="60"/>
  <c r="B41" i="60"/>
  <c r="B40" i="60"/>
  <c r="B39" i="60"/>
  <c r="B38" i="60"/>
  <c r="B37" i="60"/>
  <c r="B36" i="60"/>
  <c r="B35" i="60"/>
  <c r="B34" i="60"/>
  <c r="B33" i="60"/>
  <c r="B32" i="60"/>
  <c r="B31" i="60"/>
  <c r="B30" i="60"/>
  <c r="B29" i="60"/>
  <c r="B28" i="60"/>
  <c r="B27" i="60"/>
  <c r="B26" i="60"/>
  <c r="B25" i="60"/>
  <c r="B24" i="60"/>
  <c r="B23" i="60"/>
  <c r="B22" i="60"/>
  <c r="B21" i="60"/>
  <c r="B20" i="60"/>
  <c r="B19" i="60"/>
  <c r="B18" i="60"/>
  <c r="B17" i="60"/>
  <c r="B16" i="60"/>
  <c r="B15" i="60"/>
  <c r="B14" i="60"/>
  <c r="B13" i="60"/>
  <c r="B12" i="60"/>
  <c r="B10" i="60"/>
  <c r="F2" i="60"/>
  <c r="B69" i="59"/>
  <c r="B68" i="59"/>
  <c r="B67" i="59"/>
  <c r="B65" i="59"/>
  <c r="B64" i="59"/>
  <c r="B63" i="59"/>
  <c r="L62" i="59"/>
  <c r="M62" i="59" s="1"/>
  <c r="K62" i="59"/>
  <c r="J62" i="59"/>
  <c r="H62" i="59"/>
  <c r="B62" i="59"/>
  <c r="B61" i="59"/>
  <c r="B60" i="59"/>
  <c r="B59" i="59"/>
  <c r="B58" i="59"/>
  <c r="K57" i="59"/>
  <c r="J57" i="59"/>
  <c r="B57" i="59"/>
  <c r="B56" i="59"/>
  <c r="B55" i="59"/>
  <c r="B54" i="59"/>
  <c r="B53" i="59"/>
  <c r="B52" i="59"/>
  <c r="B51" i="59"/>
  <c r="B50" i="59"/>
  <c r="B49" i="59"/>
  <c r="B48" i="59"/>
  <c r="B47" i="59"/>
  <c r="B46" i="59"/>
  <c r="B45" i="59"/>
  <c r="B44" i="59"/>
  <c r="B43" i="59"/>
  <c r="K42" i="59"/>
  <c r="J42" i="59"/>
  <c r="L42" i="59" s="1"/>
  <c r="M42" i="59" s="1"/>
  <c r="B42" i="59"/>
  <c r="B41" i="59"/>
  <c r="B40" i="59"/>
  <c r="K39" i="59"/>
  <c r="J39" i="59"/>
  <c r="L39" i="59" s="1"/>
  <c r="M39" i="59" s="1"/>
  <c r="H39" i="59"/>
  <c r="D39" i="59"/>
  <c r="B38" i="59"/>
  <c r="G37" i="59"/>
  <c r="B37" i="59"/>
  <c r="B36" i="59"/>
  <c r="B35" i="59"/>
  <c r="B34" i="59"/>
  <c r="G33" i="59"/>
  <c r="B33" i="59"/>
  <c r="G32" i="59"/>
  <c r="B32" i="59"/>
  <c r="G31" i="59"/>
  <c r="B31" i="59"/>
  <c r="G30" i="59"/>
  <c r="K30" i="59" s="1"/>
  <c r="B30" i="59"/>
  <c r="G29" i="59"/>
  <c r="B29" i="59"/>
  <c r="B28" i="59"/>
  <c r="G27" i="59"/>
  <c r="B27" i="59"/>
  <c r="B26" i="59"/>
  <c r="B25" i="59"/>
  <c r="G24" i="59"/>
  <c r="K24" i="59" s="1"/>
  <c r="B24" i="59"/>
  <c r="G23" i="59"/>
  <c r="K23" i="59" s="1"/>
  <c r="B23" i="59"/>
  <c r="B22" i="59"/>
  <c r="K21" i="59"/>
  <c r="J21" i="59"/>
  <c r="L21" i="59" s="1"/>
  <c r="M21" i="59" s="1"/>
  <c r="B21" i="59"/>
  <c r="B20" i="59"/>
  <c r="B19" i="59"/>
  <c r="B18" i="59"/>
  <c r="B17" i="59"/>
  <c r="B16" i="59"/>
  <c r="B15" i="59"/>
  <c r="B14" i="59"/>
  <c r="B13" i="59"/>
  <c r="B12" i="59"/>
  <c r="B11" i="59"/>
  <c r="H10" i="59"/>
  <c r="G10" i="59"/>
  <c r="I11" i="63" s="1"/>
  <c r="I91" i="63" s="1"/>
  <c r="I174" i="63" s="1"/>
  <c r="I255" i="63" s="1"/>
  <c r="F10" i="59"/>
  <c r="H11" i="63" s="1"/>
  <c r="H91" i="63" s="1"/>
  <c r="H174" i="63" s="1"/>
  <c r="H255" i="63" s="1"/>
  <c r="B10" i="59"/>
  <c r="B9" i="59"/>
  <c r="B8" i="59"/>
  <c r="G2" i="59"/>
  <c r="H13" i="58"/>
  <c r="F13" i="58"/>
  <c r="F12" i="58"/>
  <c r="D12" i="58"/>
  <c r="J11" i="58"/>
  <c r="D11" i="58"/>
  <c r="C11" i="58"/>
  <c r="B11" i="58"/>
  <c r="B9" i="58"/>
  <c r="I2" i="58"/>
  <c r="B37" i="57"/>
  <c r="E11" i="57"/>
  <c r="E14" i="58" s="1"/>
  <c r="D11" i="57"/>
  <c r="D14" i="58" s="1"/>
  <c r="J10" i="57"/>
  <c r="H10" i="57"/>
  <c r="F10" i="57"/>
  <c r="D10" i="57"/>
  <c r="C10" i="57"/>
  <c r="B10" i="57"/>
  <c r="B9" i="57"/>
  <c r="J2" i="57"/>
  <c r="B40" i="56"/>
  <c r="E39" i="56"/>
  <c r="B39" i="56"/>
  <c r="E38" i="56"/>
  <c r="B38" i="56"/>
  <c r="E37" i="56"/>
  <c r="B37" i="56"/>
  <c r="E36" i="56"/>
  <c r="B36" i="56"/>
  <c r="B34" i="56"/>
  <c r="B33" i="56"/>
  <c r="B32" i="56"/>
  <c r="B31" i="56"/>
  <c r="B30" i="56"/>
  <c r="B29" i="56"/>
  <c r="B28" i="56"/>
  <c r="B27" i="56"/>
  <c r="B26" i="56"/>
  <c r="B25" i="56"/>
  <c r="B24" i="56"/>
  <c r="B23" i="56"/>
  <c r="B22" i="56"/>
  <c r="B21" i="56"/>
  <c r="B20" i="56"/>
  <c r="B19" i="56"/>
  <c r="B18" i="56"/>
  <c r="B17" i="56"/>
  <c r="B16" i="56"/>
  <c r="B15" i="56"/>
  <c r="B14" i="56"/>
  <c r="B13" i="56"/>
  <c r="B12" i="56"/>
  <c r="B11" i="56"/>
  <c r="C10" i="56"/>
  <c r="B9" i="56"/>
  <c r="G2" i="56"/>
  <c r="B34" i="55"/>
  <c r="B33" i="55"/>
  <c r="G32" i="55"/>
  <c r="J32" i="55" s="1"/>
  <c r="B32" i="55"/>
  <c r="G31" i="55"/>
  <c r="J31" i="55" s="1"/>
  <c r="B31" i="55"/>
  <c r="G30" i="55"/>
  <c r="J30" i="55" s="1"/>
  <c r="B30" i="55"/>
  <c r="G29" i="55"/>
  <c r="J29" i="55" s="1"/>
  <c r="B29" i="55"/>
  <c r="G28" i="55"/>
  <c r="J28" i="55" s="1"/>
  <c r="B28" i="55"/>
  <c r="G27" i="55"/>
  <c r="J27" i="55" s="1"/>
  <c r="B27" i="55"/>
  <c r="G26" i="55"/>
  <c r="J26" i="55" s="1"/>
  <c r="B26" i="55"/>
  <c r="J25" i="55"/>
  <c r="I25" i="55"/>
  <c r="H25" i="55" s="1"/>
  <c r="J24" i="55"/>
  <c r="I24" i="55"/>
  <c r="H24" i="55" s="1"/>
  <c r="G23" i="55"/>
  <c r="B23" i="55"/>
  <c r="G22" i="55"/>
  <c r="J22" i="55" s="1"/>
  <c r="B22" i="55"/>
  <c r="B21" i="55"/>
  <c r="G20" i="55"/>
  <c r="J20" i="55" s="1"/>
  <c r="B20" i="55"/>
  <c r="G19" i="55"/>
  <c r="J19" i="55" s="1"/>
  <c r="B19" i="55"/>
  <c r="G18" i="55"/>
  <c r="J18" i="55" s="1"/>
  <c r="B18" i="55"/>
  <c r="G17" i="55"/>
  <c r="J17" i="55" s="1"/>
  <c r="B17" i="55"/>
  <c r="G16" i="55"/>
  <c r="J16" i="55" s="1"/>
  <c r="B16" i="55"/>
  <c r="G15" i="55"/>
  <c r="J15" i="55" s="1"/>
  <c r="B15" i="55"/>
  <c r="G14" i="55"/>
  <c r="J14" i="55" s="1"/>
  <c r="B14" i="55"/>
  <c r="J13" i="55"/>
  <c r="I13" i="55"/>
  <c r="H13" i="55" s="1"/>
  <c r="J12" i="55"/>
  <c r="I12" i="55"/>
  <c r="H12" i="55" s="1"/>
  <c r="G11" i="55"/>
  <c r="B11" i="55"/>
  <c r="B9" i="55"/>
  <c r="G2" i="55"/>
  <c r="B31" i="54"/>
  <c r="B30" i="54"/>
  <c r="G29" i="54"/>
  <c r="G28" i="54"/>
  <c r="J28" i="54" s="1"/>
  <c r="B28" i="54"/>
  <c r="G27" i="54"/>
  <c r="J27" i="54" s="1"/>
  <c r="B27" i="54"/>
  <c r="G26" i="54"/>
  <c r="B26" i="54"/>
  <c r="G25" i="54"/>
  <c r="J25" i="54" s="1"/>
  <c r="B25" i="54"/>
  <c r="G24" i="54"/>
  <c r="J24" i="54" s="1"/>
  <c r="B24" i="54"/>
  <c r="G23" i="54"/>
  <c r="B23" i="54"/>
  <c r="G22" i="54"/>
  <c r="B22" i="54"/>
  <c r="B21" i="54"/>
  <c r="G20" i="54"/>
  <c r="G19" i="54"/>
  <c r="J19" i="54" s="1"/>
  <c r="B19" i="54"/>
  <c r="G18" i="54"/>
  <c r="J18" i="54" s="1"/>
  <c r="B18" i="54"/>
  <c r="G17" i="54"/>
  <c r="J17" i="54" s="1"/>
  <c r="B17" i="54"/>
  <c r="G16" i="54"/>
  <c r="B16" i="54"/>
  <c r="G15" i="54"/>
  <c r="J15" i="54" s="1"/>
  <c r="B15" i="54"/>
  <c r="G14" i="54"/>
  <c r="B14" i="54"/>
  <c r="G13" i="54"/>
  <c r="J13" i="54" s="1"/>
  <c r="B13" i="54"/>
  <c r="G12" i="54"/>
  <c r="B12" i="54"/>
  <c r="G11" i="54"/>
  <c r="B11" i="54"/>
  <c r="B9" i="54"/>
  <c r="G2" i="54"/>
  <c r="B22" i="53"/>
  <c r="B21" i="53"/>
  <c r="B20" i="53"/>
  <c r="B19" i="53"/>
  <c r="B18" i="53"/>
  <c r="B17" i="53"/>
  <c r="B16" i="53"/>
  <c r="B15" i="53"/>
  <c r="B14" i="53"/>
  <c r="B13" i="53"/>
  <c r="K11" i="53"/>
  <c r="E11" i="53"/>
  <c r="B8" i="53"/>
  <c r="J2" i="53"/>
  <c r="B31" i="52"/>
  <c r="B29" i="52"/>
  <c r="B28" i="52"/>
  <c r="B27" i="52"/>
  <c r="B26" i="52"/>
  <c r="B25" i="52"/>
  <c r="B24" i="52"/>
  <c r="B23" i="52"/>
  <c r="K22" i="52"/>
  <c r="B22" i="52"/>
  <c r="K21" i="52"/>
  <c r="B21" i="52"/>
  <c r="K20" i="52"/>
  <c r="B20" i="52"/>
  <c r="K19" i="52"/>
  <c r="B19" i="52"/>
  <c r="B18" i="52"/>
  <c r="B17" i="52"/>
  <c r="B16" i="52"/>
  <c r="B15" i="52"/>
  <c r="B14" i="52"/>
  <c r="K11" i="52"/>
  <c r="I11" i="52"/>
  <c r="G11" i="52"/>
  <c r="E11" i="52"/>
  <c r="B10" i="52"/>
  <c r="B10" i="53" s="1"/>
  <c r="K2" i="52"/>
  <c r="B24" i="51"/>
  <c r="B23" i="51"/>
  <c r="B22" i="51"/>
  <c r="B21" i="51"/>
  <c r="B20" i="51"/>
  <c r="L19" i="51"/>
  <c r="I19" i="51"/>
  <c r="B19" i="51"/>
  <c r="B18" i="51"/>
  <c r="B17" i="51"/>
  <c r="B16" i="51"/>
  <c r="B15" i="51"/>
  <c r="B14" i="51"/>
  <c r="B13" i="51"/>
  <c r="B12" i="51"/>
  <c r="B11" i="51"/>
  <c r="I10" i="51"/>
  <c r="G12" i="53" s="1"/>
  <c r="J12" i="53" s="1"/>
  <c r="H10" i="51"/>
  <c r="G10" i="51"/>
  <c r="E12" i="53" s="1"/>
  <c r="H12" i="53" s="1"/>
  <c r="M9" i="51"/>
  <c r="J9" i="51"/>
  <c r="G9" i="51"/>
  <c r="F9" i="51"/>
  <c r="B8" i="51"/>
  <c r="B7" i="51"/>
  <c r="L2" i="51"/>
  <c r="P29" i="50"/>
  <c r="P28" i="50"/>
  <c r="L28" i="50"/>
  <c r="C28" i="50"/>
  <c r="P27" i="50"/>
  <c r="L27" i="50"/>
  <c r="C27" i="50"/>
  <c r="P26" i="50"/>
  <c r="N26" i="50"/>
  <c r="M26" i="50"/>
  <c r="K26" i="50"/>
  <c r="J26" i="50"/>
  <c r="I26" i="50"/>
  <c r="H26" i="50"/>
  <c r="G26" i="50"/>
  <c r="F26" i="50"/>
  <c r="P25" i="50"/>
  <c r="L25" i="50"/>
  <c r="L24" i="50"/>
  <c r="C24" i="50"/>
  <c r="L23" i="50"/>
  <c r="C23" i="50"/>
  <c r="L22" i="50"/>
  <c r="C22" i="50"/>
  <c r="C21" i="50"/>
  <c r="M20" i="50"/>
  <c r="T18" i="50"/>
  <c r="L18" i="50"/>
  <c r="C18" i="50"/>
  <c r="T17" i="50"/>
  <c r="L17" i="50"/>
  <c r="C17" i="50"/>
  <c r="S16" i="50"/>
  <c r="R16" i="50"/>
  <c r="Q16" i="50"/>
  <c r="P16" i="50"/>
  <c r="N16" i="50"/>
  <c r="M16" i="50"/>
  <c r="K16" i="50"/>
  <c r="J16" i="50"/>
  <c r="I16" i="50"/>
  <c r="H16" i="50"/>
  <c r="G16" i="50"/>
  <c r="F16" i="50"/>
  <c r="T15" i="50"/>
  <c r="L15" i="50"/>
  <c r="C15" i="50"/>
  <c r="T14" i="50"/>
  <c r="L14" i="50"/>
  <c r="C14" i="50"/>
  <c r="T13" i="50"/>
  <c r="L13" i="50"/>
  <c r="C13" i="50"/>
  <c r="T12" i="50"/>
  <c r="L12" i="50"/>
  <c r="C12" i="50"/>
  <c r="C11" i="50"/>
  <c r="J9" i="50"/>
  <c r="R9" i="50" s="1"/>
  <c r="H9" i="50"/>
  <c r="P9" i="50" s="1"/>
  <c r="F9" i="50"/>
  <c r="M9" i="50" s="1"/>
  <c r="M8" i="50"/>
  <c r="F8" i="50"/>
  <c r="C8" i="50"/>
  <c r="B7" i="50"/>
  <c r="S2" i="50"/>
  <c r="F18" i="49"/>
  <c r="B18" i="49"/>
  <c r="F17" i="49"/>
  <c r="I17" i="49" s="1"/>
  <c r="B17" i="49"/>
  <c r="F16" i="49"/>
  <c r="I16" i="49" s="1"/>
  <c r="B16" i="49"/>
  <c r="F15" i="49"/>
  <c r="I15" i="49" s="1"/>
  <c r="B15" i="49"/>
  <c r="F14" i="49"/>
  <c r="B14" i="49"/>
  <c r="F13" i="49"/>
  <c r="I13" i="49" s="1"/>
  <c r="B13" i="49"/>
  <c r="F12" i="49"/>
  <c r="B12" i="49"/>
  <c r="F11" i="49"/>
  <c r="B11" i="49"/>
  <c r="B9" i="49"/>
  <c r="G21" i="48"/>
  <c r="J21" i="48" s="1"/>
  <c r="B21" i="48"/>
  <c r="G20" i="48"/>
  <c r="B20" i="48"/>
  <c r="G19" i="48"/>
  <c r="B19" i="48"/>
  <c r="G18" i="48"/>
  <c r="J18" i="48" s="1"/>
  <c r="B18" i="48"/>
  <c r="G17" i="48"/>
  <c r="B17" i="48"/>
  <c r="G16" i="48"/>
  <c r="B16" i="48"/>
  <c r="G15" i="48"/>
  <c r="J15" i="48" s="1"/>
  <c r="B15" i="48"/>
  <c r="G14" i="48"/>
  <c r="J14" i="48" s="1"/>
  <c r="B14" i="48"/>
  <c r="G13" i="48"/>
  <c r="B13" i="48"/>
  <c r="G12" i="48"/>
  <c r="B12" i="48"/>
  <c r="B9" i="48"/>
  <c r="G2" i="48"/>
  <c r="F15" i="47"/>
  <c r="B15" i="47"/>
  <c r="F14" i="47"/>
  <c r="B14" i="47"/>
  <c r="F13" i="47"/>
  <c r="B13" i="47"/>
  <c r="F12" i="47"/>
  <c r="I12" i="47" s="1"/>
  <c r="B12" i="47"/>
  <c r="F11" i="47"/>
  <c r="B11" i="47"/>
  <c r="B9" i="47"/>
  <c r="F2" i="47"/>
  <c r="F25" i="46"/>
  <c r="B25" i="46"/>
  <c r="F24" i="46"/>
  <c r="B24" i="46"/>
  <c r="F23" i="46"/>
  <c r="B23" i="46"/>
  <c r="F22" i="46"/>
  <c r="F21" i="46"/>
  <c r="B21" i="46"/>
  <c r="F20" i="46"/>
  <c r="B20" i="46"/>
  <c r="F19" i="46"/>
  <c r="B19" i="46"/>
  <c r="F18" i="46"/>
  <c r="B18" i="46"/>
  <c r="F17" i="46"/>
  <c r="F16" i="46"/>
  <c r="B16" i="46"/>
  <c r="F15" i="46"/>
  <c r="B15" i="46"/>
  <c r="F14" i="46"/>
  <c r="F13" i="46"/>
  <c r="I13" i="46" s="1"/>
  <c r="F12" i="46"/>
  <c r="B12" i="46"/>
  <c r="F11" i="46"/>
  <c r="B9" i="46"/>
  <c r="F17" i="45"/>
  <c r="B17" i="45"/>
  <c r="F16" i="45"/>
  <c r="I16" i="45" s="1"/>
  <c r="B16" i="45"/>
  <c r="F15" i="45"/>
  <c r="B15" i="45"/>
  <c r="F14" i="45"/>
  <c r="B14" i="45"/>
  <c r="F13" i="45"/>
  <c r="I13" i="45" s="1"/>
  <c r="B13" i="45"/>
  <c r="F12" i="45"/>
  <c r="I12" i="45" s="1"/>
  <c r="B12" i="45"/>
  <c r="F11" i="45"/>
  <c r="B11" i="45"/>
  <c r="B9" i="45"/>
  <c r="F2" i="45"/>
  <c r="B41" i="44"/>
  <c r="B40" i="44"/>
  <c r="G39" i="44"/>
  <c r="B39" i="44"/>
  <c r="G38" i="44"/>
  <c r="B38" i="44"/>
  <c r="G37" i="44"/>
  <c r="J37" i="44" s="1"/>
  <c r="B37" i="44"/>
  <c r="G36" i="44"/>
  <c r="B36" i="44"/>
  <c r="G35" i="44"/>
  <c r="B35" i="44"/>
  <c r="G34" i="44"/>
  <c r="B34" i="44"/>
  <c r="G33" i="44"/>
  <c r="B33" i="44"/>
  <c r="G32" i="44"/>
  <c r="B32" i="44"/>
  <c r="G31" i="44"/>
  <c r="B31" i="44"/>
  <c r="G30" i="44"/>
  <c r="B30" i="44"/>
  <c r="G29" i="44"/>
  <c r="B29" i="44"/>
  <c r="G28" i="44"/>
  <c r="B28" i="44"/>
  <c r="G27" i="44"/>
  <c r="J27" i="44" s="1"/>
  <c r="B27" i="44"/>
  <c r="G26" i="44"/>
  <c r="J26" i="44" s="1"/>
  <c r="B26" i="44"/>
  <c r="G25" i="44"/>
  <c r="B25" i="44"/>
  <c r="B24" i="44"/>
  <c r="G23" i="44"/>
  <c r="B23" i="44"/>
  <c r="G22" i="44"/>
  <c r="J22" i="44" s="1"/>
  <c r="B22" i="44"/>
  <c r="G21" i="44"/>
  <c r="J21" i="44" s="1"/>
  <c r="B21" i="44"/>
  <c r="G20" i="44"/>
  <c r="B20" i="44"/>
  <c r="J19" i="44"/>
  <c r="I19" i="44"/>
  <c r="K19" i="44" s="1"/>
  <c r="B19" i="44"/>
  <c r="G18" i="44"/>
  <c r="B18" i="44"/>
  <c r="B17" i="44"/>
  <c r="G16" i="44"/>
  <c r="B16" i="44"/>
  <c r="G15" i="44"/>
  <c r="B15" i="44"/>
  <c r="G14" i="44"/>
  <c r="J14" i="44" s="1"/>
  <c r="B14" i="44"/>
  <c r="G13" i="44"/>
  <c r="B13" i="44"/>
  <c r="J12" i="44"/>
  <c r="I12" i="44"/>
  <c r="B12" i="44"/>
  <c r="G11" i="44"/>
  <c r="B11" i="44"/>
  <c r="B9" i="44"/>
  <c r="G2" i="44"/>
  <c r="B56" i="43"/>
  <c r="B55" i="43"/>
  <c r="B54" i="43"/>
  <c r="B53" i="43"/>
  <c r="B52" i="43"/>
  <c r="B51" i="43"/>
  <c r="B50" i="43"/>
  <c r="B49" i="43"/>
  <c r="B48" i="43"/>
  <c r="B47" i="43"/>
  <c r="B45" i="43"/>
  <c r="H44" i="43"/>
  <c r="B44" i="43"/>
  <c r="H43" i="43"/>
  <c r="K43" i="43" s="1"/>
  <c r="B43" i="43"/>
  <c r="B42" i="43"/>
  <c r="B41" i="43"/>
  <c r="H40" i="43"/>
  <c r="B40" i="43"/>
  <c r="H39" i="43"/>
  <c r="K39" i="43" s="1"/>
  <c r="B39" i="43"/>
  <c r="H38" i="43"/>
  <c r="K38" i="43" s="1"/>
  <c r="B38" i="43"/>
  <c r="H37" i="43"/>
  <c r="K37" i="43" s="1"/>
  <c r="B37" i="43"/>
  <c r="H36" i="43"/>
  <c r="K36" i="43" s="1"/>
  <c r="B36" i="43"/>
  <c r="H35" i="43"/>
  <c r="B35" i="43"/>
  <c r="H34" i="43"/>
  <c r="K34" i="43" s="1"/>
  <c r="B34" i="43"/>
  <c r="H33" i="43"/>
  <c r="B33" i="43"/>
  <c r="K32" i="43"/>
  <c r="J32" i="43"/>
  <c r="B32" i="43"/>
  <c r="B31" i="43"/>
  <c r="H30" i="43"/>
  <c r="H29" i="43"/>
  <c r="K29" i="43" s="1"/>
  <c r="B29" i="43"/>
  <c r="K28" i="43"/>
  <c r="J28" i="43"/>
  <c r="I28" i="43" s="1"/>
  <c r="B28" i="43"/>
  <c r="H27" i="43"/>
  <c r="K27" i="43" s="1"/>
  <c r="B27" i="43"/>
  <c r="H26" i="43"/>
  <c r="K26" i="43" s="1"/>
  <c r="B26" i="43"/>
  <c r="H25" i="43"/>
  <c r="B25" i="43"/>
  <c r="B24" i="43"/>
  <c r="H23" i="43"/>
  <c r="K23" i="43" s="1"/>
  <c r="H22" i="43"/>
  <c r="K22" i="43" s="1"/>
  <c r="B22" i="43"/>
  <c r="H21" i="43"/>
  <c r="K21" i="43" s="1"/>
  <c r="B21" i="43"/>
  <c r="H20" i="43"/>
  <c r="K20" i="43" s="1"/>
  <c r="B20" i="43"/>
  <c r="K19" i="43"/>
  <c r="J19" i="43"/>
  <c r="B19" i="43"/>
  <c r="H18" i="43"/>
  <c r="K18" i="43" s="1"/>
  <c r="B18" i="43"/>
  <c r="B17" i="43"/>
  <c r="H16" i="43"/>
  <c r="H15" i="43"/>
  <c r="K15" i="43" s="1"/>
  <c r="B15" i="43"/>
  <c r="H14" i="43"/>
  <c r="K14" i="43" s="1"/>
  <c r="B14" i="43"/>
  <c r="H13" i="43"/>
  <c r="K13" i="43" s="1"/>
  <c r="B13" i="43"/>
  <c r="K12" i="43"/>
  <c r="J12" i="43"/>
  <c r="I12" i="43" s="1"/>
  <c r="B12" i="43"/>
  <c r="H11" i="43"/>
  <c r="B11" i="43"/>
  <c r="B9" i="43"/>
  <c r="H2" i="43"/>
  <c r="C22" i="42"/>
  <c r="B22" i="42"/>
  <c r="B20" i="42"/>
  <c r="I19" i="42"/>
  <c r="B19" i="42"/>
  <c r="B18" i="42"/>
  <c r="B17" i="42"/>
  <c r="B16" i="42"/>
  <c r="B15" i="42"/>
  <c r="B14" i="42"/>
  <c r="B13" i="42"/>
  <c r="B12" i="42"/>
  <c r="B9" i="42"/>
  <c r="F2" i="42"/>
  <c r="B30" i="41"/>
  <c r="L29" i="41"/>
  <c r="K29" i="41"/>
  <c r="J29" i="41"/>
  <c r="B29" i="41"/>
  <c r="B28" i="41"/>
  <c r="B27" i="41"/>
  <c r="B26" i="41"/>
  <c r="B25" i="41"/>
  <c r="B24" i="41"/>
  <c r="B23" i="41"/>
  <c r="B22" i="41"/>
  <c r="B21" i="41"/>
  <c r="B20" i="41"/>
  <c r="G19" i="41"/>
  <c r="N19" i="41" s="1"/>
  <c r="F19" i="41"/>
  <c r="B19" i="41"/>
  <c r="B18" i="41"/>
  <c r="B17" i="41"/>
  <c r="B16" i="41"/>
  <c r="B15" i="41"/>
  <c r="B14" i="41"/>
  <c r="B13" i="41"/>
  <c r="B12" i="41"/>
  <c r="B11" i="41"/>
  <c r="B9" i="41"/>
  <c r="K2" i="41"/>
  <c r="B29" i="40"/>
  <c r="B28" i="40"/>
  <c r="B27" i="40"/>
  <c r="B26" i="40"/>
  <c r="B25" i="40"/>
  <c r="B24" i="40"/>
  <c r="B23" i="40"/>
  <c r="B22" i="40"/>
  <c r="E21" i="40"/>
  <c r="L21" i="40" s="1"/>
  <c r="B21" i="40"/>
  <c r="E20" i="40"/>
  <c r="L20" i="40" s="1"/>
  <c r="B20" i="40"/>
  <c r="E19" i="40"/>
  <c r="L19" i="40" s="1"/>
  <c r="B19" i="40"/>
  <c r="E18" i="40"/>
  <c r="L18" i="40" s="1"/>
  <c r="B18" i="40"/>
  <c r="E17" i="40"/>
  <c r="B17" i="40"/>
  <c r="E16" i="40"/>
  <c r="B16" i="40"/>
  <c r="E15" i="40"/>
  <c r="B15" i="40"/>
  <c r="L14" i="40"/>
  <c r="K14" i="40"/>
  <c r="G14" i="40" s="1"/>
  <c r="B14" i="40"/>
  <c r="E13" i="40"/>
  <c r="B13" i="40"/>
  <c r="B11" i="40"/>
  <c r="I4" i="40"/>
  <c r="K30" i="39"/>
  <c r="J30" i="39"/>
  <c r="I30" i="39"/>
  <c r="B30" i="39"/>
  <c r="B26" i="39"/>
  <c r="B25" i="39"/>
  <c r="K24" i="39"/>
  <c r="J24" i="39"/>
  <c r="I24" i="39"/>
  <c r="B24" i="39"/>
  <c r="G23" i="39"/>
  <c r="M23" i="39" s="1"/>
  <c r="B23" i="39"/>
  <c r="G22" i="39"/>
  <c r="B22" i="39"/>
  <c r="G21" i="39"/>
  <c r="M21" i="39" s="1"/>
  <c r="B21" i="39"/>
  <c r="G20" i="39"/>
  <c r="B20" i="39"/>
  <c r="G19" i="39"/>
  <c r="M19" i="39" s="1"/>
  <c r="B19" i="39"/>
  <c r="G18" i="39"/>
  <c r="B18" i="39"/>
  <c r="M17" i="39"/>
  <c r="L17" i="39"/>
  <c r="B17" i="39"/>
  <c r="G16" i="39"/>
  <c r="M16" i="39" s="1"/>
  <c r="B16" i="39"/>
  <c r="G15" i="39"/>
  <c r="B15" i="39"/>
  <c r="B9" i="39"/>
  <c r="J2" i="39"/>
  <c r="B15" i="38"/>
  <c r="B12" i="38"/>
  <c r="B16" i="38" s="1"/>
  <c r="B11" i="38"/>
  <c r="B9" i="38"/>
  <c r="B8" i="38"/>
  <c r="G2" i="38"/>
  <c r="B21" i="37"/>
  <c r="B20" i="37"/>
  <c r="B19" i="37"/>
  <c r="H18" i="37"/>
  <c r="G18" i="37"/>
  <c r="F18" i="37"/>
  <c r="E18" i="37"/>
  <c r="B16" i="37"/>
  <c r="B14" i="37"/>
  <c r="B13" i="37"/>
  <c r="B12" i="37"/>
  <c r="B10" i="37"/>
  <c r="B9" i="37"/>
  <c r="G2" i="37"/>
  <c r="B35" i="36"/>
  <c r="B34" i="36"/>
  <c r="B33" i="36"/>
  <c r="G32" i="36"/>
  <c r="I32" i="36" s="1"/>
  <c r="F32" i="36"/>
  <c r="H32" i="36" s="1"/>
  <c r="B30" i="36"/>
  <c r="B28" i="36"/>
  <c r="B27" i="36"/>
  <c r="B26" i="36"/>
  <c r="B25" i="36"/>
  <c r="B24" i="36"/>
  <c r="B23" i="36"/>
  <c r="B22" i="36"/>
  <c r="B20" i="36"/>
  <c r="B17" i="36"/>
  <c r="B16" i="36"/>
  <c r="B15" i="36"/>
  <c r="B14" i="36"/>
  <c r="B13" i="36"/>
  <c r="B12" i="36"/>
  <c r="B9" i="36"/>
  <c r="H2" i="36"/>
  <c r="B42" i="35"/>
  <c r="B41" i="35"/>
  <c r="B40" i="35"/>
  <c r="B39" i="35"/>
  <c r="B38" i="35"/>
  <c r="B37" i="35"/>
  <c r="B36" i="35"/>
  <c r="B35" i="35"/>
  <c r="B34" i="35"/>
  <c r="B33" i="35"/>
  <c r="B32" i="35"/>
  <c r="B31" i="35"/>
  <c r="B30" i="35"/>
  <c r="B29" i="35"/>
  <c r="B28" i="35"/>
  <c r="B27" i="35"/>
  <c r="B26" i="35"/>
  <c r="B25" i="35"/>
  <c r="B24" i="35"/>
  <c r="B23" i="35"/>
  <c r="B22" i="35"/>
  <c r="B21" i="35"/>
  <c r="B20" i="35"/>
  <c r="B19" i="35"/>
  <c r="B18" i="35"/>
  <c r="B17" i="35"/>
  <c r="B16" i="35"/>
  <c r="E15" i="35"/>
  <c r="L15" i="35" s="1"/>
  <c r="B15" i="35"/>
  <c r="B14" i="35"/>
  <c r="B13" i="35"/>
  <c r="B12" i="35"/>
  <c r="B9" i="35"/>
  <c r="I2" i="35"/>
  <c r="B19" i="34"/>
  <c r="B18" i="34"/>
  <c r="B16" i="34"/>
  <c r="L15" i="34"/>
  <c r="K15" i="34"/>
  <c r="M15" i="34" s="1"/>
  <c r="H15" i="34"/>
  <c r="B15" i="34"/>
  <c r="L14" i="34"/>
  <c r="K14" i="34"/>
  <c r="I14" i="34" s="1"/>
  <c r="H14" i="34"/>
  <c r="B14" i="34"/>
  <c r="L13" i="34"/>
  <c r="K13" i="34"/>
  <c r="I13" i="34" s="1"/>
  <c r="H13" i="34"/>
  <c r="B13" i="34"/>
  <c r="L12" i="34"/>
  <c r="K12" i="34"/>
  <c r="H12" i="34"/>
  <c r="B12" i="34"/>
  <c r="L11" i="34"/>
  <c r="K11" i="34"/>
  <c r="M11" i="34" s="1"/>
  <c r="H11" i="34"/>
  <c r="B11" i="34"/>
  <c r="B9" i="34"/>
  <c r="I2" i="34"/>
  <c r="B29" i="33"/>
  <c r="B28" i="33"/>
  <c r="B27" i="33"/>
  <c r="B26" i="33"/>
  <c r="B25" i="33"/>
  <c r="B24" i="33"/>
  <c r="B23" i="33"/>
  <c r="B22" i="33"/>
  <c r="B21" i="33"/>
  <c r="B20" i="33"/>
  <c r="F19" i="33"/>
  <c r="B19" i="33"/>
  <c r="B18" i="33"/>
  <c r="B17" i="33"/>
  <c r="B16" i="33"/>
  <c r="B15" i="33"/>
  <c r="B14" i="33"/>
  <c r="B13" i="33"/>
  <c r="B12" i="33"/>
  <c r="J10" i="33"/>
  <c r="J10" i="34" s="1"/>
  <c r="I10" i="33"/>
  <c r="G10" i="33"/>
  <c r="H10" i="34" s="1"/>
  <c r="F10" i="35" s="1"/>
  <c r="F12" i="40" s="1"/>
  <c r="H10" i="41" s="1"/>
  <c r="B9" i="33"/>
  <c r="I2" i="33"/>
  <c r="B26" i="32"/>
  <c r="B25" i="32"/>
  <c r="B24" i="32"/>
  <c r="B23" i="32"/>
  <c r="B22" i="32"/>
  <c r="B21" i="32"/>
  <c r="B20" i="32"/>
  <c r="B19" i="32"/>
  <c r="B18" i="32"/>
  <c r="B17" i="32"/>
  <c r="B16" i="32"/>
  <c r="B15" i="32"/>
  <c r="B14" i="32"/>
  <c r="B13" i="32"/>
  <c r="G12" i="32"/>
  <c r="B11" i="32"/>
  <c r="F4" i="32"/>
  <c r="F31" i="31"/>
  <c r="B30" i="31"/>
  <c r="H11" i="31"/>
  <c r="G11" i="31"/>
  <c r="F11" i="31"/>
  <c r="E11" i="31"/>
  <c r="D11" i="31"/>
  <c r="B11" i="31"/>
  <c r="B9" i="31"/>
  <c r="B8" i="31"/>
  <c r="G2" i="31"/>
  <c r="I59" i="30"/>
  <c r="I58" i="30"/>
  <c r="J57" i="30"/>
  <c r="I57" i="30"/>
  <c r="J56" i="30"/>
  <c r="I56" i="30"/>
  <c r="F56" i="30" s="1"/>
  <c r="J55" i="30"/>
  <c r="I55" i="30"/>
  <c r="K55" i="30" s="1"/>
  <c r="J54" i="30"/>
  <c r="I54" i="30"/>
  <c r="K54" i="30" s="1"/>
  <c r="J53" i="30"/>
  <c r="I53" i="30"/>
  <c r="E52" i="30"/>
  <c r="J52" i="30" s="1"/>
  <c r="D52" i="30"/>
  <c r="B52" i="30"/>
  <c r="J51" i="30"/>
  <c r="I51" i="30"/>
  <c r="F51" i="30" s="1"/>
  <c r="J50" i="30"/>
  <c r="I50" i="30"/>
  <c r="K50" i="30" s="1"/>
  <c r="J49" i="30"/>
  <c r="I49" i="30"/>
  <c r="K49" i="30" s="1"/>
  <c r="J48" i="30"/>
  <c r="I48" i="30"/>
  <c r="J47" i="30"/>
  <c r="I47" i="30"/>
  <c r="F47" i="30" s="1"/>
  <c r="E46" i="30"/>
  <c r="J46" i="30" s="1"/>
  <c r="B46" i="30"/>
  <c r="B43" i="30"/>
  <c r="H41" i="30"/>
  <c r="H40" i="30"/>
  <c r="H39" i="30"/>
  <c r="H38" i="30"/>
  <c r="H37" i="30"/>
  <c r="H36" i="30"/>
  <c r="H35" i="30"/>
  <c r="H34" i="30"/>
  <c r="H33" i="30"/>
  <c r="H32" i="30"/>
  <c r="H31" i="30"/>
  <c r="H30" i="30"/>
  <c r="H29" i="30"/>
  <c r="H28" i="30"/>
  <c r="H26" i="30"/>
  <c r="H25" i="30"/>
  <c r="H24" i="30"/>
  <c r="H23" i="30"/>
  <c r="H22" i="30"/>
  <c r="H21" i="30"/>
  <c r="H20" i="30"/>
  <c r="H19" i="30"/>
  <c r="H18" i="30"/>
  <c r="H17" i="30"/>
  <c r="H16" i="30"/>
  <c r="H15" i="30"/>
  <c r="H14" i="30"/>
  <c r="H13" i="30"/>
  <c r="H12" i="30"/>
  <c r="B11" i="30"/>
  <c r="H10" i="30"/>
  <c r="G10" i="30"/>
  <c r="F10" i="30"/>
  <c r="E10" i="30"/>
  <c r="D10" i="30"/>
  <c r="B9" i="30"/>
  <c r="G2" i="30"/>
  <c r="B26" i="29"/>
  <c r="B25" i="29"/>
  <c r="B24" i="29"/>
  <c r="B23" i="29"/>
  <c r="B22" i="29"/>
  <c r="B21" i="29"/>
  <c r="B20" i="29"/>
  <c r="B19" i="29"/>
  <c r="B18" i="29"/>
  <c r="B17" i="29"/>
  <c r="B16" i="29"/>
  <c r="B15" i="29"/>
  <c r="B14" i="29"/>
  <c r="B13" i="29"/>
  <c r="B12" i="29"/>
  <c r="B11" i="29"/>
  <c r="B9" i="29"/>
  <c r="F2" i="29"/>
  <c r="B19" i="28"/>
  <c r="B18" i="28"/>
  <c r="B17" i="28"/>
  <c r="B16" i="28"/>
  <c r="B15" i="28"/>
  <c r="B14" i="28"/>
  <c r="B13" i="28"/>
  <c r="B12" i="28"/>
  <c r="B11" i="28"/>
  <c r="B9" i="28"/>
  <c r="F2" i="28"/>
  <c r="B20" i="27"/>
  <c r="B19" i="27"/>
  <c r="B18" i="27"/>
  <c r="B17" i="27"/>
  <c r="B16" i="27"/>
  <c r="B15" i="27"/>
  <c r="B14" i="27"/>
  <c r="B13" i="27"/>
  <c r="B12" i="27"/>
  <c r="B11" i="27"/>
  <c r="F2" i="27"/>
  <c r="F15" i="26"/>
  <c r="B12" i="26"/>
  <c r="B11" i="26"/>
  <c r="F10" i="26"/>
  <c r="B8" i="26"/>
  <c r="J2" i="26"/>
  <c r="F15" i="25"/>
  <c r="B12" i="25"/>
  <c r="B11" i="25"/>
  <c r="F10" i="25"/>
  <c r="B8" i="25"/>
  <c r="J2" i="25"/>
  <c r="I31" i="24"/>
  <c r="G31" i="24"/>
  <c r="B30" i="24"/>
  <c r="B21" i="25" s="1"/>
  <c r="B21" i="26" s="1"/>
  <c r="B29" i="24"/>
  <c r="B20" i="25" s="1"/>
  <c r="B20" i="26" s="1"/>
  <c r="B28" i="24"/>
  <c r="B19" i="25" s="1"/>
  <c r="B19" i="26" s="1"/>
  <c r="B27" i="24"/>
  <c r="B18" i="25" s="1"/>
  <c r="B18" i="26" s="1"/>
  <c r="B26" i="24"/>
  <c r="B17" i="25" s="1"/>
  <c r="B17" i="26" s="1"/>
  <c r="E13" i="24"/>
  <c r="G13" i="24" s="1"/>
  <c r="D13" i="24"/>
  <c r="F13" i="24" s="1"/>
  <c r="H13" i="24" s="1"/>
  <c r="B13" i="24"/>
  <c r="B12" i="24"/>
  <c r="B13" i="25" s="1"/>
  <c r="B13" i="26" s="1"/>
  <c r="B11" i="24"/>
  <c r="H10" i="24"/>
  <c r="F10" i="24"/>
  <c r="D10" i="24"/>
  <c r="B9" i="24"/>
  <c r="H2" i="24"/>
  <c r="B24" i="23"/>
  <c r="E23" i="23"/>
  <c r="K23" i="23" s="1"/>
  <c r="B23" i="23"/>
  <c r="B22" i="23"/>
  <c r="E21" i="23"/>
  <c r="K21" i="23" s="1"/>
  <c r="B21" i="23"/>
  <c r="E20" i="23"/>
  <c r="K20" i="23" s="1"/>
  <c r="B20" i="23"/>
  <c r="E19" i="23"/>
  <c r="K19" i="23" s="1"/>
  <c r="B19" i="23"/>
  <c r="E18" i="23"/>
  <c r="B18" i="23"/>
  <c r="E17" i="23"/>
  <c r="B17" i="23"/>
  <c r="E16" i="23"/>
  <c r="K16" i="23" s="1"/>
  <c r="B16" i="23"/>
  <c r="E15" i="23"/>
  <c r="B15" i="23"/>
  <c r="E14" i="23"/>
  <c r="B14" i="23"/>
  <c r="E13" i="23"/>
  <c r="B13" i="23"/>
  <c r="E12" i="23"/>
  <c r="K12" i="23" s="1"/>
  <c r="B12" i="23"/>
  <c r="E11" i="23"/>
  <c r="B11" i="23"/>
  <c r="B9" i="23"/>
  <c r="H2" i="23"/>
  <c r="B25" i="22"/>
  <c r="B24" i="22"/>
  <c r="B23" i="22"/>
  <c r="B22" i="22"/>
  <c r="B21" i="22"/>
  <c r="B20" i="22"/>
  <c r="B19" i="22"/>
  <c r="E18" i="22"/>
  <c r="K18" i="22" s="1"/>
  <c r="B18" i="22"/>
  <c r="E17" i="22"/>
  <c r="K17" i="22" s="1"/>
  <c r="B17" i="22"/>
  <c r="E16" i="22"/>
  <c r="K16" i="22" s="1"/>
  <c r="B16" i="22"/>
  <c r="E15" i="22"/>
  <c r="K15" i="22" s="1"/>
  <c r="B15" i="22"/>
  <c r="E14" i="22"/>
  <c r="K14" i="22" s="1"/>
  <c r="B14" i="22"/>
  <c r="E13" i="22"/>
  <c r="B13" i="22"/>
  <c r="E12" i="22"/>
  <c r="K12" i="22" s="1"/>
  <c r="B12" i="22"/>
  <c r="E11" i="22"/>
  <c r="B11" i="22"/>
  <c r="B9" i="22"/>
  <c r="H2" i="22"/>
  <c r="B23" i="21"/>
  <c r="B21" i="21"/>
  <c r="F20" i="21"/>
  <c r="I20" i="21" s="1"/>
  <c r="B20" i="21"/>
  <c r="B19" i="21"/>
  <c r="F18" i="21"/>
  <c r="I18" i="21" s="1"/>
  <c r="B18" i="21"/>
  <c r="F17" i="21"/>
  <c r="I17" i="21" s="1"/>
  <c r="B17" i="21"/>
  <c r="F16" i="21"/>
  <c r="B16" i="21"/>
  <c r="F15" i="21"/>
  <c r="I15" i="21" s="1"/>
  <c r="B15" i="21"/>
  <c r="F14" i="21"/>
  <c r="I14" i="21" s="1"/>
  <c r="B14" i="21"/>
  <c r="F13" i="21"/>
  <c r="I13" i="21" s="1"/>
  <c r="B13" i="21"/>
  <c r="F12" i="21"/>
  <c r="B12" i="21"/>
  <c r="F11" i="21"/>
  <c r="I11" i="21" s="1"/>
  <c r="B11" i="21"/>
  <c r="B9" i="21"/>
  <c r="F2" i="21"/>
  <c r="F22" i="20"/>
  <c r="I22" i="20" s="1"/>
  <c r="B22" i="20"/>
  <c r="F21" i="20"/>
  <c r="I21" i="20" s="1"/>
  <c r="B21" i="20"/>
  <c r="F20" i="20"/>
  <c r="I20" i="20" s="1"/>
  <c r="B20" i="20"/>
  <c r="F19" i="20"/>
  <c r="B19" i="20"/>
  <c r="B17" i="20"/>
  <c r="B15" i="20"/>
  <c r="F14" i="20"/>
  <c r="I14" i="20" s="1"/>
  <c r="B14" i="20"/>
  <c r="B13" i="20"/>
  <c r="F12" i="20"/>
  <c r="I12" i="20" s="1"/>
  <c r="B12" i="20"/>
  <c r="F11" i="20"/>
  <c r="B11" i="20"/>
  <c r="B9" i="20"/>
  <c r="F2" i="20"/>
  <c r="I26" i="19"/>
  <c r="H26" i="19"/>
  <c r="G26" i="19"/>
  <c r="F26" i="19"/>
  <c r="E26" i="19"/>
  <c r="D26" i="19"/>
  <c r="B26" i="19"/>
  <c r="B23" i="19"/>
  <c r="B22" i="19"/>
  <c r="B21" i="19"/>
  <c r="B20" i="19"/>
  <c r="E19" i="19"/>
  <c r="B19" i="19"/>
  <c r="E18" i="19"/>
  <c r="B18" i="19"/>
  <c r="E17" i="19"/>
  <c r="B17" i="19"/>
  <c r="E16" i="19"/>
  <c r="B16" i="19"/>
  <c r="E15" i="19"/>
  <c r="B15" i="19"/>
  <c r="E14" i="19"/>
  <c r="B14" i="19"/>
  <c r="E13" i="19"/>
  <c r="B13" i="19"/>
  <c r="E12" i="19"/>
  <c r="K12" i="19" s="1"/>
  <c r="B12" i="19"/>
  <c r="E11" i="19"/>
  <c r="B11" i="19"/>
  <c r="I10" i="19"/>
  <c r="I10" i="22" s="1"/>
  <c r="I10" i="23" s="1"/>
  <c r="J10" i="35" s="1"/>
  <c r="H10" i="19"/>
  <c r="H10" i="22" s="1"/>
  <c r="H10" i="23" s="1"/>
  <c r="I10" i="35" s="1"/>
  <c r="G10" i="19"/>
  <c r="G10" i="22" s="1"/>
  <c r="G10" i="23" s="1"/>
  <c r="H10" i="35" s="1"/>
  <c r="F10" i="19"/>
  <c r="G10" i="20" s="1"/>
  <c r="B9" i="19"/>
  <c r="H2" i="19"/>
  <c r="B58" i="18"/>
  <c r="B46" i="18"/>
  <c r="B38" i="18"/>
  <c r="I37" i="18"/>
  <c r="H37" i="18"/>
  <c r="G37" i="18"/>
  <c r="F37" i="18"/>
  <c r="B37" i="18"/>
  <c r="I19" i="18"/>
  <c r="H19" i="18"/>
  <c r="G19" i="18"/>
  <c r="F19" i="18"/>
  <c r="B19" i="18"/>
  <c r="B12" i="18"/>
  <c r="B11" i="18"/>
  <c r="B9" i="18"/>
  <c r="H2" i="18"/>
  <c r="G25" i="17"/>
  <c r="E25" i="17"/>
  <c r="B25" i="17"/>
  <c r="B24" i="17"/>
  <c r="B23" i="17"/>
  <c r="G22" i="17"/>
  <c r="B22" i="17"/>
  <c r="B21" i="17"/>
  <c r="B20" i="17"/>
  <c r="B19" i="17"/>
  <c r="B18" i="17"/>
  <c r="B17" i="17"/>
  <c r="G16" i="17"/>
  <c r="B16" i="17"/>
  <c r="B15" i="17"/>
  <c r="B14" i="17"/>
  <c r="B13" i="17"/>
  <c r="B12" i="17"/>
  <c r="H11" i="17"/>
  <c r="G11" i="17"/>
  <c r="F11" i="17"/>
  <c r="E11" i="17"/>
  <c r="D11" i="17"/>
  <c r="B9" i="17"/>
  <c r="G2" i="17"/>
  <c r="A2" i="17"/>
  <c r="B27" i="16"/>
  <c r="B24" i="16"/>
  <c r="B23" i="16"/>
  <c r="B22" i="16"/>
  <c r="B21" i="16"/>
  <c r="K20" i="16"/>
  <c r="B20" i="16"/>
  <c r="B19" i="16"/>
  <c r="K18" i="16"/>
  <c r="B18" i="16"/>
  <c r="B17" i="16"/>
  <c r="B16" i="16"/>
  <c r="B15" i="16"/>
  <c r="B14" i="16"/>
  <c r="B13" i="16"/>
  <c r="B12" i="16"/>
  <c r="K10" i="16"/>
  <c r="I10" i="16"/>
  <c r="G10" i="16"/>
  <c r="E10" i="16"/>
  <c r="B8" i="16"/>
  <c r="K2" i="16"/>
  <c r="B24" i="15"/>
  <c r="B23" i="15"/>
  <c r="B22" i="15"/>
  <c r="B21" i="15"/>
  <c r="G20" i="15"/>
  <c r="B20" i="15"/>
  <c r="B19" i="15"/>
  <c r="B18" i="15"/>
  <c r="B17" i="15"/>
  <c r="B16" i="15"/>
  <c r="B15" i="15"/>
  <c r="B14" i="15"/>
  <c r="B13" i="15"/>
  <c r="B12" i="15"/>
  <c r="G11" i="15"/>
  <c r="F11" i="15"/>
  <c r="E11" i="15"/>
  <c r="D11" i="15"/>
  <c r="B9" i="15"/>
  <c r="F2" i="15"/>
  <c r="A2" i="15"/>
  <c r="D19" i="14"/>
  <c r="K17" i="14"/>
  <c r="J17" i="14"/>
  <c r="I17" i="14"/>
  <c r="H17" i="14"/>
  <c r="G17" i="14"/>
  <c r="F17" i="14"/>
  <c r="E17" i="14"/>
  <c r="D17" i="14"/>
  <c r="B17" i="14"/>
  <c r="B16" i="14"/>
  <c r="B15" i="14"/>
  <c r="B14" i="14"/>
  <c r="B13" i="14"/>
  <c r="B12" i="14"/>
  <c r="F11" i="14"/>
  <c r="E11" i="14"/>
  <c r="D11" i="14"/>
  <c r="B9" i="14"/>
  <c r="J2" i="14"/>
  <c r="A2" i="14"/>
  <c r="A3" i="14" s="1"/>
  <c r="B35" i="13"/>
  <c r="B34" i="13"/>
  <c r="I33" i="13"/>
  <c r="F33" i="13"/>
  <c r="B33" i="13"/>
  <c r="B32" i="13"/>
  <c r="B31" i="13"/>
  <c r="H30" i="13"/>
  <c r="F30" i="13"/>
  <c r="B30" i="13"/>
  <c r="B29" i="13"/>
  <c r="B28" i="13"/>
  <c r="B27" i="13"/>
  <c r="B26" i="13"/>
  <c r="B25" i="13"/>
  <c r="B24" i="13"/>
  <c r="B23" i="13"/>
  <c r="I22" i="13"/>
  <c r="F22" i="13"/>
  <c r="B22" i="13"/>
  <c r="B21" i="13"/>
  <c r="B20" i="13"/>
  <c r="B19" i="13"/>
  <c r="B18" i="13"/>
  <c r="I17" i="13"/>
  <c r="G17" i="13"/>
  <c r="F17" i="13"/>
  <c r="B17" i="13"/>
  <c r="B16" i="13"/>
  <c r="B11" i="14" s="1"/>
  <c r="B11" i="15" s="1"/>
  <c r="B11" i="16" s="1"/>
  <c r="B10" i="17" s="1"/>
  <c r="B10" i="19" s="1"/>
  <c r="B10" i="20" s="1"/>
  <c r="J15" i="13"/>
  <c r="K11" i="14" s="1"/>
  <c r="I15" i="13"/>
  <c r="J11" i="14" s="1"/>
  <c r="H15" i="13"/>
  <c r="I11" i="14" s="1"/>
  <c r="G15" i="13"/>
  <c r="H11" i="14" s="1"/>
  <c r="F15" i="13"/>
  <c r="G11" i="14" s="1"/>
  <c r="E15" i="13"/>
  <c r="D15" i="13"/>
  <c r="C15" i="13"/>
  <c r="C10" i="14" s="1"/>
  <c r="B10" i="15" s="1"/>
  <c r="B9" i="16" s="1"/>
  <c r="B13" i="13"/>
  <c r="I5" i="13"/>
  <c r="A2" i="13"/>
  <c r="A3" i="13" s="1"/>
  <c r="A1" i="13"/>
  <c r="A1" i="15" s="1"/>
  <c r="A1" i="17" s="1"/>
  <c r="B24" i="12"/>
  <c r="B13" i="12"/>
  <c r="B11" i="12"/>
  <c r="G2" i="12"/>
  <c r="A1" i="12"/>
  <c r="A2" i="12" s="1"/>
  <c r="B51" i="11"/>
  <c r="B38" i="13" s="1"/>
  <c r="B21" i="14" s="1"/>
  <c r="B28" i="15" s="1"/>
  <c r="B28" i="16" s="1"/>
  <c r="B28" i="17" s="1"/>
  <c r="B33" i="19" s="1"/>
  <c r="B25" i="20" s="1"/>
  <c r="B25" i="21" s="1"/>
  <c r="B27" i="22" s="1"/>
  <c r="B26" i="23" s="1"/>
  <c r="B22" i="27" s="1"/>
  <c r="B21" i="28" s="1"/>
  <c r="B27" i="29" s="1"/>
  <c r="B59" i="30" s="1"/>
  <c r="B33" i="31" s="1"/>
  <c r="B28" i="32" s="1"/>
  <c r="B31" i="33" s="1"/>
  <c r="B20" i="34" s="1"/>
  <c r="B44" i="35" s="1"/>
  <c r="B37" i="36" s="1"/>
  <c r="B24" i="37" s="1"/>
  <c r="B20" i="38" s="1"/>
  <c r="B32" i="39" s="1"/>
  <c r="B31" i="40" s="1"/>
  <c r="B32" i="41" s="1"/>
  <c r="B23" i="42" s="1"/>
  <c r="B59" i="43" s="1"/>
  <c r="B43" i="44" s="1"/>
  <c r="B20" i="45" s="1"/>
  <c r="B28" i="46" s="1"/>
  <c r="B18" i="47" s="1"/>
  <c r="B24" i="48" s="1"/>
  <c r="B21" i="49" s="1"/>
  <c r="B31" i="50" s="1"/>
  <c r="B26" i="51" s="1"/>
  <c r="B34" i="52" s="1"/>
  <c r="B25" i="53" s="1"/>
  <c r="B33" i="54" s="1"/>
  <c r="B36" i="55" s="1"/>
  <c r="H49" i="11"/>
  <c r="G49" i="11"/>
  <c r="F49" i="11"/>
  <c r="E49" i="11"/>
  <c r="B48" i="11"/>
  <c r="B47" i="11"/>
  <c r="B46" i="11"/>
  <c r="B45" i="11"/>
  <c r="B44" i="11"/>
  <c r="B43" i="11"/>
  <c r="B42" i="11"/>
  <c r="B41" i="11"/>
  <c r="B40" i="11"/>
  <c r="B39" i="11"/>
  <c r="B38" i="11"/>
  <c r="H36" i="11"/>
  <c r="G36" i="11"/>
  <c r="F36" i="11"/>
  <c r="B36" i="11"/>
  <c r="H34" i="11"/>
  <c r="H35" i="11" s="1"/>
  <c r="G34" i="11"/>
  <c r="G35" i="11" s="1"/>
  <c r="F34" i="11"/>
  <c r="F35" i="11" s="1"/>
  <c r="E34" i="11"/>
  <c r="B34" i="11"/>
  <c r="B33" i="11"/>
  <c r="B32" i="11"/>
  <c r="B31" i="11"/>
  <c r="B30" i="11"/>
  <c r="B29" i="11"/>
  <c r="B28" i="11"/>
  <c r="B27" i="11"/>
  <c r="B26" i="11"/>
  <c r="B25" i="11"/>
  <c r="B24" i="11"/>
  <c r="B23" i="11"/>
  <c r="B22" i="11"/>
  <c r="B21" i="11"/>
  <c r="B20" i="11"/>
  <c r="B19" i="11"/>
  <c r="B18" i="11"/>
  <c r="B17" i="11"/>
  <c r="B16" i="11"/>
  <c r="B15" i="11"/>
  <c r="B14" i="11"/>
  <c r="B13" i="11"/>
  <c r="H12" i="11"/>
  <c r="G12" i="11"/>
  <c r="F12" i="11"/>
  <c r="E11" i="11"/>
  <c r="B9" i="11"/>
  <c r="G2" i="11"/>
  <c r="A1" i="11"/>
  <c r="A2" i="11" s="1"/>
  <c r="B70" i="10"/>
  <c r="B69" i="10"/>
  <c r="B67" i="10"/>
  <c r="B66" i="10"/>
  <c r="B65" i="10"/>
  <c r="C63" i="10"/>
  <c r="C62" i="10"/>
  <c r="C61" i="10"/>
  <c r="C60" i="10"/>
  <c r="C59" i="10"/>
  <c r="C58" i="10"/>
  <c r="C57" i="10"/>
  <c r="C56" i="10"/>
  <c r="C55" i="10"/>
  <c r="C54" i="10"/>
  <c r="C53" i="10"/>
  <c r="C52" i="10"/>
  <c r="C51" i="10"/>
  <c r="C50" i="10"/>
  <c r="C49" i="10"/>
  <c r="C48" i="10"/>
  <c r="C47" i="10"/>
  <c r="C46" i="10"/>
  <c r="C45" i="10"/>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B10" i="10"/>
  <c r="J102" i="9"/>
  <c r="I101" i="9"/>
  <c r="C101" i="9"/>
  <c r="C98" i="9"/>
  <c r="C95" i="9"/>
  <c r="C92" i="9"/>
  <c r="C89" i="9"/>
  <c r="I86" i="9"/>
  <c r="C86" i="9"/>
  <c r="I83" i="9"/>
  <c r="C83" i="9"/>
  <c r="C80" i="9"/>
  <c r="C77" i="9"/>
  <c r="I74" i="9"/>
  <c r="C74" i="9"/>
  <c r="I71" i="9"/>
  <c r="C71" i="9"/>
  <c r="I68" i="9"/>
  <c r="C68" i="9"/>
  <c r="I65" i="9"/>
  <c r="C65" i="9"/>
  <c r="C62" i="9"/>
  <c r="C59" i="9"/>
  <c r="I56" i="9"/>
  <c r="C56" i="9"/>
  <c r="I53" i="9"/>
  <c r="C53" i="9"/>
  <c r="I50" i="9"/>
  <c r="C50" i="9"/>
  <c r="I47" i="9"/>
  <c r="C47" i="9"/>
  <c r="I44" i="9"/>
  <c r="C44" i="9"/>
  <c r="C41" i="9"/>
  <c r="C38" i="9"/>
  <c r="C35" i="9"/>
  <c r="C32" i="9"/>
  <c r="C29" i="9"/>
  <c r="I26" i="9"/>
  <c r="C26" i="9"/>
  <c r="I23" i="9"/>
  <c r="C23" i="9"/>
  <c r="C20" i="9"/>
  <c r="C17" i="9"/>
  <c r="I14" i="9"/>
  <c r="C14" i="9"/>
  <c r="B9" i="9"/>
  <c r="H2" i="9"/>
  <c r="A1" i="9"/>
  <c r="C140" i="8"/>
  <c r="J137" i="8"/>
  <c r="C137" i="8"/>
  <c r="J134" i="8"/>
  <c r="C134" i="8"/>
  <c r="C131" i="8"/>
  <c r="J128" i="8"/>
  <c r="C128" i="8"/>
  <c r="J125" i="8"/>
  <c r="C125" i="8"/>
  <c r="J122" i="8"/>
  <c r="C122" i="8"/>
  <c r="J119" i="8"/>
  <c r="C119" i="8"/>
  <c r="C116" i="8"/>
  <c r="C113" i="8"/>
  <c r="J110" i="8"/>
  <c r="C110" i="8"/>
  <c r="J107" i="8"/>
  <c r="C107" i="8"/>
  <c r="J104" i="8"/>
  <c r="G28" i="59" s="1"/>
  <c r="K28" i="59" s="1"/>
  <c r="C104" i="8"/>
  <c r="J101" i="8"/>
  <c r="C101" i="8"/>
  <c r="J98" i="8"/>
  <c r="G26" i="59" s="1"/>
  <c r="C98" i="8"/>
  <c r="C94" i="8"/>
  <c r="J91" i="8"/>
  <c r="C91" i="8"/>
  <c r="J88" i="8"/>
  <c r="C88" i="8"/>
  <c r="C85" i="8"/>
  <c r="J82" i="8"/>
  <c r="C82" i="8"/>
  <c r="C79" i="8"/>
  <c r="J76" i="8"/>
  <c r="C76" i="8"/>
  <c r="J73" i="8"/>
  <c r="C73" i="8"/>
  <c r="J70" i="8"/>
  <c r="C70" i="8"/>
  <c r="J67" i="8"/>
  <c r="C67" i="8"/>
  <c r="J64" i="8"/>
  <c r="C64" i="8"/>
  <c r="J61" i="8"/>
  <c r="C61" i="8"/>
  <c r="J58" i="8"/>
  <c r="C58" i="8"/>
  <c r="J55" i="8"/>
  <c r="C55" i="8"/>
  <c r="J52" i="8"/>
  <c r="C52" i="8"/>
  <c r="J49" i="8"/>
  <c r="C49" i="8"/>
  <c r="J46" i="8"/>
  <c r="C46" i="8"/>
  <c r="C43" i="8"/>
  <c r="J40" i="8"/>
  <c r="C40" i="8"/>
  <c r="C37" i="8"/>
  <c r="J34" i="8"/>
  <c r="C34" i="8"/>
  <c r="J31" i="8"/>
  <c r="C31" i="8"/>
  <c r="J28" i="8"/>
  <c r="C28" i="8"/>
  <c r="C25" i="8"/>
  <c r="J22" i="8"/>
  <c r="C22" i="8"/>
  <c r="J19" i="8"/>
  <c r="C19" i="8"/>
  <c r="J16" i="8"/>
  <c r="C16" i="8"/>
  <c r="C12" i="8"/>
  <c r="C11" i="9" s="1"/>
  <c r="C12" i="10" s="1"/>
  <c r="B11" i="11" s="1"/>
  <c r="B10" i="8"/>
  <c r="I2" i="8"/>
  <c r="O37" i="7"/>
  <c r="J37" i="7"/>
  <c r="J35" i="7"/>
  <c r="O34" i="7"/>
  <c r="J34" i="7"/>
  <c r="O33" i="7"/>
  <c r="J33" i="7"/>
  <c r="O31" i="7"/>
  <c r="O30" i="7"/>
  <c r="J30" i="7"/>
  <c r="O29" i="7"/>
  <c r="J29" i="7"/>
  <c r="O28" i="7"/>
  <c r="O27" i="7"/>
  <c r="J27" i="7"/>
  <c r="O26" i="7"/>
  <c r="J26" i="7"/>
  <c r="J24" i="7"/>
  <c r="O23" i="7"/>
  <c r="J23" i="7"/>
  <c r="O22" i="7"/>
  <c r="O21" i="7"/>
  <c r="J21" i="7"/>
  <c r="J20" i="7"/>
  <c r="O19" i="7"/>
  <c r="J19" i="7"/>
  <c r="O18" i="7"/>
  <c r="J18" i="7"/>
  <c r="J17" i="7"/>
  <c r="C17" i="7"/>
  <c r="O16" i="7"/>
  <c r="J16" i="7"/>
  <c r="C16" i="7"/>
  <c r="O15" i="7"/>
  <c r="O14" i="7"/>
  <c r="J14" i="7"/>
  <c r="O13" i="7"/>
  <c r="J13" i="7"/>
  <c r="O12" i="7"/>
  <c r="J12" i="7"/>
  <c r="O11" i="7"/>
  <c r="J11" i="7"/>
  <c r="O10" i="7"/>
  <c r="B6" i="7"/>
  <c r="N1" i="7"/>
  <c r="J40" i="6"/>
  <c r="C40" i="6"/>
  <c r="L37" i="7" s="1"/>
  <c r="C39" i="6"/>
  <c r="L36" i="7" s="1"/>
  <c r="J38" i="6"/>
  <c r="C38" i="6"/>
  <c r="L34" i="7" s="1"/>
  <c r="J37" i="6"/>
  <c r="C37" i="6"/>
  <c r="L33" i="7" s="1"/>
  <c r="C36" i="6"/>
  <c r="L32" i="7" s="1"/>
  <c r="J35" i="6"/>
  <c r="C35" i="6"/>
  <c r="L31" i="7" s="1"/>
  <c r="J34" i="6"/>
  <c r="C34" i="6"/>
  <c r="L30" i="7" s="1"/>
  <c r="J33" i="6"/>
  <c r="C33" i="6"/>
  <c r="L29" i="7" s="1"/>
  <c r="J32" i="6"/>
  <c r="C32" i="6"/>
  <c r="L28" i="7" s="1"/>
  <c r="J31" i="6"/>
  <c r="C31" i="6"/>
  <c r="L27" i="7" s="1"/>
  <c r="J30" i="6"/>
  <c r="G52" i="59" s="1"/>
  <c r="K52" i="59" s="1"/>
  <c r="C30" i="6"/>
  <c r="L26" i="7" s="1"/>
  <c r="C29" i="6"/>
  <c r="L25" i="7" s="1"/>
  <c r="C28" i="6"/>
  <c r="L24" i="7" s="1"/>
  <c r="J27" i="6"/>
  <c r="C27" i="6"/>
  <c r="L23" i="7" s="1"/>
  <c r="J26" i="6"/>
  <c r="C26" i="6"/>
  <c r="L22" i="7" s="1"/>
  <c r="J25" i="6"/>
  <c r="C25" i="6"/>
  <c r="L21" i="7" s="1"/>
  <c r="C24" i="6"/>
  <c r="L20" i="7" s="1"/>
  <c r="J23" i="6"/>
  <c r="C23" i="6"/>
  <c r="L19" i="7" s="1"/>
  <c r="J22" i="6"/>
  <c r="C22" i="6"/>
  <c r="L18" i="7" s="1"/>
  <c r="C21" i="6"/>
  <c r="L17" i="7" s="1"/>
  <c r="J20" i="6"/>
  <c r="C20" i="6"/>
  <c r="L16" i="7" s="1"/>
  <c r="J19" i="6"/>
  <c r="C19" i="6"/>
  <c r="L15" i="7" s="1"/>
  <c r="J18" i="6"/>
  <c r="C18" i="6"/>
  <c r="L14" i="7" s="1"/>
  <c r="J17" i="6"/>
  <c r="C17" i="6"/>
  <c r="L13" i="7" s="1"/>
  <c r="J16" i="6"/>
  <c r="C16" i="6"/>
  <c r="L12" i="7" s="1"/>
  <c r="J15" i="6"/>
  <c r="C15" i="6"/>
  <c r="L11" i="7" s="1"/>
  <c r="J14" i="6"/>
  <c r="C14" i="6"/>
  <c r="L10" i="7" s="1"/>
  <c r="C11" i="6"/>
  <c r="L7" i="7" s="1"/>
  <c r="B9" i="6"/>
  <c r="I2" i="6"/>
  <c r="K43" i="5"/>
  <c r="C43" i="5"/>
  <c r="C37" i="7" s="1"/>
  <c r="C42" i="5"/>
  <c r="C36" i="7" s="1"/>
  <c r="K41" i="5"/>
  <c r="C41" i="5"/>
  <c r="C35" i="7" s="1"/>
  <c r="K40" i="5"/>
  <c r="C40" i="5"/>
  <c r="C34" i="7" s="1"/>
  <c r="K39" i="5"/>
  <c r="C39" i="5"/>
  <c r="C33" i="7" s="1"/>
  <c r="C38" i="5"/>
  <c r="C32" i="7" s="1"/>
  <c r="C37" i="5"/>
  <c r="C31" i="7" s="1"/>
  <c r="K36" i="5"/>
  <c r="C36" i="5"/>
  <c r="C30" i="7" s="1"/>
  <c r="K35" i="5"/>
  <c r="C35" i="5"/>
  <c r="C29" i="7" s="1"/>
  <c r="C34" i="5"/>
  <c r="C28" i="7" s="1"/>
  <c r="K33" i="5"/>
  <c r="C33" i="5"/>
  <c r="C27" i="7" s="1"/>
  <c r="K32" i="5"/>
  <c r="G51" i="59" s="1"/>
  <c r="C32" i="5"/>
  <c r="C26" i="7" s="1"/>
  <c r="C31" i="5"/>
  <c r="C25" i="7" s="1"/>
  <c r="K30" i="5"/>
  <c r="C30" i="5"/>
  <c r="C24" i="7" s="1"/>
  <c r="K29" i="5"/>
  <c r="C29" i="5"/>
  <c r="C23" i="7" s="1"/>
  <c r="C28" i="5"/>
  <c r="C22" i="7" s="1"/>
  <c r="K27" i="5"/>
  <c r="C27" i="5"/>
  <c r="C21" i="7" s="1"/>
  <c r="K26" i="5"/>
  <c r="C26" i="5"/>
  <c r="C20" i="7" s="1"/>
  <c r="K25" i="5"/>
  <c r="C25" i="5"/>
  <c r="C19" i="7" s="1"/>
  <c r="K24" i="5"/>
  <c r="C24" i="5"/>
  <c r="C18" i="7" s="1"/>
  <c r="J23" i="5"/>
  <c r="C23" i="5"/>
  <c r="K22" i="5"/>
  <c r="C22" i="5"/>
  <c r="J21" i="5"/>
  <c r="C21" i="5"/>
  <c r="K20" i="5"/>
  <c r="C20" i="5"/>
  <c r="C19" i="5"/>
  <c r="C15" i="7" s="1"/>
  <c r="K18" i="5"/>
  <c r="C18" i="5"/>
  <c r="C14" i="7" s="1"/>
  <c r="K17" i="5"/>
  <c r="C17" i="5"/>
  <c r="C13" i="7" s="1"/>
  <c r="K16" i="5"/>
  <c r="C16" i="5"/>
  <c r="C12" i="7" s="1"/>
  <c r="K15" i="5"/>
  <c r="C15" i="5"/>
  <c r="C11" i="7" s="1"/>
  <c r="C14" i="5"/>
  <c r="C10" i="7" s="1"/>
  <c r="I12" i="5"/>
  <c r="H9" i="7" s="1"/>
  <c r="H12" i="5"/>
  <c r="G9" i="7" s="1"/>
  <c r="C11" i="5"/>
  <c r="C7" i="7" s="1"/>
  <c r="B9" i="5"/>
  <c r="J2" i="5"/>
  <c r="B56" i="4"/>
  <c r="B54" i="4"/>
  <c r="B41" i="4"/>
  <c r="I29" i="4"/>
  <c r="I57" i="4" s="1"/>
  <c r="I28" i="4"/>
  <c r="I56" i="4" s="1"/>
  <c r="F28" i="4"/>
  <c r="F56" i="4" s="1"/>
  <c r="B26" i="4"/>
  <c r="B24" i="4"/>
  <c r="I12" i="4"/>
  <c r="I43" i="4" s="1"/>
  <c r="H12" i="4"/>
  <c r="F12" i="4"/>
  <c r="F43" i="4" s="1"/>
  <c r="D12" i="4"/>
  <c r="D28" i="4" s="1"/>
  <c r="D43" i="4" s="1"/>
  <c r="B12" i="4"/>
  <c r="B28" i="4" s="1"/>
  <c r="B43" i="4" s="1"/>
  <c r="B10" i="4"/>
  <c r="B56" i="3"/>
  <c r="B55" i="3"/>
  <c r="B54" i="3"/>
  <c r="P51" i="3"/>
  <c r="R51" i="3" s="1"/>
  <c r="B51" i="3"/>
  <c r="P49" i="3"/>
  <c r="R49" i="3" s="1"/>
  <c r="N49" i="3"/>
  <c r="M49" i="3"/>
  <c r="L49" i="3"/>
  <c r="K49" i="3"/>
  <c r="J49" i="3"/>
  <c r="I49" i="3"/>
  <c r="B48" i="3"/>
  <c r="P46" i="3"/>
  <c r="R46" i="3" s="1"/>
  <c r="N46" i="3"/>
  <c r="M46" i="3"/>
  <c r="L46" i="3"/>
  <c r="K46" i="3"/>
  <c r="J46" i="3"/>
  <c r="I46" i="3"/>
  <c r="B45" i="3"/>
  <c r="P43" i="3"/>
  <c r="R43" i="3" s="1"/>
  <c r="N43" i="3"/>
  <c r="M43" i="3"/>
  <c r="L43" i="3"/>
  <c r="K43" i="3"/>
  <c r="J43" i="3"/>
  <c r="I43" i="3"/>
  <c r="B42" i="3"/>
  <c r="P40" i="3"/>
  <c r="R40" i="3" s="1"/>
  <c r="N40" i="3"/>
  <c r="M40" i="3"/>
  <c r="L40" i="3"/>
  <c r="K40" i="3"/>
  <c r="J40" i="3"/>
  <c r="I40" i="3"/>
  <c r="B39" i="3"/>
  <c r="P37" i="3"/>
  <c r="N37" i="3"/>
  <c r="M37" i="3"/>
  <c r="L37" i="3"/>
  <c r="K37" i="3"/>
  <c r="J37" i="3"/>
  <c r="I37" i="3"/>
  <c r="B36" i="3"/>
  <c r="P34" i="3"/>
  <c r="N34" i="3"/>
  <c r="M34" i="3"/>
  <c r="L34" i="3"/>
  <c r="K34" i="3"/>
  <c r="J34" i="3"/>
  <c r="I34" i="3"/>
  <c r="B33" i="3"/>
  <c r="R32" i="3"/>
  <c r="P32" i="3"/>
  <c r="R31" i="3"/>
  <c r="P31" i="3"/>
  <c r="H31" i="3"/>
  <c r="B31" i="3"/>
  <c r="R30" i="3"/>
  <c r="P30" i="3"/>
  <c r="H30" i="3"/>
  <c r="B29" i="3"/>
  <c r="M26" i="3"/>
  <c r="L26" i="3"/>
  <c r="K26" i="3"/>
  <c r="J26" i="3"/>
  <c r="I26" i="3"/>
  <c r="D26" i="3"/>
  <c r="K24" i="3"/>
  <c r="J24" i="3"/>
  <c r="I24" i="3"/>
  <c r="D24" i="3"/>
  <c r="D23" i="3"/>
  <c r="K21" i="3"/>
  <c r="J21" i="3"/>
  <c r="I21" i="3"/>
  <c r="D21" i="3"/>
  <c r="P19" i="3"/>
  <c r="K19" i="3"/>
  <c r="J19" i="3"/>
  <c r="I19" i="3"/>
  <c r="D19" i="3"/>
  <c r="P17" i="3"/>
  <c r="K17" i="3"/>
  <c r="J17" i="3"/>
  <c r="I17" i="3"/>
  <c r="D17" i="3"/>
  <c r="P15" i="3"/>
  <c r="L15" i="3"/>
  <c r="K15" i="3"/>
  <c r="J15" i="3"/>
  <c r="I15" i="3"/>
  <c r="D15" i="3"/>
  <c r="O13" i="3"/>
  <c r="B10" i="3"/>
  <c r="Q8" i="3"/>
  <c r="I8" i="4" s="1"/>
  <c r="J7" i="5" s="1"/>
  <c r="I7" i="6" s="1"/>
  <c r="N5" i="7" s="1"/>
  <c r="I8" i="8" s="1"/>
  <c r="H7" i="9" s="1"/>
  <c r="J8" i="10" s="1"/>
  <c r="G7" i="11" s="1"/>
  <c r="G8" i="12" s="1"/>
  <c r="I10" i="13" s="1"/>
  <c r="J7" i="14" s="1"/>
  <c r="F7" i="15" s="1"/>
  <c r="J7" i="16" s="1"/>
  <c r="G7" i="17" s="1"/>
  <c r="H7" i="18" s="1"/>
  <c r="H7" i="19" s="1"/>
  <c r="F7" i="20" s="1"/>
  <c r="F7" i="21" s="1"/>
  <c r="H7" i="22" s="1"/>
  <c r="H7" i="23" s="1"/>
  <c r="H7" i="24" s="1"/>
  <c r="J6" i="25" s="1"/>
  <c r="J6" i="26" s="1"/>
  <c r="F7" i="27" s="1"/>
  <c r="F7" i="28" s="1"/>
  <c r="F7" i="29" s="1"/>
  <c r="G7" i="30" s="1"/>
  <c r="G7" i="31" s="1"/>
  <c r="F9" i="32" s="1"/>
  <c r="J8" i="3"/>
  <c r="G8" i="4" s="1"/>
  <c r="G7" i="5" s="1"/>
  <c r="E7" i="6" s="1"/>
  <c r="I5" i="7" s="1"/>
  <c r="E8" i="8" s="1"/>
  <c r="E7" i="9" s="1"/>
  <c r="F8" i="10" s="1"/>
  <c r="D7" i="11" s="1"/>
  <c r="D8" i="12" s="1"/>
  <c r="F10" i="13" s="1"/>
  <c r="G7" i="14" s="1"/>
  <c r="D7" i="15" s="1"/>
  <c r="F7" i="16" s="1"/>
  <c r="E7" i="17" s="1"/>
  <c r="E7" i="18" s="1"/>
  <c r="E7" i="19" s="1"/>
  <c r="D7" i="20" s="1"/>
  <c r="D7" i="21" s="1"/>
  <c r="E7" i="22" s="1"/>
  <c r="E7" i="23" s="1"/>
  <c r="E7" i="24" s="1"/>
  <c r="G6" i="25" s="1"/>
  <c r="G6" i="26" s="1"/>
  <c r="D7" i="27" s="1"/>
  <c r="D7" i="28" s="1"/>
  <c r="D7" i="29" s="1"/>
  <c r="D7" i="30" s="1"/>
  <c r="D7" i="31" s="1"/>
  <c r="D9" i="32" s="1"/>
  <c r="B8" i="3"/>
  <c r="B8" i="4" s="1"/>
  <c r="B7" i="5" s="1"/>
  <c r="B7" i="6" s="1"/>
  <c r="B5" i="7" s="1"/>
  <c r="B8" i="8" s="1"/>
  <c r="B7" i="9" s="1"/>
  <c r="B8" i="10" s="1"/>
  <c r="B7" i="11" s="1"/>
  <c r="B8" i="12" s="1"/>
  <c r="B10" i="13" s="1"/>
  <c r="B7" i="14" s="1"/>
  <c r="B7" i="15" s="1"/>
  <c r="B7" i="16" s="1"/>
  <c r="B7" i="17" s="1"/>
  <c r="B7" i="18" s="1"/>
  <c r="B7" i="19" s="1"/>
  <c r="B7" i="20" s="1"/>
  <c r="Q7" i="3"/>
  <c r="I7" i="4" s="1"/>
  <c r="J6" i="5" s="1"/>
  <c r="I6" i="6" s="1"/>
  <c r="N4" i="7" s="1"/>
  <c r="I6" i="8" s="1"/>
  <c r="H6" i="9" s="1"/>
  <c r="J7" i="10" s="1"/>
  <c r="G6" i="11" s="1"/>
  <c r="G6" i="12" s="1"/>
  <c r="I9" i="13" s="1"/>
  <c r="J6" i="14" s="1"/>
  <c r="F6" i="15" s="1"/>
  <c r="K6" i="16" s="1"/>
  <c r="G6" i="17" s="1"/>
  <c r="H6" i="18" s="1"/>
  <c r="H6" i="19" s="1"/>
  <c r="F6" i="20" s="1"/>
  <c r="F6" i="21" s="1"/>
  <c r="H6" i="22" s="1"/>
  <c r="H6" i="23" s="1"/>
  <c r="H6" i="24" s="1"/>
  <c r="J5" i="25" s="1"/>
  <c r="J5" i="26" s="1"/>
  <c r="F6" i="27" s="1"/>
  <c r="F6" i="28" s="1"/>
  <c r="F6" i="29" s="1"/>
  <c r="G6" i="30" s="1"/>
  <c r="G6" i="31" s="1"/>
  <c r="F8" i="32" s="1"/>
  <c r="I6" i="33" s="1"/>
  <c r="I6" i="34" s="1"/>
  <c r="I6" i="35" s="1"/>
  <c r="H6" i="36" s="1"/>
  <c r="G6" i="37" s="1"/>
  <c r="G6" i="38" s="1"/>
  <c r="J6" i="39" s="1"/>
  <c r="I8" i="40" s="1"/>
  <c r="K6" i="41" s="1"/>
  <c r="F6" i="42" s="1"/>
  <c r="H6" i="43" s="1"/>
  <c r="G6" i="44" s="1"/>
  <c r="F6" i="45" s="1"/>
  <c r="F6" i="46" s="1"/>
  <c r="F6" i="47" s="1"/>
  <c r="G6" i="48" s="1"/>
  <c r="F6" i="49" s="1"/>
  <c r="S5" i="50" s="1"/>
  <c r="L5" i="51" s="1"/>
  <c r="K5" i="52" s="1"/>
  <c r="J5" i="53" s="1"/>
  <c r="G6" i="54" s="1"/>
  <c r="G6" i="55" s="1"/>
  <c r="G6" i="56" s="1"/>
  <c r="J6" i="57" s="1"/>
  <c r="I6" i="58" s="1"/>
  <c r="B7" i="3"/>
  <c r="B7" i="4" s="1"/>
  <c r="B6" i="5" s="1"/>
  <c r="B6" i="6" s="1"/>
  <c r="B4" i="7" s="1"/>
  <c r="B6" i="8" s="1"/>
  <c r="B6" i="9" s="1"/>
  <c r="B7" i="10" s="1"/>
  <c r="B6" i="11" s="1"/>
  <c r="B6" i="12" s="1"/>
  <c r="B9" i="13" s="1"/>
  <c r="B6" i="14" s="1"/>
  <c r="B6" i="15" s="1"/>
  <c r="B6" i="16" s="1"/>
  <c r="B6" i="17" s="1"/>
  <c r="B6" i="18" s="1"/>
  <c r="B6" i="19" s="1"/>
  <c r="B6" i="20" s="1"/>
  <c r="B6" i="21" s="1"/>
  <c r="B6" i="22" s="1"/>
  <c r="B6" i="23" s="1"/>
  <c r="B6" i="24" s="1"/>
  <c r="B5" i="25" s="1"/>
  <c r="B5" i="26" s="1"/>
  <c r="B6" i="27" s="1"/>
  <c r="B6" i="28" s="1"/>
  <c r="B6" i="29" s="1"/>
  <c r="B6" i="30" s="1"/>
  <c r="B6" i="3"/>
  <c r="B6" i="4" s="1"/>
  <c r="B5" i="5" s="1"/>
  <c r="B5" i="6" s="1"/>
  <c r="B3" i="7" s="1"/>
  <c r="B5" i="8" s="1"/>
  <c r="B5" i="9" s="1"/>
  <c r="B6" i="10" s="1"/>
  <c r="B5" i="11" s="1"/>
  <c r="B5" i="12" s="1"/>
  <c r="B8" i="13" s="1"/>
  <c r="B5" i="14" s="1"/>
  <c r="B5" i="15" s="1"/>
  <c r="B5" i="16" s="1"/>
  <c r="B5" i="17" s="1"/>
  <c r="B5" i="18" s="1"/>
  <c r="B5" i="19" s="1"/>
  <c r="B5" i="20" s="1"/>
  <c r="B5" i="21" s="1"/>
  <c r="B5" i="22" s="1"/>
  <c r="B5" i="23" s="1"/>
  <c r="B5" i="24" s="1"/>
  <c r="B4" i="25" s="1"/>
  <c r="B4" i="26" s="1"/>
  <c r="B5" i="27" s="1"/>
  <c r="B5" i="28" s="1"/>
  <c r="B5" i="29" s="1"/>
  <c r="B5" i="30" s="1"/>
  <c r="B5" i="3"/>
  <c r="B5" i="4" s="1"/>
  <c r="B4" i="5" s="1"/>
  <c r="B4" i="6" s="1"/>
  <c r="B2" i="7" s="1"/>
  <c r="B4" i="8" s="1"/>
  <c r="B4" i="9" s="1"/>
  <c r="B5" i="10" s="1"/>
  <c r="B4" i="11" s="1"/>
  <c r="B4" i="12" s="1"/>
  <c r="B7" i="13" s="1"/>
  <c r="B4" i="14" s="1"/>
  <c r="B4" i="15" s="1"/>
  <c r="B4" i="16" s="1"/>
  <c r="B4" i="17" s="1"/>
  <c r="B4" i="18" s="1"/>
  <c r="B4" i="19" s="1"/>
  <c r="B4" i="20" s="1"/>
  <c r="B4" i="3"/>
  <c r="S64" i="2"/>
  <c r="O64" i="2"/>
  <c r="S63" i="2"/>
  <c r="O63" i="2"/>
  <c r="S62" i="2"/>
  <c r="O62" i="2"/>
  <c r="S61" i="2"/>
  <c r="O61" i="2"/>
  <c r="S60" i="2"/>
  <c r="O60" i="2"/>
  <c r="S59" i="2"/>
  <c r="O59" i="2"/>
  <c r="S58" i="2"/>
  <c r="O58" i="2"/>
  <c r="S57" i="2"/>
  <c r="O57" i="2"/>
  <c r="S56" i="2"/>
  <c r="O56" i="2"/>
  <c r="D56" i="2"/>
  <c r="S55" i="2"/>
  <c r="O55" i="2"/>
  <c r="D55" i="2"/>
  <c r="S54" i="2"/>
  <c r="O54" i="2"/>
  <c r="D54" i="2"/>
  <c r="S53" i="2"/>
  <c r="O53" i="2"/>
  <c r="D53" i="2"/>
  <c r="S52" i="2"/>
  <c r="O52" i="2"/>
  <c r="D52" i="2"/>
  <c r="O51" i="2"/>
  <c r="D51" i="2"/>
  <c r="N49" i="2"/>
  <c r="N48" i="2"/>
  <c r="T47" i="2"/>
  <c r="N47" i="2"/>
  <c r="D47" i="2"/>
  <c r="D45" i="2"/>
  <c r="D44" i="2"/>
  <c r="D42" i="2"/>
  <c r="D40" i="2"/>
  <c r="D39" i="2"/>
  <c r="D38" i="2"/>
  <c r="D37" i="2"/>
  <c r="D35" i="2"/>
  <c r="D34" i="2"/>
  <c r="D32" i="2"/>
  <c r="D31" i="2"/>
  <c r="D29" i="2"/>
  <c r="D28" i="2"/>
  <c r="S26" i="2"/>
  <c r="P26" i="2"/>
  <c r="M26" i="2"/>
  <c r="G26" i="2"/>
  <c r="D26" i="2"/>
  <c r="S25" i="2"/>
  <c r="P25" i="2"/>
  <c r="K6" i="5" s="1"/>
  <c r="M25" i="2"/>
  <c r="G25" i="2"/>
  <c r="D25" i="2"/>
  <c r="R23" i="2"/>
  <c r="D23" i="2"/>
  <c r="D22" i="2"/>
  <c r="R20" i="2"/>
  <c r="H20" i="2"/>
  <c r="D20" i="2"/>
  <c r="R19" i="2"/>
  <c r="H19" i="2"/>
  <c r="D19" i="2"/>
  <c r="O17" i="2"/>
  <c r="E17" i="2"/>
  <c r="D17" i="2"/>
  <c r="O16" i="2"/>
  <c r="E16" i="2"/>
  <c r="D16" i="2"/>
  <c r="T14" i="2"/>
  <c r="O14" i="2"/>
  <c r="K14" i="2"/>
  <c r="J14" i="2"/>
  <c r="I14" i="2"/>
  <c r="E14" i="2"/>
  <c r="I12" i="2"/>
  <c r="D12" i="2"/>
  <c r="O10" i="2"/>
  <c r="L10" i="2"/>
  <c r="K10" i="2"/>
  <c r="J10" i="2"/>
  <c r="I10" i="2"/>
  <c r="D10" i="2"/>
  <c r="U8" i="2"/>
  <c r="R8" i="3" s="1"/>
  <c r="S8" i="2"/>
  <c r="B6" i="2"/>
  <c r="B5" i="2"/>
  <c r="C131" i="1"/>
  <c r="M130" i="1"/>
  <c r="C130" i="1"/>
  <c r="M125" i="1"/>
  <c r="C124" i="1"/>
  <c r="C123" i="1"/>
  <c r="C122" i="1"/>
  <c r="C121" i="1"/>
  <c r="C120" i="1"/>
  <c r="M119" i="1"/>
  <c r="M117" i="1"/>
  <c r="C117" i="1"/>
  <c r="C115" i="1"/>
  <c r="F112" i="1"/>
  <c r="F8" i="2" s="1"/>
  <c r="E8" i="3" s="1"/>
  <c r="C112" i="1"/>
  <c r="B8" i="2" s="1"/>
  <c r="E110" i="1"/>
  <c r="D7" i="2" s="1"/>
  <c r="D6" i="5" s="1"/>
  <c r="C110" i="1"/>
  <c r="D108" i="1"/>
  <c r="R22" i="2" s="1"/>
  <c r="C106" i="1"/>
  <c r="H6" i="2" s="1"/>
  <c r="C105" i="1"/>
  <c r="F104" i="1"/>
  <c r="H5" i="2" s="1"/>
  <c r="E5" i="3" s="1"/>
  <c r="C104" i="1"/>
  <c r="C102" i="1"/>
  <c r="L100" i="1"/>
  <c r="Q8" i="2" s="1"/>
  <c r="O8" i="3" s="1"/>
  <c r="J100" i="1"/>
  <c r="P8" i="2" s="1"/>
  <c r="Q10" i="2" s="1"/>
  <c r="I100" i="1"/>
  <c r="O8" i="2" s="1"/>
  <c r="P10" i="2" s="1"/>
  <c r="E100" i="1"/>
  <c r="L8" i="2" s="1"/>
  <c r="F98" i="1"/>
  <c r="C97" i="1"/>
  <c r="C96" i="1"/>
  <c r="E94" i="1"/>
  <c r="C94" i="1"/>
  <c r="D92" i="1"/>
  <c r="C92" i="1"/>
  <c r="D91" i="1"/>
  <c r="C91" i="1"/>
  <c r="D90" i="1"/>
  <c r="D3" i="1" s="1"/>
  <c r="C90" i="1"/>
  <c r="E83" i="1"/>
  <c r="E81" i="1"/>
  <c r="E80" i="1"/>
  <c r="D78" i="1"/>
  <c r="E76" i="1"/>
  <c r="E74" i="1"/>
  <c r="E72" i="1"/>
  <c r="E70" i="1"/>
  <c r="E69" i="1"/>
  <c r="E67" i="1"/>
  <c r="D65" i="1"/>
  <c r="E63" i="1"/>
  <c r="E61" i="1"/>
  <c r="E59" i="1"/>
  <c r="E57" i="1"/>
  <c r="E55" i="1"/>
  <c r="E53" i="1"/>
  <c r="D51" i="1"/>
  <c r="C49" i="1"/>
  <c r="E34" i="1"/>
  <c r="C32" i="1"/>
  <c r="E27" i="1"/>
  <c r="C27" i="1"/>
  <c r="E25" i="1"/>
  <c r="C25" i="1"/>
  <c r="B7" i="2" s="1"/>
  <c r="E23" i="1"/>
  <c r="C23" i="1"/>
  <c r="E21" i="1"/>
  <c r="C21" i="1"/>
  <c r="C108" i="1" s="1"/>
  <c r="S6" i="2" s="1"/>
  <c r="E19" i="1"/>
  <c r="C19" i="1"/>
  <c r="E17" i="1"/>
  <c r="C17" i="1"/>
  <c r="C13" i="1"/>
  <c r="C9" i="1"/>
  <c r="C3" i="1"/>
  <c r="F29" i="50" l="1"/>
  <c r="G29" i="50"/>
  <c r="H29" i="50"/>
  <c r="J29" i="50"/>
  <c r="K29" i="50"/>
  <c r="F49" i="30"/>
  <c r="T16" i="50"/>
  <c r="C50" i="64" s="1"/>
  <c r="C15" i="64"/>
  <c r="J16" i="10" s="1"/>
  <c r="L50" i="30"/>
  <c r="C24" i="64"/>
  <c r="L49" i="30"/>
  <c r="F50" i="30"/>
  <c r="N15" i="34"/>
  <c r="E20" i="19"/>
  <c r="F54" i="30"/>
  <c r="F55" i="30"/>
  <c r="M13" i="34"/>
  <c r="N13" i="34" s="1"/>
  <c r="L54" i="30"/>
  <c r="N11" i="34"/>
  <c r="K25" i="55"/>
  <c r="L25" i="55" s="1"/>
  <c r="K24" i="55"/>
  <c r="L24" i="55" s="1"/>
  <c r="L26" i="50"/>
  <c r="I29" i="50"/>
  <c r="L16" i="50"/>
  <c r="I15" i="34"/>
  <c r="M14" i="34"/>
  <c r="N14" i="34" s="1"/>
  <c r="I11" i="34"/>
  <c r="L55" i="30"/>
  <c r="K56" i="30"/>
  <c r="L56" i="30" s="1"/>
  <c r="K51" i="30"/>
  <c r="L51" i="30" s="1"/>
  <c r="K47" i="30"/>
  <c r="L47" i="30" s="1"/>
  <c r="K28" i="5"/>
  <c r="A1" i="14"/>
  <c r="G26" i="17"/>
  <c r="F23" i="20"/>
  <c r="I23" i="20" s="1"/>
  <c r="O36" i="7"/>
  <c r="F18" i="45"/>
  <c r="K19" i="5"/>
  <c r="K34" i="5"/>
  <c r="K38" i="5" s="1"/>
  <c r="G48" i="59" s="1"/>
  <c r="L28" i="43"/>
  <c r="M28" i="43" s="1"/>
  <c r="J22" i="7"/>
  <c r="J28" i="7"/>
  <c r="J32" i="7" s="1"/>
  <c r="M19" i="41"/>
  <c r="O19" i="41" s="1"/>
  <c r="P19" i="41" s="1"/>
  <c r="I19" i="20"/>
  <c r="L10" i="51"/>
  <c r="F13" i="20"/>
  <c r="F15" i="20" s="1"/>
  <c r="I16" i="21"/>
  <c r="L19" i="43"/>
  <c r="M19" i="43" s="1"/>
  <c r="I19" i="43"/>
  <c r="G11" i="57"/>
  <c r="I11" i="57" s="1"/>
  <c r="I14" i="58" s="1"/>
  <c r="I32" i="43"/>
  <c r="L32" i="43"/>
  <c r="M32" i="43" s="1"/>
  <c r="H12" i="44"/>
  <c r="K12" i="44"/>
  <c r="L12" i="44" s="1"/>
  <c r="J39" i="6"/>
  <c r="K37" i="59"/>
  <c r="J15" i="7"/>
  <c r="O24" i="7"/>
  <c r="J131" i="8"/>
  <c r="G19" i="59" s="1"/>
  <c r="J28" i="6"/>
  <c r="G44" i="59" s="1"/>
  <c r="J10" i="7"/>
  <c r="I192" i="63"/>
  <c r="H19" i="44"/>
  <c r="L19" i="44"/>
  <c r="O4" i="7"/>
  <c r="J7" i="4"/>
  <c r="J6" i="6"/>
  <c r="J6" i="8" s="1"/>
  <c r="I6" i="9" s="1"/>
  <c r="H6" i="11" s="1"/>
  <c r="H6" i="12" s="1"/>
  <c r="J9" i="13" s="1"/>
  <c r="K6" i="14" s="1"/>
  <c r="G6" i="15" s="1"/>
  <c r="H6" i="17" s="1"/>
  <c r="I6" i="18" s="1"/>
  <c r="I6" i="19" s="1"/>
  <c r="G6" i="20" s="1"/>
  <c r="G6" i="21" s="1"/>
  <c r="I6" i="22" s="1"/>
  <c r="I6" i="23" s="1"/>
  <c r="I6" i="24" s="1"/>
  <c r="O32" i="7"/>
  <c r="J36" i="7"/>
  <c r="J113" i="8"/>
  <c r="G17" i="59" s="1"/>
  <c r="I59" i="9"/>
  <c r="G59" i="59" s="1"/>
  <c r="I77" i="9"/>
  <c r="R7" i="3"/>
  <c r="K7" i="10" s="1"/>
  <c r="K14" i="5"/>
  <c r="K42" i="5"/>
  <c r="G64" i="59" s="1"/>
  <c r="I35" i="9"/>
  <c r="I92" i="9"/>
  <c r="T6" i="2"/>
  <c r="J37" i="8"/>
  <c r="G12" i="59" s="1"/>
  <c r="G24" i="39"/>
  <c r="M18" i="39"/>
  <c r="G40" i="44"/>
  <c r="F36" i="13"/>
  <c r="E22" i="23"/>
  <c r="E24" i="23" s="1"/>
  <c r="F14" i="25"/>
  <c r="F14" i="26" s="1"/>
  <c r="N17" i="39"/>
  <c r="O17" i="39" s="1"/>
  <c r="M14" i="40"/>
  <c r="N14" i="40" s="1"/>
  <c r="H17" i="43"/>
  <c r="K16" i="43"/>
  <c r="H19" i="41"/>
  <c r="F16" i="47"/>
  <c r="F19" i="21"/>
  <c r="I52" i="30"/>
  <c r="F52" i="30" s="1"/>
  <c r="G17" i="44"/>
  <c r="J16" i="44"/>
  <c r="G24" i="44"/>
  <c r="F19" i="49"/>
  <c r="M113" i="63"/>
  <c r="M209" i="63"/>
  <c r="M232" i="63"/>
  <c r="F26" i="46"/>
  <c r="G22" i="48"/>
  <c r="M158" i="63"/>
  <c r="M240" i="63"/>
  <c r="G30" i="54"/>
  <c r="H24" i="43"/>
  <c r="K24" i="43" s="1"/>
  <c r="H31" i="43"/>
  <c r="G21" i="54"/>
  <c r="M210" i="63"/>
  <c r="I55" i="63"/>
  <c r="I63" i="63"/>
  <c r="G33" i="55"/>
  <c r="F11" i="57"/>
  <c r="H11" i="57" s="1"/>
  <c r="H14" i="58" s="1"/>
  <c r="M96" i="63"/>
  <c r="M189" i="63"/>
  <c r="G6" i="59"/>
  <c r="J5" i="63" s="1"/>
  <c r="J85" i="63" s="1"/>
  <c r="J168" i="63" s="1"/>
  <c r="J249" i="63" s="1"/>
  <c r="F6" i="60"/>
  <c r="B8" i="32"/>
  <c r="B6" i="31"/>
  <c r="D8" i="10"/>
  <c r="D7" i="5"/>
  <c r="K8" i="10"/>
  <c r="K7" i="5"/>
  <c r="B18" i="20"/>
  <c r="B10" i="21"/>
  <c r="B10" i="22" s="1"/>
  <c r="B10" i="23" s="1"/>
  <c r="B10" i="24" s="1"/>
  <c r="B10" i="25" s="1"/>
  <c r="B10" i="26" s="1"/>
  <c r="B10" i="27" s="1"/>
  <c r="B10" i="28" s="1"/>
  <c r="B10" i="29" s="1"/>
  <c r="I11" i="39"/>
  <c r="H12" i="40"/>
  <c r="J10" i="41" s="1"/>
  <c r="B7" i="32"/>
  <c r="B5" i="31"/>
  <c r="J11" i="39"/>
  <c r="I12" i="40"/>
  <c r="K10" i="41" s="1"/>
  <c r="E6" i="3"/>
  <c r="D6" i="10" s="1"/>
  <c r="D5" i="5"/>
  <c r="D4" i="7"/>
  <c r="D6" i="6"/>
  <c r="D6" i="8" s="1"/>
  <c r="D6" i="9" s="1"/>
  <c r="C6" i="11" s="1"/>
  <c r="C6" i="12" s="1"/>
  <c r="C9" i="13" s="1"/>
  <c r="C6" i="14" s="1"/>
  <c r="C6" i="15" s="1"/>
  <c r="C7" i="4"/>
  <c r="B7" i="22"/>
  <c r="B7" i="23"/>
  <c r="B7" i="24" s="1"/>
  <c r="B6" i="25" s="1"/>
  <c r="B6" i="26" s="1"/>
  <c r="B7" i="27" s="1"/>
  <c r="B7" i="28" s="1"/>
  <c r="B7" i="29" s="1"/>
  <c r="B7" i="30" s="1"/>
  <c r="B7" i="21"/>
  <c r="D5" i="10"/>
  <c r="D4" i="5"/>
  <c r="I7" i="5"/>
  <c r="I8" i="10"/>
  <c r="D7" i="45"/>
  <c r="D7" i="46" s="1"/>
  <c r="D7" i="47" s="1"/>
  <c r="E7" i="48" s="1"/>
  <c r="D7" i="49" s="1"/>
  <c r="P6" i="50" s="1"/>
  <c r="J6" i="51" s="1"/>
  <c r="G6" i="52" s="1"/>
  <c r="H6" i="53" s="1"/>
  <c r="D7" i="54" s="1"/>
  <c r="E7" i="55" s="1"/>
  <c r="D7" i="56" s="1"/>
  <c r="G7" i="57" s="1"/>
  <c r="F7" i="58" s="1"/>
  <c r="G7" i="33"/>
  <c r="G7" i="34" s="1"/>
  <c r="F7" i="35" s="1"/>
  <c r="F7" i="36" s="1"/>
  <c r="E7" i="37" s="1"/>
  <c r="E7" i="38" s="1"/>
  <c r="G7" i="39" s="1"/>
  <c r="F9" i="40" s="1"/>
  <c r="H7" i="41" s="1"/>
  <c r="D7" i="42" s="1"/>
  <c r="E7" i="43" s="1"/>
  <c r="E7" i="44" s="1"/>
  <c r="B4" i="22"/>
  <c r="B4" i="23"/>
  <c r="B4" i="24" s="1"/>
  <c r="B3" i="25" s="1"/>
  <c r="B3" i="26" s="1"/>
  <c r="B4" i="27" s="1"/>
  <c r="B4" i="28" s="1"/>
  <c r="B4" i="29" s="1"/>
  <c r="B4" i="30" s="1"/>
  <c r="B4" i="21"/>
  <c r="G7" i="44"/>
  <c r="F7" i="45"/>
  <c r="F7" i="46" s="1"/>
  <c r="F7" i="47" s="1"/>
  <c r="G7" i="48" s="1"/>
  <c r="F7" i="49" s="1"/>
  <c r="S6" i="50" s="1"/>
  <c r="L6" i="51" s="1"/>
  <c r="J6" i="52" s="1"/>
  <c r="J6" i="53" s="1"/>
  <c r="G7" i="54" s="1"/>
  <c r="G7" i="55" s="1"/>
  <c r="G7" i="56" s="1"/>
  <c r="J7" i="57" s="1"/>
  <c r="I7" i="58" s="1"/>
  <c r="G7" i="59" s="1"/>
  <c r="I7" i="33"/>
  <c r="I7" i="34" s="1"/>
  <c r="I7" i="35" s="1"/>
  <c r="H7" i="36" s="1"/>
  <c r="G7" i="37" s="1"/>
  <c r="G7" i="38" s="1"/>
  <c r="J7" i="39" s="1"/>
  <c r="I9" i="40" s="1"/>
  <c r="K7" i="41" s="1"/>
  <c r="F7" i="42" s="1"/>
  <c r="H7" i="43" s="1"/>
  <c r="J25" i="8"/>
  <c r="G34" i="59"/>
  <c r="K34" i="59" s="1"/>
  <c r="K14" i="23"/>
  <c r="L19" i="33"/>
  <c r="R10" i="2"/>
  <c r="E7" i="3"/>
  <c r="D7" i="10" s="1"/>
  <c r="G53" i="59"/>
  <c r="J36" i="6"/>
  <c r="G49" i="59" s="1"/>
  <c r="G10" i="21"/>
  <c r="F10" i="22" s="1"/>
  <c r="F10" i="23" s="1"/>
  <c r="G10" i="27" s="1"/>
  <c r="G10" i="28" s="1"/>
  <c r="G10" i="29" s="1"/>
  <c r="G18" i="20"/>
  <c r="E19" i="22"/>
  <c r="K48" i="30"/>
  <c r="L48" i="30" s="1"/>
  <c r="F48" i="30"/>
  <c r="M12" i="34"/>
  <c r="N12" i="34" s="1"/>
  <c r="I12" i="34"/>
  <c r="K15" i="19"/>
  <c r="K17" i="19"/>
  <c r="K13" i="22"/>
  <c r="I13" i="24"/>
  <c r="I14" i="25"/>
  <c r="I14" i="26" s="1"/>
  <c r="K53" i="30"/>
  <c r="L53" i="30" s="1"/>
  <c r="F53" i="30"/>
  <c r="G35" i="59"/>
  <c r="J12" i="40"/>
  <c r="L10" i="41" s="1"/>
  <c r="K11" i="39"/>
  <c r="K57" i="30"/>
  <c r="L57" i="30" s="1"/>
  <c r="F57" i="30"/>
  <c r="L15" i="40"/>
  <c r="E22" i="40"/>
  <c r="K10" i="51"/>
  <c r="F12" i="53"/>
  <c r="I12" i="53" s="1"/>
  <c r="L12" i="43"/>
  <c r="M12" i="43" s="1"/>
  <c r="K30" i="43"/>
  <c r="J23" i="44"/>
  <c r="J39" i="44"/>
  <c r="I11" i="46"/>
  <c r="K12" i="55"/>
  <c r="L12" i="55" s="1"/>
  <c r="K13" i="55"/>
  <c r="L13" i="55" s="1"/>
  <c r="G21" i="55"/>
  <c r="H21" i="59"/>
  <c r="J10" i="51"/>
  <c r="M20" i="63"/>
  <c r="M27" i="63"/>
  <c r="H57" i="59"/>
  <c r="L57" i="59"/>
  <c r="M57" i="59" s="1"/>
  <c r="I19" i="63"/>
  <c r="M100" i="63"/>
  <c r="M117" i="63"/>
  <c r="I28" i="63"/>
  <c r="M75" i="63"/>
  <c r="M125" i="63"/>
  <c r="I53" i="63"/>
  <c r="M132" i="63"/>
  <c r="M136" i="63"/>
  <c r="D247" i="63"/>
  <c r="D166" i="63"/>
  <c r="M15" i="63"/>
  <c r="I145" i="63"/>
  <c r="M244" i="63"/>
  <c r="I274" i="63"/>
  <c r="M272" i="63"/>
  <c r="M29" i="63"/>
  <c r="I164" i="63"/>
  <c r="M229" i="63"/>
  <c r="M197" i="63"/>
  <c r="M213" i="63"/>
  <c r="I228" i="63"/>
  <c r="I271" i="63"/>
  <c r="M217" i="63"/>
  <c r="M221" i="63"/>
  <c r="M225" i="63"/>
  <c r="I265" i="63"/>
  <c r="O275" i="63"/>
  <c r="M257" i="63"/>
  <c r="M270" i="63"/>
  <c r="I95" i="9" l="1"/>
  <c r="G60" i="59" s="1"/>
  <c r="S25" i="50"/>
  <c r="G31" i="54"/>
  <c r="I19" i="41"/>
  <c r="J51" i="10"/>
  <c r="K51" i="10"/>
  <c r="K16" i="10"/>
  <c r="K25" i="10"/>
  <c r="J25" i="10"/>
  <c r="K52" i="30"/>
  <c r="L52" i="30" s="1"/>
  <c r="L29" i="50"/>
  <c r="G14" i="58"/>
  <c r="K31" i="5"/>
  <c r="K44" i="5" s="1"/>
  <c r="F14" i="58"/>
  <c r="J11" i="57"/>
  <c r="J25" i="7"/>
  <c r="J38" i="7" s="1"/>
  <c r="G63" i="59"/>
  <c r="G65" i="59" s="1"/>
  <c r="G56" i="59"/>
  <c r="L6" i="16"/>
  <c r="K11" i="57"/>
  <c r="H41" i="43"/>
  <c r="F21" i="21"/>
  <c r="D2" i="7"/>
  <c r="D4" i="6"/>
  <c r="D4" i="8" s="1"/>
  <c r="D4" i="9" s="1"/>
  <c r="C4" i="11" s="1"/>
  <c r="C4" i="12" s="1"/>
  <c r="C7" i="13" s="1"/>
  <c r="C4" i="14" s="1"/>
  <c r="C4" i="15" s="1"/>
  <c r="C5" i="4"/>
  <c r="D6" i="16"/>
  <c r="C6" i="17"/>
  <c r="C6" i="18" s="1"/>
  <c r="C6" i="19" s="1"/>
  <c r="C6" i="20" s="1"/>
  <c r="C6" i="21" s="1"/>
  <c r="C6" i="22" s="1"/>
  <c r="C6" i="23" s="1"/>
  <c r="C6" i="24" s="1"/>
  <c r="B45" i="30"/>
  <c r="B10" i="30"/>
  <c r="B12" i="32"/>
  <c r="B10" i="33" s="1"/>
  <c r="B10" i="34" s="1"/>
  <c r="B10" i="35" s="1"/>
  <c r="I276" i="63"/>
  <c r="G34" i="55"/>
  <c r="G13" i="59"/>
  <c r="B6" i="32"/>
  <c r="B4" i="31"/>
  <c r="D8" i="60"/>
  <c r="D7" i="59"/>
  <c r="H6" i="63" s="1"/>
  <c r="G86" i="63" s="1"/>
  <c r="H169" i="63" s="1"/>
  <c r="H250" i="63" s="1"/>
  <c r="B9" i="32"/>
  <c r="B7" i="31"/>
  <c r="D5" i="7"/>
  <c r="D7" i="6"/>
  <c r="D8" i="8" s="1"/>
  <c r="D7" i="9" s="1"/>
  <c r="C7" i="11" s="1"/>
  <c r="C8" i="12" s="1"/>
  <c r="C10" i="13" s="1"/>
  <c r="C7" i="14" s="1"/>
  <c r="C7" i="15" s="1"/>
  <c r="C8" i="4"/>
  <c r="B6" i="41"/>
  <c r="B6" i="42" s="1"/>
  <c r="B6" i="43" s="1"/>
  <c r="B6" i="44" s="1"/>
  <c r="B6" i="36"/>
  <c r="B6" i="37" s="1"/>
  <c r="B6" i="38" s="1"/>
  <c r="B6" i="39" s="1"/>
  <c r="B8" i="40" s="1"/>
  <c r="B6" i="45"/>
  <c r="B6" i="46" s="1"/>
  <c r="B6" i="47" s="1"/>
  <c r="B6" i="48" s="1"/>
  <c r="B6" i="49" s="1"/>
  <c r="B5" i="50" s="1"/>
  <c r="B5" i="51" s="1"/>
  <c r="B5" i="52" s="1"/>
  <c r="B5" i="53" s="1"/>
  <c r="B6" i="54" s="1"/>
  <c r="B6" i="55" s="1"/>
  <c r="B6" i="56" s="1"/>
  <c r="B6" i="57" s="1"/>
  <c r="B6" i="58" s="1"/>
  <c r="B6" i="33"/>
  <c r="B6" i="34" s="1"/>
  <c r="B6" i="35" s="1"/>
  <c r="G50" i="59"/>
  <c r="J6" i="63"/>
  <c r="J86" i="63" s="1"/>
  <c r="J169" i="63" s="1"/>
  <c r="J250" i="63" s="1"/>
  <c r="F8" i="60"/>
  <c r="D5" i="6"/>
  <c r="D5" i="8" s="1"/>
  <c r="D5" i="9" s="1"/>
  <c r="C5" i="11" s="1"/>
  <c r="C5" i="12" s="1"/>
  <c r="C8" i="13" s="1"/>
  <c r="C5" i="14" s="1"/>
  <c r="C5" i="15" s="1"/>
  <c r="D3" i="7"/>
  <c r="C6" i="4"/>
  <c r="G6" i="27"/>
  <c r="G6" i="28" s="1"/>
  <c r="G6" i="29" s="1"/>
  <c r="K5" i="25"/>
  <c r="K5" i="26" s="1"/>
  <c r="F45" i="30"/>
  <c r="H10" i="33"/>
  <c r="I10" i="34" s="1"/>
  <c r="G10" i="35" s="1"/>
  <c r="K5" i="7"/>
  <c r="H7" i="6"/>
  <c r="F8" i="8" s="1"/>
  <c r="F7" i="9" s="1"/>
  <c r="F7" i="11" s="1"/>
  <c r="F8" i="12" s="1"/>
  <c r="H10" i="13" s="1"/>
  <c r="I7" i="14" s="1"/>
  <c r="E7" i="15" s="1"/>
  <c r="H8" i="4"/>
  <c r="B5" i="45"/>
  <c r="B5" i="46" s="1"/>
  <c r="B5" i="47" s="1"/>
  <c r="B5" i="48" s="1"/>
  <c r="B5" i="49" s="1"/>
  <c r="B4" i="50" s="1"/>
  <c r="B4" i="51" s="1"/>
  <c r="B4" i="52" s="1"/>
  <c r="B4" i="53" s="1"/>
  <c r="B5" i="54" s="1"/>
  <c r="B5" i="55" s="1"/>
  <c r="B5" i="56" s="1"/>
  <c r="B5" i="57" s="1"/>
  <c r="B5" i="58" s="1"/>
  <c r="B5" i="41"/>
  <c r="B5" i="42" s="1"/>
  <c r="B5" i="43" s="1"/>
  <c r="B5" i="44" s="1"/>
  <c r="B5" i="36"/>
  <c r="B5" i="37" s="1"/>
  <c r="B5" i="38" s="1"/>
  <c r="B5" i="39" s="1"/>
  <c r="B7" i="40" s="1"/>
  <c r="B5" i="33"/>
  <c r="B5" i="34" s="1"/>
  <c r="B5" i="35" s="1"/>
  <c r="O5" i="7"/>
  <c r="J7" i="6"/>
  <c r="J8" i="8" s="1"/>
  <c r="I7" i="9" s="1"/>
  <c r="H7" i="11" s="1"/>
  <c r="H8" i="12" s="1"/>
  <c r="J10" i="13" s="1"/>
  <c r="K7" i="14" s="1"/>
  <c r="G7" i="15" s="1"/>
  <c r="J8" i="4"/>
  <c r="G46" i="59" l="1"/>
  <c r="B5" i="60"/>
  <c r="B5" i="59"/>
  <c r="B4" i="63" s="1"/>
  <c r="B84" i="63" s="1"/>
  <c r="B167" i="63" s="1"/>
  <c r="B248" i="63" s="1"/>
  <c r="B6" i="60"/>
  <c r="B6" i="59"/>
  <c r="B5" i="63" s="1"/>
  <c r="B85" i="63" s="1"/>
  <c r="B168" i="63" s="1"/>
  <c r="B249" i="63" s="1"/>
  <c r="C6" i="27"/>
  <c r="C6" i="28" s="1"/>
  <c r="C6" i="29" s="1"/>
  <c r="D5" i="25"/>
  <c r="D5" i="26" s="1"/>
  <c r="G54" i="59"/>
  <c r="B12" i="40"/>
  <c r="B10" i="41" s="1"/>
  <c r="B11" i="42" s="1"/>
  <c r="B10" i="43" s="1"/>
  <c r="B10" i="44" s="1"/>
  <c r="B10" i="45" s="1"/>
  <c r="B10" i="46" s="1"/>
  <c r="B10" i="47" s="1"/>
  <c r="B11" i="48" s="1"/>
  <c r="B10" i="49" s="1"/>
  <c r="B11" i="36"/>
  <c r="G12" i="40"/>
  <c r="I10" i="41" s="1"/>
  <c r="G11" i="42" s="1"/>
  <c r="I10" i="43" s="1"/>
  <c r="H10" i="44" s="1"/>
  <c r="G10" i="45" s="1"/>
  <c r="G10" i="46" s="1"/>
  <c r="G10" i="47" s="1"/>
  <c r="H11" i="48" s="1"/>
  <c r="G10" i="49" s="1"/>
  <c r="H10" i="54" s="1"/>
  <c r="H10" i="55" s="1"/>
  <c r="H11" i="39"/>
  <c r="C5" i="17"/>
  <c r="C5" i="18" s="1"/>
  <c r="C5" i="19" s="1"/>
  <c r="C5" i="20" s="1"/>
  <c r="C5" i="21" s="1"/>
  <c r="C5" i="22" s="1"/>
  <c r="C5" i="23" s="1"/>
  <c r="C5" i="24" s="1"/>
  <c r="D5" i="16"/>
  <c r="G7" i="19"/>
  <c r="E7" i="20" s="1"/>
  <c r="F7" i="17"/>
  <c r="G7" i="18" s="1"/>
  <c r="H7" i="16"/>
  <c r="D7" i="16"/>
  <c r="C7" i="19"/>
  <c r="C7" i="20" s="1"/>
  <c r="C7" i="17"/>
  <c r="C7" i="18" s="1"/>
  <c r="L7" i="16"/>
  <c r="I7" i="19"/>
  <c r="G7" i="20" s="1"/>
  <c r="H7" i="17"/>
  <c r="I7" i="18" s="1"/>
  <c r="H6" i="30"/>
  <c r="H6" i="31"/>
  <c r="G8" i="32" s="1"/>
  <c r="J6" i="33" s="1"/>
  <c r="J6" i="34" s="1"/>
  <c r="J6" i="35" s="1"/>
  <c r="I6" i="36" s="1"/>
  <c r="H6" i="37" s="1"/>
  <c r="H6" i="38" s="1"/>
  <c r="K6" i="39" s="1"/>
  <c r="J8" i="40" s="1"/>
  <c r="L6" i="41" s="1"/>
  <c r="G6" i="42" s="1"/>
  <c r="I6" i="43" s="1"/>
  <c r="H6" i="44" s="1"/>
  <c r="G6" i="45" s="1"/>
  <c r="G6" i="46" s="1"/>
  <c r="G6" i="47" s="1"/>
  <c r="H6" i="48" s="1"/>
  <c r="G6" i="49" s="1"/>
  <c r="T5" i="50" s="1"/>
  <c r="M5" i="51" s="1"/>
  <c r="L5" i="52" s="1"/>
  <c r="K5" i="53" s="1"/>
  <c r="H6" i="54" s="1"/>
  <c r="H6" i="55" s="1"/>
  <c r="H6" i="56" s="1"/>
  <c r="K6" i="57" s="1"/>
  <c r="J6" i="58" s="1"/>
  <c r="H6" i="59" s="1"/>
  <c r="G6" i="60" s="1"/>
  <c r="B7" i="41"/>
  <c r="B7" i="42" s="1"/>
  <c r="B7" i="43" s="1"/>
  <c r="B7" i="44" s="1"/>
  <c r="B7" i="36"/>
  <c r="B7" i="37" s="1"/>
  <c r="B7" i="38" s="1"/>
  <c r="B7" i="39" s="1"/>
  <c r="B9" i="40" s="1"/>
  <c r="B7" i="45"/>
  <c r="B7" i="46" s="1"/>
  <c r="B7" i="47" s="1"/>
  <c r="B7" i="48" s="1"/>
  <c r="B7" i="49" s="1"/>
  <c r="B6" i="50" s="1"/>
  <c r="B6" i="51" s="1"/>
  <c r="B6" i="52" s="1"/>
  <c r="B6" i="53" s="1"/>
  <c r="B7" i="54" s="1"/>
  <c r="B7" i="55" s="1"/>
  <c r="B7" i="56" s="1"/>
  <c r="B7" i="57" s="1"/>
  <c r="B7" i="58" s="1"/>
  <c r="B7" i="33"/>
  <c r="B7" i="34" s="1"/>
  <c r="B7" i="35" s="1"/>
  <c r="B4" i="41"/>
  <c r="B4" i="42" s="1"/>
  <c r="B4" i="43" s="1"/>
  <c r="B4" i="44" s="1"/>
  <c r="B4" i="36"/>
  <c r="B4" i="37" s="1"/>
  <c r="B4" i="38" s="1"/>
  <c r="B4" i="39" s="1"/>
  <c r="B6" i="40" s="1"/>
  <c r="B4" i="45"/>
  <c r="B4" i="46" s="1"/>
  <c r="B4" i="47" s="1"/>
  <c r="B4" i="48" s="1"/>
  <c r="B4" i="49" s="1"/>
  <c r="B3" i="50" s="1"/>
  <c r="B3" i="51" s="1"/>
  <c r="B3" i="52" s="1"/>
  <c r="B3" i="53" s="1"/>
  <c r="B4" i="54" s="1"/>
  <c r="B4" i="55" s="1"/>
  <c r="B4" i="56" s="1"/>
  <c r="B4" i="57" s="1"/>
  <c r="B4" i="58" s="1"/>
  <c r="B4" i="33"/>
  <c r="B4" i="34" s="1"/>
  <c r="B4" i="35" s="1"/>
  <c r="D4" i="16"/>
  <c r="C4" i="19"/>
  <c r="C4" i="20" s="1"/>
  <c r="C4" i="17"/>
  <c r="C4" i="18" s="1"/>
  <c r="B4" i="60" l="1"/>
  <c r="B4" i="59"/>
  <c r="B3" i="63" s="1"/>
  <c r="B83" i="63" s="1"/>
  <c r="B166" i="63" s="1"/>
  <c r="B247" i="63" s="1"/>
  <c r="C7" i="21"/>
  <c r="C7" i="22"/>
  <c r="C7" i="23" s="1"/>
  <c r="C7" i="24" s="1"/>
  <c r="C4" i="21"/>
  <c r="C4" i="22"/>
  <c r="C4" i="23" s="1"/>
  <c r="C4" i="24" s="1"/>
  <c r="I7" i="23"/>
  <c r="I7" i="24" s="1"/>
  <c r="G7" i="21"/>
  <c r="I7" i="22"/>
  <c r="C5" i="27"/>
  <c r="C5" i="28" s="1"/>
  <c r="C5" i="29" s="1"/>
  <c r="C5" i="30" s="1"/>
  <c r="C5" i="31" s="1"/>
  <c r="C7" i="32" s="1"/>
  <c r="C5" i="33" s="1"/>
  <c r="C5" i="34" s="1"/>
  <c r="C5" i="35" s="1"/>
  <c r="C5" i="36" s="1"/>
  <c r="C5" i="37" s="1"/>
  <c r="C5" i="38" s="1"/>
  <c r="C5" i="39" s="1"/>
  <c r="C7" i="40" s="1"/>
  <c r="C5" i="41" s="1"/>
  <c r="C5" i="42" s="1"/>
  <c r="C5" i="43" s="1"/>
  <c r="C5" i="44" s="1"/>
  <c r="C5" i="45" s="1"/>
  <c r="C5" i="46" s="1"/>
  <c r="C5" i="47" s="1"/>
  <c r="C5" i="48" s="1"/>
  <c r="C5" i="49" s="1"/>
  <c r="E4" i="50" s="1"/>
  <c r="D4" i="51" s="1"/>
  <c r="D4" i="52" s="1"/>
  <c r="C4" i="53" s="1"/>
  <c r="C5" i="54" s="1"/>
  <c r="C5" i="55" s="1"/>
  <c r="C5" i="56" s="1"/>
  <c r="C5" i="57" s="1"/>
  <c r="C5" i="58" s="1"/>
  <c r="C5" i="59" s="1"/>
  <c r="C5" i="60" s="1"/>
  <c r="D4" i="25"/>
  <c r="D4" i="26" s="1"/>
  <c r="C6" i="31"/>
  <c r="C8" i="32" s="1"/>
  <c r="C6" i="33" s="1"/>
  <c r="C6" i="34" s="1"/>
  <c r="C6" i="35" s="1"/>
  <c r="C6" i="36" s="1"/>
  <c r="C6" i="37" s="1"/>
  <c r="C6" i="38" s="1"/>
  <c r="C6" i="39" s="1"/>
  <c r="C8" i="40" s="1"/>
  <c r="C6" i="41" s="1"/>
  <c r="C6" i="42" s="1"/>
  <c r="C6" i="43" s="1"/>
  <c r="C6" i="44" s="1"/>
  <c r="C6" i="45" s="1"/>
  <c r="C6" i="46" s="1"/>
  <c r="C6" i="47" s="1"/>
  <c r="C6" i="48" s="1"/>
  <c r="C6" i="49" s="1"/>
  <c r="E5" i="50" s="1"/>
  <c r="D5" i="51" s="1"/>
  <c r="D5" i="52" s="1"/>
  <c r="C5" i="53" s="1"/>
  <c r="C6" i="54" s="1"/>
  <c r="C6" i="55" s="1"/>
  <c r="C6" i="56" s="1"/>
  <c r="C6" i="57" s="1"/>
  <c r="C6" i="58" s="1"/>
  <c r="C6" i="59" s="1"/>
  <c r="C6" i="60" s="1"/>
  <c r="C6" i="30"/>
  <c r="B11" i="37"/>
  <c r="B21" i="36"/>
  <c r="B31" i="36" s="1"/>
  <c r="B8" i="60"/>
  <c r="B7" i="59"/>
  <c r="B6" i="63" s="1"/>
  <c r="B86" i="63" s="1"/>
  <c r="B169" i="63" s="1"/>
  <c r="B250" i="63" s="1"/>
  <c r="G7" i="22"/>
  <c r="G7" i="23"/>
  <c r="G7" i="24" s="1"/>
  <c r="E7" i="21"/>
  <c r="B10" i="54"/>
  <c r="B10" i="55" s="1"/>
  <c r="B12" i="52"/>
  <c r="E7" i="27" l="1"/>
  <c r="E7" i="28" s="1"/>
  <c r="E7" i="29" s="1"/>
  <c r="F7" i="30" s="1"/>
  <c r="I6" i="25"/>
  <c r="I6" i="26" s="1"/>
  <c r="G7" i="27"/>
  <c r="G7" i="28" s="1"/>
  <c r="G7" i="29" s="1"/>
  <c r="H7" i="30" s="1"/>
  <c r="K6" i="25"/>
  <c r="K6" i="26" s="1"/>
  <c r="C7" i="27"/>
  <c r="C7" i="28" s="1"/>
  <c r="C7" i="29" s="1"/>
  <c r="C7" i="30" s="1"/>
  <c r="D6" i="25"/>
  <c r="D6" i="26" s="1"/>
  <c r="B10" i="38"/>
  <c r="B11" i="39" s="1"/>
  <c r="B17" i="37"/>
  <c r="C4" i="27"/>
  <c r="C4" i="28" s="1"/>
  <c r="C4" i="29" s="1"/>
  <c r="C4" i="30" s="1"/>
  <c r="D3" i="25"/>
  <c r="D3" i="26" s="1"/>
  <c r="C9" i="32" l="1"/>
  <c r="C7" i="31"/>
  <c r="G9" i="32"/>
  <c r="H7" i="31"/>
  <c r="C6" i="32"/>
  <c r="C4" i="31"/>
  <c r="E9" i="32"/>
  <c r="F7" i="31"/>
  <c r="C4" i="44" l="1"/>
  <c r="C4" i="42"/>
  <c r="C4" i="45"/>
  <c r="C6" i="40"/>
  <c r="C4" i="41" s="1"/>
  <c r="C4" i="43"/>
  <c r="C4" i="34"/>
  <c r="C4" i="35" s="1"/>
  <c r="C4" i="36" s="1"/>
  <c r="C4" i="37" s="1"/>
  <c r="C4" i="38" s="1"/>
  <c r="C4" i="39" s="1"/>
  <c r="C4" i="33"/>
  <c r="E7" i="45"/>
  <c r="E7" i="46" s="1"/>
  <c r="E7" i="47" s="1"/>
  <c r="F7" i="48" s="1"/>
  <c r="E7" i="49" s="1"/>
  <c r="R6" i="50" s="1"/>
  <c r="K6" i="51" s="1"/>
  <c r="I6" i="52" s="1"/>
  <c r="I6" i="53" s="1"/>
  <c r="F7" i="54" s="1"/>
  <c r="F7" i="55" s="1"/>
  <c r="F7" i="56" s="1"/>
  <c r="I7" i="57" s="1"/>
  <c r="H7" i="58" s="1"/>
  <c r="F7" i="59" s="1"/>
  <c r="E8" i="60" s="1"/>
  <c r="H9" i="40"/>
  <c r="G7" i="43"/>
  <c r="F7" i="44"/>
  <c r="E7" i="42"/>
  <c r="H7" i="35"/>
  <c r="G7" i="36" s="1"/>
  <c r="H7" i="33"/>
  <c r="H7" i="34"/>
  <c r="C7" i="44"/>
  <c r="C7" i="42"/>
  <c r="C7" i="45"/>
  <c r="C9" i="40"/>
  <c r="C7" i="41" s="1"/>
  <c r="C7" i="43"/>
  <c r="C7" i="34"/>
  <c r="C7" i="35" s="1"/>
  <c r="C7" i="36" s="1"/>
  <c r="C7" i="37" s="1"/>
  <c r="C7" i="38" s="1"/>
  <c r="C7" i="39" s="1"/>
  <c r="C7" i="33"/>
  <c r="H7" i="44"/>
  <c r="G7" i="42"/>
  <c r="G7" i="45"/>
  <c r="G7" i="46" s="1"/>
  <c r="G7" i="47" s="1"/>
  <c r="H7" i="48" s="1"/>
  <c r="G7" i="49" s="1"/>
  <c r="T6" i="50" s="1"/>
  <c r="M6" i="51" s="1"/>
  <c r="L6" i="52" s="1"/>
  <c r="K6" i="53" s="1"/>
  <c r="H7" i="54" s="1"/>
  <c r="H7" i="55" s="1"/>
  <c r="H7" i="56" s="1"/>
  <c r="K7" i="57" s="1"/>
  <c r="J7" i="58" s="1"/>
  <c r="H7" i="59" s="1"/>
  <c r="G8" i="60" s="1"/>
  <c r="J9" i="40"/>
  <c r="I7" i="43"/>
  <c r="J7" i="34"/>
  <c r="J7" i="33"/>
  <c r="J7" i="35"/>
  <c r="I7" i="36" s="1"/>
  <c r="C7" i="47" l="1"/>
  <c r="C7" i="48" s="1"/>
  <c r="C7" i="49" s="1"/>
  <c r="E6" i="50" s="1"/>
  <c r="D6" i="51" s="1"/>
  <c r="D6" i="52" s="1"/>
  <c r="C6" i="53" s="1"/>
  <c r="C7" i="54" s="1"/>
  <c r="C7" i="55" s="1"/>
  <c r="C7" i="56" s="1"/>
  <c r="C7" i="57" s="1"/>
  <c r="C7" i="58" s="1"/>
  <c r="C7" i="59" s="1"/>
  <c r="C8" i="60" s="1"/>
  <c r="C7" i="46"/>
  <c r="C4" i="47"/>
  <c r="C4" i="48" s="1"/>
  <c r="C4" i="49" s="1"/>
  <c r="E3" i="50" s="1"/>
  <c r="D3" i="51" s="1"/>
  <c r="D3" i="52" s="1"/>
  <c r="C3" i="53" s="1"/>
  <c r="C4" i="54" s="1"/>
  <c r="C4" i="55" s="1"/>
  <c r="C4" i="56" s="1"/>
  <c r="C4" i="57" s="1"/>
  <c r="C4" i="58" s="1"/>
  <c r="C4" i="59" s="1"/>
  <c r="C4" i="60" s="1"/>
  <c r="C4" i="46"/>
  <c r="H7" i="38"/>
  <c r="L7" i="41"/>
  <c r="H7" i="37"/>
  <c r="K7" i="39"/>
  <c r="J7" i="41"/>
  <c r="I7" i="39"/>
  <c r="F7" i="37"/>
  <c r="F7" i="38"/>
  <c r="E18" i="11" l="1"/>
  <c r="E35" i="11" s="1"/>
  <c r="C12" i="64" s="1"/>
  <c r="J13" i="10" l="1"/>
  <c r="K13" i="10"/>
  <c r="J28" i="35" l="1"/>
  <c r="I28" i="35"/>
  <c r="H28" i="35"/>
  <c r="I22" i="35"/>
  <c r="J22" i="35"/>
  <c r="H22" i="35"/>
  <c r="H42" i="35"/>
  <c r="I42" i="35"/>
  <c r="J42" i="35"/>
  <c r="E22" i="37"/>
  <c r="D28" i="56"/>
  <c r="I28" i="33"/>
  <c r="J28" i="33"/>
  <c r="I20" i="33"/>
  <c r="J20" i="33"/>
  <c r="J16" i="34"/>
  <c r="F22" i="37"/>
  <c r="G22" i="37"/>
  <c r="H22" i="37"/>
  <c r="J25" i="41"/>
  <c r="K25" i="41"/>
  <c r="L25" i="41"/>
  <c r="J17" i="41"/>
  <c r="K17" i="41"/>
  <c r="L17" i="41"/>
  <c r="F16" i="34"/>
  <c r="C37" i="64" l="1"/>
  <c r="J30" i="41"/>
  <c r="K30" i="41"/>
  <c r="L30" i="41"/>
  <c r="G16" i="34"/>
  <c r="L16" i="34" s="1"/>
  <c r="H22" i="23"/>
  <c r="H24" i="23" s="1"/>
  <c r="I22" i="23"/>
  <c r="I24" i="23" s="1"/>
  <c r="G22" i="23"/>
  <c r="G24" i="23" s="1"/>
  <c r="E24" i="13"/>
  <c r="F13" i="29"/>
  <c r="D31" i="13"/>
  <c r="I31" i="13"/>
  <c r="E32" i="13"/>
  <c r="H24" i="13"/>
  <c r="G28" i="41"/>
  <c r="N28" i="41" s="1"/>
  <c r="I32" i="13"/>
  <c r="D26" i="13"/>
  <c r="E31" i="13"/>
  <c r="D24" i="13"/>
  <c r="E14" i="35"/>
  <c r="L14" i="35" s="1"/>
  <c r="E20" i="13"/>
  <c r="G27" i="41"/>
  <c r="N27" i="41" s="1"/>
  <c r="D32" i="13"/>
  <c r="D23" i="15"/>
  <c r="I17" i="52"/>
  <c r="G17" i="52"/>
  <c r="E12" i="15"/>
  <c r="I29" i="33"/>
  <c r="F12" i="28"/>
  <c r="I12" i="28" s="1"/>
  <c r="F16" i="42"/>
  <c r="I16" i="42" s="1"/>
  <c r="G27" i="39"/>
  <c r="M27" i="39" s="1"/>
  <c r="G21" i="16"/>
  <c r="E17" i="52"/>
  <c r="F12" i="15"/>
  <c r="G16" i="41"/>
  <c r="N16" i="41" s="1"/>
  <c r="F15" i="27"/>
  <c r="I15" i="27" s="1"/>
  <c r="F14" i="15"/>
  <c r="E14" i="17" s="1"/>
  <c r="G28" i="39"/>
  <c r="E23" i="15"/>
  <c r="F16" i="29"/>
  <c r="I16" i="29" s="1"/>
  <c r="F18" i="29"/>
  <c r="I18" i="29" s="1"/>
  <c r="F15" i="28"/>
  <c r="I15" i="28" s="1"/>
  <c r="F11" i="28"/>
  <c r="F14" i="28"/>
  <c r="I14" i="28" s="1"/>
  <c r="F12" i="29"/>
  <c r="I12" i="29" s="1"/>
  <c r="F17" i="42"/>
  <c r="I17" i="42" s="1"/>
  <c r="D19" i="15"/>
  <c r="F13" i="28"/>
  <c r="D13" i="15"/>
  <c r="F22" i="51"/>
  <c r="G25" i="39"/>
  <c r="G26" i="39"/>
  <c r="G23" i="52"/>
  <c r="D12" i="15"/>
  <c r="G29" i="39"/>
  <c r="F13" i="42"/>
  <c r="I13" i="42" s="1"/>
  <c r="F12" i="42"/>
  <c r="F20" i="51"/>
  <c r="G26" i="41"/>
  <c r="G23" i="41"/>
  <c r="G22" i="41"/>
  <c r="N22" i="41" s="1"/>
  <c r="E23" i="22"/>
  <c r="K23" i="22" s="1"/>
  <c r="E21" i="35"/>
  <c r="L21" i="35" s="1"/>
  <c r="E23" i="35"/>
  <c r="G11" i="51"/>
  <c r="G12" i="51"/>
  <c r="G13" i="51"/>
  <c r="E37" i="35"/>
  <c r="L37" i="35" s="1"/>
  <c r="E41" i="35"/>
  <c r="L41" i="35" s="1"/>
  <c r="F15" i="33"/>
  <c r="L15" i="33" s="1"/>
  <c r="J15" i="51"/>
  <c r="E39" i="35"/>
  <c r="L39" i="35" s="1"/>
  <c r="E22" i="22"/>
  <c r="G14" i="41"/>
  <c r="N14" i="41" s="1"/>
  <c r="G15" i="41"/>
  <c r="N15" i="41" s="1"/>
  <c r="G18" i="41"/>
  <c r="G20" i="41"/>
  <c r="N20" i="41" s="1"/>
  <c r="G21" i="41"/>
  <c r="N21" i="41" s="1"/>
  <c r="F21" i="51"/>
  <c r="G20" i="51"/>
  <c r="G23" i="51" s="1"/>
  <c r="I22" i="51"/>
  <c r="I23" i="51" s="1"/>
  <c r="I24" i="51" s="1"/>
  <c r="J20" i="51"/>
  <c r="J23" i="51" s="1"/>
  <c r="L22" i="51"/>
  <c r="L23" i="51" s="1"/>
  <c r="L24" i="51" s="1"/>
  <c r="F37" i="59"/>
  <c r="J37" i="59" s="1"/>
  <c r="J17" i="51"/>
  <c r="K14" i="51"/>
  <c r="K19" i="51" s="1"/>
  <c r="J29" i="33"/>
  <c r="F14" i="32"/>
  <c r="F13" i="32"/>
  <c r="F15" i="32"/>
  <c r="F17" i="32"/>
  <c r="F19" i="32"/>
  <c r="F20" i="32"/>
  <c r="F21" i="32"/>
  <c r="F23" i="32"/>
  <c r="F12" i="33"/>
  <c r="F14" i="33"/>
  <c r="L14" i="33" s="1"/>
  <c r="F16" i="33"/>
  <c r="L16" i="33" s="1"/>
  <c r="F18" i="33"/>
  <c r="F16" i="32"/>
  <c r="F22" i="32"/>
  <c r="F13" i="33"/>
  <c r="F17" i="33"/>
  <c r="F21" i="33"/>
  <c r="F22" i="33"/>
  <c r="L22" i="33" s="1"/>
  <c r="F23" i="33"/>
  <c r="L23" i="33" s="1"/>
  <c r="F24" i="33"/>
  <c r="L24" i="33" s="1"/>
  <c r="F26" i="33"/>
  <c r="L26" i="33" s="1"/>
  <c r="E13" i="35"/>
  <c r="E24" i="35"/>
  <c r="E25" i="35"/>
  <c r="L25" i="35" s="1"/>
  <c r="E27" i="35"/>
  <c r="L27" i="35" s="1"/>
  <c r="J11" i="51"/>
  <c r="J12" i="51"/>
  <c r="J13" i="51"/>
  <c r="H14" i="51"/>
  <c r="H19" i="51" s="1"/>
  <c r="G15" i="51"/>
  <c r="E35" i="35"/>
  <c r="L35" i="35" s="1"/>
  <c r="G17" i="51"/>
  <c r="E38" i="35"/>
  <c r="L38" i="35" s="1"/>
  <c r="E40" i="35"/>
  <c r="L40" i="35" s="1"/>
  <c r="E23" i="40"/>
  <c r="J38" i="10" l="1"/>
  <c r="K38" i="10"/>
  <c r="C34" i="64"/>
  <c r="K16" i="34"/>
  <c r="M16" i="34" s="1"/>
  <c r="N16" i="34" s="1"/>
  <c r="H16" i="34"/>
  <c r="E30" i="13"/>
  <c r="F18" i="32"/>
  <c r="H21" i="51"/>
  <c r="H23" i="51" s="1"/>
  <c r="H24" i="51" s="1"/>
  <c r="G30" i="39"/>
  <c r="K21" i="51"/>
  <c r="K23" i="51" s="1"/>
  <c r="K24" i="51" s="1"/>
  <c r="E21" i="15"/>
  <c r="D15" i="15"/>
  <c r="F13" i="15"/>
  <c r="E13" i="17" s="1"/>
  <c r="E18" i="13"/>
  <c r="E26" i="13"/>
  <c r="I23" i="52"/>
  <c r="L21" i="33"/>
  <c r="F24" i="32"/>
  <c r="E33" i="35"/>
  <c r="L33" i="35" s="1"/>
  <c r="F15" i="51"/>
  <c r="L23" i="35"/>
  <c r="E15" i="15"/>
  <c r="I19" i="16"/>
  <c r="G15" i="52"/>
  <c r="G13" i="16"/>
  <c r="E14" i="52"/>
  <c r="E12" i="16"/>
  <c r="D19" i="53"/>
  <c r="F19" i="27"/>
  <c r="I19" i="27" s="1"/>
  <c r="I11" i="28"/>
  <c r="E19" i="15"/>
  <c r="F19" i="15"/>
  <c r="E18" i="17" s="1"/>
  <c r="I21" i="16"/>
  <c r="D21" i="13"/>
  <c r="D20" i="13"/>
  <c r="F12" i="51"/>
  <c r="E30" i="35"/>
  <c r="L30" i="35" s="1"/>
  <c r="E24" i="22"/>
  <c r="K24" i="22" s="1"/>
  <c r="F17" i="51"/>
  <c r="E36" i="35"/>
  <c r="L36" i="35" s="1"/>
  <c r="F14" i="51"/>
  <c r="E32" i="35"/>
  <c r="L32" i="35" s="1"/>
  <c r="G24" i="41"/>
  <c r="F19" i="29"/>
  <c r="F14" i="29"/>
  <c r="I14" i="29" s="1"/>
  <c r="E25" i="52"/>
  <c r="E23" i="16"/>
  <c r="F18" i="28"/>
  <c r="I18" i="28" s="1"/>
  <c r="D20" i="53"/>
  <c r="E23" i="52"/>
  <c r="E13" i="15"/>
  <c r="G12" i="16"/>
  <c r="G14" i="52"/>
  <c r="H34" i="13"/>
  <c r="D21" i="15"/>
  <c r="E21" i="13"/>
  <c r="H20" i="13"/>
  <c r="D14" i="17" s="1"/>
  <c r="F14" i="17" s="1"/>
  <c r="H14" i="17" s="1"/>
  <c r="H26" i="13"/>
  <c r="G25" i="52"/>
  <c r="G23" i="16"/>
  <c r="I30" i="13"/>
  <c r="I36" i="13" s="1"/>
  <c r="H14" i="53"/>
  <c r="F20" i="33"/>
  <c r="K22" i="22"/>
  <c r="F23" i="51"/>
  <c r="F14" i="42"/>
  <c r="I12" i="42"/>
  <c r="I20" i="53"/>
  <c r="D16" i="53"/>
  <c r="I21" i="53"/>
  <c r="F20" i="53"/>
  <c r="F19" i="53"/>
  <c r="I25" i="52"/>
  <c r="I23" i="16"/>
  <c r="F17" i="29"/>
  <c r="I17" i="29" s="1"/>
  <c r="H16" i="53"/>
  <c r="F22" i="29"/>
  <c r="I22" i="29" s="1"/>
  <c r="G14" i="16"/>
  <c r="G16" i="52"/>
  <c r="E15" i="52"/>
  <c r="E13" i="16"/>
  <c r="I12" i="16"/>
  <c r="I14" i="52"/>
  <c r="D14" i="53"/>
  <c r="E19" i="16"/>
  <c r="E34" i="13"/>
  <c r="H21" i="13"/>
  <c r="D15" i="17" s="1"/>
  <c r="G15" i="16"/>
  <c r="F13" i="51"/>
  <c r="E31" i="35"/>
  <c r="L31" i="35" s="1"/>
  <c r="E29" i="35"/>
  <c r="F11" i="51"/>
  <c r="H37" i="59"/>
  <c r="L37" i="59"/>
  <c r="M37" i="59" s="1"/>
  <c r="N26" i="41"/>
  <c r="G29" i="41"/>
  <c r="N29" i="41" s="1"/>
  <c r="F24" i="29"/>
  <c r="I24" i="29" s="1"/>
  <c r="D21" i="53"/>
  <c r="D14" i="15"/>
  <c r="I14" i="16"/>
  <c r="I16" i="52"/>
  <c r="I15" i="52"/>
  <c r="I13" i="16"/>
  <c r="I19" i="53"/>
  <c r="E16" i="53"/>
  <c r="E21" i="16"/>
  <c r="F15" i="15"/>
  <c r="E15" i="17" s="1"/>
  <c r="F21" i="53"/>
  <c r="E12" i="17"/>
  <c r="E14" i="16"/>
  <c r="E16" i="52"/>
  <c r="G19" i="16"/>
  <c r="E14" i="53"/>
  <c r="D18" i="13"/>
  <c r="H18" i="13"/>
  <c r="D30" i="13"/>
  <c r="D34" i="13"/>
  <c r="E14" i="15"/>
  <c r="D14" i="35"/>
  <c r="F23" i="41"/>
  <c r="M23" i="41" s="1"/>
  <c r="O23" i="41" s="1"/>
  <c r="F18" i="41"/>
  <c r="F21" i="41"/>
  <c r="F20" i="41"/>
  <c r="F15" i="41"/>
  <c r="F16" i="41"/>
  <c r="D21" i="23"/>
  <c r="J21" i="23" s="1"/>
  <c r="D19" i="13"/>
  <c r="D15" i="35"/>
  <c r="E29" i="13"/>
  <c r="F27" i="41"/>
  <c r="H29" i="13"/>
  <c r="D21" i="17" s="1"/>
  <c r="D19" i="23"/>
  <c r="J19" i="23" s="1"/>
  <c r="J18" i="51"/>
  <c r="F28" i="41"/>
  <c r="D20" i="23"/>
  <c r="J20" i="23" s="1"/>
  <c r="F18" i="42"/>
  <c r="I18" i="42" s="1"/>
  <c r="H93" i="63"/>
  <c r="M93" i="63" s="1"/>
  <c r="E19" i="42"/>
  <c r="H19" i="42" s="1"/>
  <c r="E19" i="13"/>
  <c r="D24" i="35"/>
  <c r="L24" i="35" s="1"/>
  <c r="M22" i="51"/>
  <c r="F14" i="27"/>
  <c r="I14" i="27" s="1"/>
  <c r="E27" i="13"/>
  <c r="H103" i="63"/>
  <c r="M103" i="63" s="1"/>
  <c r="E22" i="33"/>
  <c r="F15" i="29"/>
  <c r="I15" i="29" s="1"/>
  <c r="F26" i="41"/>
  <c r="H65" i="9"/>
  <c r="F11" i="29"/>
  <c r="E20" i="32"/>
  <c r="G20" i="32" s="1"/>
  <c r="E13" i="29"/>
  <c r="H13" i="29" s="1"/>
  <c r="J16" i="51"/>
  <c r="H188" i="63"/>
  <c r="F14" i="41"/>
  <c r="F22" i="41"/>
  <c r="J24" i="13"/>
  <c r="J32" i="13"/>
  <c r="G32" i="13" s="1"/>
  <c r="H25" i="13"/>
  <c r="H28" i="13"/>
  <c r="D20" i="17" s="1"/>
  <c r="E13" i="42"/>
  <c r="H13" i="42" s="1"/>
  <c r="E22" i="20"/>
  <c r="H22" i="20" s="1"/>
  <c r="D21" i="35"/>
  <c r="G28" i="52"/>
  <c r="E17" i="15"/>
  <c r="D14" i="22"/>
  <c r="J14" i="22" s="1"/>
  <c r="D16" i="22"/>
  <c r="J16" i="22" s="1"/>
  <c r="E15" i="28"/>
  <c r="H15" i="28" s="1"/>
  <c r="D17" i="23"/>
  <c r="D13" i="22"/>
  <c r="J13" i="22" s="1"/>
  <c r="E12" i="29"/>
  <c r="H12" i="29" s="1"/>
  <c r="D16" i="23"/>
  <c r="J16" i="23" s="1"/>
  <c r="E14" i="28"/>
  <c r="H14" i="28" s="1"/>
  <c r="E16" i="42"/>
  <c r="H16" i="42" s="1"/>
  <c r="E17" i="42"/>
  <c r="H17" i="42" s="1"/>
  <c r="E14" i="29"/>
  <c r="E16" i="29"/>
  <c r="H16" i="29" s="1"/>
  <c r="G23" i="15"/>
  <c r="F23" i="15" s="1"/>
  <c r="E21" i="17" s="1"/>
  <c r="F20" i="29"/>
  <c r="E15" i="27"/>
  <c r="H15" i="27" s="1"/>
  <c r="E13" i="28"/>
  <c r="H13" i="28" s="1"/>
  <c r="E22" i="29"/>
  <c r="F28" i="39"/>
  <c r="L28" i="39" s="1"/>
  <c r="F27" i="39"/>
  <c r="L27" i="39" s="1"/>
  <c r="F26" i="39"/>
  <c r="L26" i="39" s="1"/>
  <c r="F25" i="39"/>
  <c r="E12" i="20"/>
  <c r="H12" i="20" s="1"/>
  <c r="E12" i="28"/>
  <c r="H12" i="28" s="1"/>
  <c r="E18" i="29"/>
  <c r="H18" i="29" s="1"/>
  <c r="G27" i="52"/>
  <c r="F29" i="39"/>
  <c r="L29" i="39" s="1"/>
  <c r="K17" i="52"/>
  <c r="F17" i="15"/>
  <c r="D22" i="15"/>
  <c r="D23" i="22"/>
  <c r="J23" i="22" s="1"/>
  <c r="F15" i="42"/>
  <c r="M21" i="51"/>
  <c r="F15" i="39"/>
  <c r="M15" i="39" s="1"/>
  <c r="D22" i="22"/>
  <c r="D39" i="35"/>
  <c r="E23" i="33"/>
  <c r="F18" i="39"/>
  <c r="L18" i="39" s="1"/>
  <c r="D27" i="56"/>
  <c r="M20" i="51"/>
  <c r="F16" i="39"/>
  <c r="L16" i="39" s="1"/>
  <c r="D24" i="22"/>
  <c r="D41" i="35"/>
  <c r="D34" i="35"/>
  <c r="H51" i="63"/>
  <c r="G16" i="51"/>
  <c r="D13" i="35"/>
  <c r="L13" i="35" s="1"/>
  <c r="D25" i="35"/>
  <c r="D40" i="35"/>
  <c r="E15" i="33"/>
  <c r="E17" i="33"/>
  <c r="F25" i="32"/>
  <c r="E22" i="32"/>
  <c r="G22" i="32" s="1"/>
  <c r="E16" i="32"/>
  <c r="G16" i="32" s="1"/>
  <c r="E18" i="33"/>
  <c r="E14" i="33"/>
  <c r="E17" i="32"/>
  <c r="G17" i="32" s="1"/>
  <c r="E13" i="32"/>
  <c r="H207" i="63"/>
  <c r="D37" i="35"/>
  <c r="D38" i="35"/>
  <c r="D35" i="35"/>
  <c r="H86" i="9"/>
  <c r="E19" i="35"/>
  <c r="L19" i="35" s="1"/>
  <c r="E24" i="33"/>
  <c r="E13" i="33"/>
  <c r="E16" i="33"/>
  <c r="E12" i="33"/>
  <c r="E21" i="32"/>
  <c r="G21" i="32" s="1"/>
  <c r="E15" i="32"/>
  <c r="G15" i="32" s="1"/>
  <c r="E26" i="33"/>
  <c r="E14" i="32"/>
  <c r="G14" i="32" s="1"/>
  <c r="D27" i="35"/>
  <c r="H270" i="63"/>
  <c r="H262" i="63"/>
  <c r="M262" i="63" s="1"/>
  <c r="H235" i="63"/>
  <c r="H205" i="63"/>
  <c r="M205" i="63" s="1"/>
  <c r="H186" i="63"/>
  <c r="H115" i="63"/>
  <c r="H73" i="63"/>
  <c r="H272" i="63"/>
  <c r="H180" i="63"/>
  <c r="H112" i="63"/>
  <c r="H227" i="63"/>
  <c r="H203" i="63"/>
  <c r="H273" i="63"/>
  <c r="M273" i="63" s="1"/>
  <c r="H201" i="63"/>
  <c r="H223" i="63"/>
  <c r="M223" i="63" s="1"/>
  <c r="H107" i="63"/>
  <c r="M107" i="63" s="1"/>
  <c r="H263" i="63"/>
  <c r="H261" i="63"/>
  <c r="H260" i="63"/>
  <c r="H243" i="63"/>
  <c r="M243" i="63" s="1"/>
  <c r="H239" i="63"/>
  <c r="H236" i="63"/>
  <c r="H230" i="63"/>
  <c r="M230" i="63" s="1"/>
  <c r="H231" i="63"/>
  <c r="M231" i="63" s="1"/>
  <c r="H268" i="63"/>
  <c r="M268" i="63" s="1"/>
  <c r="H267" i="63"/>
  <c r="M267" i="63" s="1"/>
  <c r="H193" i="63"/>
  <c r="M193" i="63" s="1"/>
  <c r="H199" i="63"/>
  <c r="M199" i="63" s="1"/>
  <c r="H197" i="63"/>
  <c r="H195" i="63"/>
  <c r="H210" i="63"/>
  <c r="H216" i="63"/>
  <c r="H218" i="63"/>
  <c r="H220" i="63"/>
  <c r="H224" i="63"/>
  <c r="H191" i="63"/>
  <c r="H179" i="63"/>
  <c r="H162" i="63"/>
  <c r="M162" i="63" s="1"/>
  <c r="H160" i="63"/>
  <c r="H158" i="63"/>
  <c r="H155" i="63"/>
  <c r="H150" i="63"/>
  <c r="M150" i="63" s="1"/>
  <c r="H146" i="63"/>
  <c r="M146" i="63" s="1"/>
  <c r="H143" i="63"/>
  <c r="H141" i="63"/>
  <c r="M141" i="63" s="1"/>
  <c r="H139" i="63"/>
  <c r="H137" i="63"/>
  <c r="H135" i="63"/>
  <c r="M135" i="63" s="1"/>
  <c r="H132" i="63"/>
  <c r="H127" i="63"/>
  <c r="M127" i="63" s="1"/>
  <c r="H123" i="63"/>
  <c r="M123" i="63" s="1"/>
  <c r="H119" i="63"/>
  <c r="H122" i="63"/>
  <c r="M122" i="63" s="1"/>
  <c r="H118" i="63"/>
  <c r="H102" i="63"/>
  <c r="H100" i="63"/>
  <c r="H99" i="63"/>
  <c r="M99" i="63" s="1"/>
  <c r="H95" i="63"/>
  <c r="H78" i="63"/>
  <c r="M78" i="63" s="1"/>
  <c r="H65" i="63"/>
  <c r="M65" i="63" s="1"/>
  <c r="H70" i="63"/>
  <c r="H68" i="63"/>
  <c r="G39" i="43"/>
  <c r="J39" i="43" s="1"/>
  <c r="G33" i="43"/>
  <c r="H52" i="63"/>
  <c r="H48" i="63"/>
  <c r="H36" i="63"/>
  <c r="G34" i="43"/>
  <c r="J34" i="43" s="1"/>
  <c r="E27" i="40"/>
  <c r="D19" i="40"/>
  <c r="K19" i="40" s="1"/>
  <c r="G38" i="43"/>
  <c r="J38" i="43" s="1"/>
  <c r="H67" i="63"/>
  <c r="M67" i="63" s="1"/>
  <c r="H72" i="63"/>
  <c r="H79" i="63"/>
  <c r="H96" i="63"/>
  <c r="H106" i="63"/>
  <c r="M106" i="63" s="1"/>
  <c r="H113" i="63"/>
  <c r="H114" i="63"/>
  <c r="M114" i="63" s="1"/>
  <c r="H121" i="63"/>
  <c r="M121" i="63" s="1"/>
  <c r="H124" i="63"/>
  <c r="M124" i="63" s="1"/>
  <c r="H131" i="63"/>
  <c r="M131" i="63" s="1"/>
  <c r="H149" i="63"/>
  <c r="H151" i="63"/>
  <c r="M151" i="63" s="1"/>
  <c r="H181" i="63"/>
  <c r="H190" i="63"/>
  <c r="H221" i="63"/>
  <c r="H217" i="63"/>
  <c r="H209" i="63"/>
  <c r="H204" i="63"/>
  <c r="M204" i="63" s="1"/>
  <c r="H208" i="63"/>
  <c r="H266" i="63"/>
  <c r="M266" i="63" s="1"/>
  <c r="H233" i="63"/>
  <c r="H240" i="63"/>
  <c r="H242" i="63"/>
  <c r="M242" i="63" s="1"/>
  <c r="H264" i="63"/>
  <c r="H241" i="63"/>
  <c r="H232" i="63"/>
  <c r="H229" i="63"/>
  <c r="H200" i="63"/>
  <c r="H198" i="63"/>
  <c r="H196" i="63"/>
  <c r="H194" i="63"/>
  <c r="M194" i="63" s="1"/>
  <c r="H211" i="63"/>
  <c r="H212" i="63"/>
  <c r="H219" i="63"/>
  <c r="H226" i="63"/>
  <c r="H222" i="63"/>
  <c r="H189" i="63"/>
  <c r="H178" i="63"/>
  <c r="H161" i="63"/>
  <c r="H159" i="63"/>
  <c r="H156" i="63"/>
  <c r="M156" i="63" s="1"/>
  <c r="H157" i="63"/>
  <c r="M157" i="63" s="1"/>
  <c r="H153" i="63"/>
  <c r="H148" i="63"/>
  <c r="M148" i="63" s="1"/>
  <c r="H144" i="63"/>
  <c r="H142" i="63"/>
  <c r="M142" i="63" s="1"/>
  <c r="H140" i="63"/>
  <c r="H136" i="63"/>
  <c r="H133" i="63"/>
  <c r="M133" i="63" s="1"/>
  <c r="H134" i="63"/>
  <c r="M134" i="63" s="1"/>
  <c r="H130" i="63"/>
  <c r="M130" i="63" s="1"/>
  <c r="H125" i="63"/>
  <c r="H120" i="63"/>
  <c r="M120" i="63" s="1"/>
  <c r="H116" i="63"/>
  <c r="H105" i="63"/>
  <c r="H110" i="63"/>
  <c r="M110" i="63" s="1"/>
  <c r="H101" i="63"/>
  <c r="M101" i="63" s="1"/>
  <c r="H98" i="63"/>
  <c r="H94" i="63"/>
  <c r="M94" i="63" s="1"/>
  <c r="H97" i="63"/>
  <c r="H80" i="63"/>
  <c r="H76" i="63"/>
  <c r="M76" i="63" s="1"/>
  <c r="H71" i="63"/>
  <c r="M71" i="63" s="1"/>
  <c r="H69" i="63"/>
  <c r="H66" i="63"/>
  <c r="M66" i="63" s="1"/>
  <c r="H37" i="63"/>
  <c r="M37" i="63" s="1"/>
  <c r="G37" i="43"/>
  <c r="J37" i="43" s="1"/>
  <c r="L37" i="43" s="1"/>
  <c r="M37" i="43" s="1"/>
  <c r="I37" i="43" s="1"/>
  <c r="H49" i="63"/>
  <c r="H50" i="63"/>
  <c r="H38" i="63"/>
  <c r="G40" i="43"/>
  <c r="G36" i="43"/>
  <c r="J36" i="43" s="1"/>
  <c r="G26" i="43"/>
  <c r="J26" i="43" s="1"/>
  <c r="L26" i="43" s="1"/>
  <c r="M26" i="43" s="1"/>
  <c r="I26" i="43" s="1"/>
  <c r="G13" i="43"/>
  <c r="J13" i="43" s="1"/>
  <c r="D20" i="40"/>
  <c r="K20" i="40" s="1"/>
  <c r="G35" i="43"/>
  <c r="H74" i="63"/>
  <c r="H75" i="63"/>
  <c r="H77" i="63"/>
  <c r="M77" i="63" s="1"/>
  <c r="H104" i="63"/>
  <c r="M104" i="63" s="1"/>
  <c r="H108" i="63"/>
  <c r="H109" i="63"/>
  <c r="M109" i="63" s="1"/>
  <c r="H111" i="63"/>
  <c r="M111" i="63" s="1"/>
  <c r="H117" i="63"/>
  <c r="H126" i="63"/>
  <c r="H128" i="63"/>
  <c r="M128" i="63" s="1"/>
  <c r="H138" i="63"/>
  <c r="M138" i="63" s="1"/>
  <c r="H147" i="63"/>
  <c r="M147" i="63" s="1"/>
  <c r="H154" i="63"/>
  <c r="H225" i="63"/>
  <c r="H213" i="63"/>
  <c r="H202" i="63"/>
  <c r="H206" i="63"/>
  <c r="H269" i="63"/>
  <c r="I104" i="8"/>
  <c r="F28" i="59" s="1"/>
  <c r="J28" i="59" s="1"/>
  <c r="L28" i="59" s="1"/>
  <c r="M28" i="59" s="1"/>
  <c r="H234" i="63"/>
  <c r="M234" i="63" s="1"/>
  <c r="H259" i="63"/>
  <c r="G22" i="43"/>
  <c r="J22" i="43" s="1"/>
  <c r="H16" i="63"/>
  <c r="G11" i="43"/>
  <c r="K11" i="43" s="1"/>
  <c r="F17" i="55"/>
  <c r="I17" i="55" s="1"/>
  <c r="F31" i="55"/>
  <c r="I31" i="55" s="1"/>
  <c r="F28" i="55"/>
  <c r="I28" i="55" s="1"/>
  <c r="F26" i="55"/>
  <c r="I26" i="55" s="1"/>
  <c r="E21" i="20"/>
  <c r="H21" i="20" s="1"/>
  <c r="F24" i="54"/>
  <c r="I24" i="54" s="1"/>
  <c r="F15" i="55"/>
  <c r="I15" i="55" s="1"/>
  <c r="G23" i="43"/>
  <c r="J23" i="43" s="1"/>
  <c r="G18" i="43"/>
  <c r="G16" i="43"/>
  <c r="J16" i="43" s="1"/>
  <c r="G15" i="43"/>
  <c r="J15" i="43" s="1"/>
  <c r="G14" i="43"/>
  <c r="J14" i="43" s="1"/>
  <c r="H25" i="63"/>
  <c r="F19" i="55"/>
  <c r="I19" i="55" s="1"/>
  <c r="F18" i="55"/>
  <c r="I18" i="55" s="1"/>
  <c r="F16" i="55"/>
  <c r="I16" i="55" s="1"/>
  <c r="F14" i="55"/>
  <c r="I14" i="55" s="1"/>
  <c r="F29" i="55"/>
  <c r="I29" i="55" s="1"/>
  <c r="D23" i="40"/>
  <c r="L23" i="40" s="1"/>
  <c r="D15" i="40"/>
  <c r="D18" i="40"/>
  <c r="F27" i="54"/>
  <c r="I27" i="54" s="1"/>
  <c r="F27" i="55"/>
  <c r="I27" i="55" s="1"/>
  <c r="J35" i="43" l="1"/>
  <c r="L35" i="43" s="1"/>
  <c r="K35" i="43"/>
  <c r="I13" i="29"/>
  <c r="J33" i="43"/>
  <c r="L33" i="43" s="1"/>
  <c r="K33" i="43"/>
  <c r="J40" i="43"/>
  <c r="L40" i="43" s="1"/>
  <c r="K40" i="43"/>
  <c r="J17" i="23"/>
  <c r="L17" i="23" s="1"/>
  <c r="K17" i="23"/>
  <c r="D18" i="17"/>
  <c r="F18" i="17" s="1"/>
  <c r="H18" i="17" s="1"/>
  <c r="H14" i="29"/>
  <c r="G14" i="29" s="1"/>
  <c r="E25" i="22"/>
  <c r="K25" i="22" s="1"/>
  <c r="N23" i="41"/>
  <c r="P23" i="41" s="1"/>
  <c r="M29" i="39"/>
  <c r="I13" i="28"/>
  <c r="M28" i="39"/>
  <c r="M26" i="39"/>
  <c r="E17" i="13"/>
  <c r="K35" i="10"/>
  <c r="J35" i="10"/>
  <c r="E16" i="15"/>
  <c r="D16" i="15"/>
  <c r="J24" i="22"/>
  <c r="L24" i="22" s="1"/>
  <c r="M24" i="22" s="1"/>
  <c r="G29" i="52"/>
  <c r="F21" i="17"/>
  <c r="H21" i="17" s="1"/>
  <c r="K21" i="16"/>
  <c r="I16" i="34"/>
  <c r="F22" i="53"/>
  <c r="I22" i="53"/>
  <c r="H22" i="29"/>
  <c r="J22" i="29" s="1"/>
  <c r="K22" i="29" s="1"/>
  <c r="J19" i="51"/>
  <c r="J24" i="51" s="1"/>
  <c r="F16" i="15"/>
  <c r="M23" i="51"/>
  <c r="E16" i="17"/>
  <c r="G25" i="41"/>
  <c r="G27" i="43"/>
  <c r="J27" i="43" s="1"/>
  <c r="L27" i="43" s="1"/>
  <c r="M27" i="43" s="1"/>
  <c r="F23" i="39"/>
  <c r="L23" i="39" s="1"/>
  <c r="E15" i="16"/>
  <c r="E16" i="16" s="1"/>
  <c r="F18" i="40"/>
  <c r="K18" i="40"/>
  <c r="I15" i="43"/>
  <c r="L15" i="43"/>
  <c r="M15" i="43" s="1"/>
  <c r="H26" i="63"/>
  <c r="F22" i="44"/>
  <c r="I22" i="44" s="1"/>
  <c r="J11" i="43"/>
  <c r="G17" i="43"/>
  <c r="K17" i="43" s="1"/>
  <c r="H17" i="63"/>
  <c r="M17" i="63" s="1"/>
  <c r="F15" i="44"/>
  <c r="L259" i="63"/>
  <c r="J259" i="63"/>
  <c r="L202" i="63"/>
  <c r="J202" i="63"/>
  <c r="J154" i="63"/>
  <c r="L154" i="63"/>
  <c r="N154" i="63" s="1"/>
  <c r="O154" i="63" s="1"/>
  <c r="K154" i="63" s="1"/>
  <c r="L126" i="63"/>
  <c r="J126" i="63"/>
  <c r="J77" i="63"/>
  <c r="L77" i="63"/>
  <c r="N77" i="63" s="1"/>
  <c r="O77" i="63" s="1"/>
  <c r="K77" i="63" s="1"/>
  <c r="H39" i="63"/>
  <c r="M39" i="63" s="1"/>
  <c r="F29" i="44"/>
  <c r="H42" i="63"/>
  <c r="M42" i="63" s="1"/>
  <c r="F32" i="44"/>
  <c r="J49" i="63"/>
  <c r="L49" i="63"/>
  <c r="L37" i="63"/>
  <c r="N37" i="63" s="1"/>
  <c r="O37" i="63" s="1"/>
  <c r="K37" i="63" s="1"/>
  <c r="J37" i="63"/>
  <c r="J69" i="63"/>
  <c r="L69" i="63"/>
  <c r="L140" i="63"/>
  <c r="J140" i="63"/>
  <c r="J157" i="63"/>
  <c r="L157" i="63"/>
  <c r="N157" i="63" s="1"/>
  <c r="O157" i="63" s="1"/>
  <c r="K157" i="63" s="1"/>
  <c r="L159" i="63"/>
  <c r="J159" i="63"/>
  <c r="L178" i="63"/>
  <c r="J178" i="63"/>
  <c r="J189" i="63"/>
  <c r="L189" i="63"/>
  <c r="L229" i="63"/>
  <c r="J229" i="63"/>
  <c r="F20" i="55"/>
  <c r="I20" i="55" s="1"/>
  <c r="I134" i="8"/>
  <c r="F34" i="59" s="1"/>
  <c r="J34" i="59" s="1"/>
  <c r="L34" i="59" s="1"/>
  <c r="M34" i="59" s="1"/>
  <c r="J242" i="63"/>
  <c r="L242" i="63"/>
  <c r="N242" i="63" s="1"/>
  <c r="O242" i="63" s="1"/>
  <c r="K242" i="63" s="1"/>
  <c r="L266" i="63"/>
  <c r="N266" i="63" s="1"/>
  <c r="O266" i="63" s="1"/>
  <c r="K266" i="63" s="1"/>
  <c r="H271" i="63"/>
  <c r="M271" i="63" s="1"/>
  <c r="J266" i="63"/>
  <c r="L190" i="63"/>
  <c r="N190" i="63" s="1"/>
  <c r="O190" i="63" s="1"/>
  <c r="K190" i="63" s="1"/>
  <c r="J190" i="63"/>
  <c r="F19" i="48"/>
  <c r="H185" i="63"/>
  <c r="M185" i="63" s="1"/>
  <c r="J149" i="63"/>
  <c r="L149" i="63"/>
  <c r="L124" i="63"/>
  <c r="N124" i="63" s="1"/>
  <c r="O124" i="63" s="1"/>
  <c r="K124" i="63" s="1"/>
  <c r="J124" i="63"/>
  <c r="L113" i="63"/>
  <c r="J113" i="63"/>
  <c r="G29" i="43"/>
  <c r="J29" i="43" s="1"/>
  <c r="H44" i="63"/>
  <c r="M44" i="63" s="1"/>
  <c r="F34" i="44"/>
  <c r="L70" i="63"/>
  <c r="J70" i="63"/>
  <c r="L102" i="63"/>
  <c r="J102" i="63"/>
  <c r="J127" i="63"/>
  <c r="L127" i="63"/>
  <c r="N127" i="63" s="1"/>
  <c r="O127" i="63" s="1"/>
  <c r="K127" i="63" s="1"/>
  <c r="J150" i="63"/>
  <c r="L150" i="63"/>
  <c r="J155" i="63"/>
  <c r="L155" i="63"/>
  <c r="H163" i="63"/>
  <c r="M163" i="63" s="1"/>
  <c r="E15" i="47"/>
  <c r="J220" i="63"/>
  <c r="L220" i="63"/>
  <c r="L210" i="63"/>
  <c r="J210" i="63"/>
  <c r="L268" i="63"/>
  <c r="J268" i="63"/>
  <c r="H244" i="63"/>
  <c r="F15" i="54"/>
  <c r="I15" i="54" s="1"/>
  <c r="J263" i="63"/>
  <c r="L263" i="63"/>
  <c r="J107" i="63"/>
  <c r="L107" i="63"/>
  <c r="J223" i="63"/>
  <c r="L223" i="63"/>
  <c r="N223" i="63" s="1"/>
  <c r="O223" i="63" s="1"/>
  <c r="K223" i="63" s="1"/>
  <c r="H184" i="63"/>
  <c r="F18" i="48"/>
  <c r="I18" i="48" s="1"/>
  <c r="K18" i="48" s="1"/>
  <c r="L18" i="48" s="1"/>
  <c r="H18" i="48" s="1"/>
  <c r="H274" i="63"/>
  <c r="M274" i="63" s="1"/>
  <c r="J272" i="63"/>
  <c r="L272" i="63"/>
  <c r="L73" i="63"/>
  <c r="J73" i="63"/>
  <c r="J115" i="63"/>
  <c r="L115" i="63"/>
  <c r="K26" i="33"/>
  <c r="G26" i="33"/>
  <c r="L12" i="33"/>
  <c r="K12" i="33"/>
  <c r="M12" i="33" s="1"/>
  <c r="G12" i="33"/>
  <c r="E18" i="32"/>
  <c r="G18" i="32" s="1"/>
  <c r="G13" i="32"/>
  <c r="E23" i="32"/>
  <c r="G23" i="32" s="1"/>
  <c r="K14" i="33"/>
  <c r="G14" i="33"/>
  <c r="L18" i="33"/>
  <c r="G18" i="33"/>
  <c r="K18" i="33"/>
  <c r="M18" i="33" s="1"/>
  <c r="D36" i="35"/>
  <c r="M17" i="51"/>
  <c r="N16" i="39"/>
  <c r="O16" i="39" s="1"/>
  <c r="H16" i="39"/>
  <c r="G23" i="33"/>
  <c r="K23" i="33"/>
  <c r="F22" i="39"/>
  <c r="J12" i="28"/>
  <c r="K12" i="28" s="1"/>
  <c r="G12" i="28"/>
  <c r="I24" i="5"/>
  <c r="G21" i="15"/>
  <c r="F21" i="15" s="1"/>
  <c r="E19" i="17" s="1"/>
  <c r="H18" i="7"/>
  <c r="H26" i="39"/>
  <c r="N26" i="39"/>
  <c r="E24" i="29"/>
  <c r="H24" i="29" s="1"/>
  <c r="I41" i="5"/>
  <c r="K21" i="53"/>
  <c r="H35" i="7"/>
  <c r="J13" i="28"/>
  <c r="G13" i="28"/>
  <c r="I39" i="5"/>
  <c r="K19" i="53"/>
  <c r="H33" i="7"/>
  <c r="E19" i="27"/>
  <c r="H19" i="27" s="1"/>
  <c r="F16" i="23"/>
  <c r="L16" i="23"/>
  <c r="M16" i="23" s="1"/>
  <c r="H11" i="30"/>
  <c r="F17" i="27"/>
  <c r="I17" i="27" s="1"/>
  <c r="E17" i="27"/>
  <c r="G15" i="28"/>
  <c r="J15" i="28"/>
  <c r="K15" i="28" s="1"/>
  <c r="F21" i="35"/>
  <c r="K21" i="35"/>
  <c r="G22" i="20"/>
  <c r="J22" i="20"/>
  <c r="K22" i="20" s="1"/>
  <c r="J31" i="13"/>
  <c r="H27" i="5"/>
  <c r="G21" i="7"/>
  <c r="E19" i="32"/>
  <c r="F24" i="41"/>
  <c r="F25" i="41" s="1"/>
  <c r="J188" i="63"/>
  <c r="L188" i="63"/>
  <c r="E17" i="53"/>
  <c r="K24" i="35"/>
  <c r="F24" i="35"/>
  <c r="F17" i="48"/>
  <c r="H183" i="63"/>
  <c r="M183" i="63" s="1"/>
  <c r="J93" i="63"/>
  <c r="L93" i="63"/>
  <c r="N93" i="63" s="1"/>
  <c r="O93" i="63" s="1"/>
  <c r="K93" i="63" s="1"/>
  <c r="M27" i="41"/>
  <c r="H27" i="41"/>
  <c r="H20" i="41"/>
  <c r="M20" i="41"/>
  <c r="N18" i="41"/>
  <c r="M18" i="41"/>
  <c r="O18" i="41" s="1"/>
  <c r="H18" i="41"/>
  <c r="D18" i="23"/>
  <c r="H15" i="5"/>
  <c r="G11" i="7"/>
  <c r="D12" i="17"/>
  <c r="L29" i="35"/>
  <c r="F15" i="17"/>
  <c r="H15" i="17" s="1"/>
  <c r="G16" i="16"/>
  <c r="I15" i="16"/>
  <c r="I16" i="16" s="1"/>
  <c r="H27" i="54"/>
  <c r="K27" i="54"/>
  <c r="L27" i="54" s="1"/>
  <c r="I122" i="8"/>
  <c r="F23" i="55"/>
  <c r="J23" i="55" s="1"/>
  <c r="F29" i="59"/>
  <c r="F32" i="55"/>
  <c r="I32" i="55" s="1"/>
  <c r="H16" i="55"/>
  <c r="K16" i="55"/>
  <c r="L16" i="55" s="1"/>
  <c r="H19" i="55"/>
  <c r="K19" i="55"/>
  <c r="L19" i="55" s="1"/>
  <c r="J25" i="63"/>
  <c r="L25" i="63"/>
  <c r="H27" i="63"/>
  <c r="F23" i="44"/>
  <c r="L16" i="43"/>
  <c r="M16" i="43" s="1"/>
  <c r="I16" i="43" s="1"/>
  <c r="H14" i="63"/>
  <c r="M14" i="63" s="1"/>
  <c r="F13" i="44"/>
  <c r="I23" i="43"/>
  <c r="L23" i="43"/>
  <c r="M23" i="43" s="1"/>
  <c r="H15" i="55"/>
  <c r="K15" i="55"/>
  <c r="L15" i="55" s="1"/>
  <c r="F26" i="54"/>
  <c r="F27" i="59"/>
  <c r="G21" i="20"/>
  <c r="J21" i="20"/>
  <c r="K21" i="20" s="1"/>
  <c r="K28" i="55"/>
  <c r="L28" i="55" s="1"/>
  <c r="H28" i="55"/>
  <c r="K31" i="55"/>
  <c r="L31" i="55" s="1"/>
  <c r="H31" i="55"/>
  <c r="H17" i="55"/>
  <c r="K17" i="55"/>
  <c r="L17" i="55" s="1"/>
  <c r="H13" i="63"/>
  <c r="M13" i="63" s="1"/>
  <c r="F11" i="44"/>
  <c r="J11" i="44" s="1"/>
  <c r="H20" i="63"/>
  <c r="I22" i="8"/>
  <c r="H215" i="63"/>
  <c r="E15" i="49"/>
  <c r="H15" i="49" s="1"/>
  <c r="H187" i="63"/>
  <c r="M187" i="63" s="1"/>
  <c r="F20" i="48"/>
  <c r="J138" i="63"/>
  <c r="L138" i="63"/>
  <c r="J128" i="63"/>
  <c r="L128" i="63"/>
  <c r="J111" i="63"/>
  <c r="L111" i="63"/>
  <c r="N111" i="63" s="1"/>
  <c r="O111" i="63" s="1"/>
  <c r="K111" i="63" s="1"/>
  <c r="J109" i="63"/>
  <c r="L109" i="63"/>
  <c r="J104" i="63"/>
  <c r="L104" i="63"/>
  <c r="L74" i="63"/>
  <c r="J74" i="63"/>
  <c r="H62" i="63"/>
  <c r="M62" i="63" s="1"/>
  <c r="E17" i="45"/>
  <c r="H58" i="63"/>
  <c r="E13" i="45"/>
  <c r="H13" i="45" s="1"/>
  <c r="H31" i="63"/>
  <c r="M31" i="63" s="1"/>
  <c r="F25" i="44"/>
  <c r="J25" i="44" s="1"/>
  <c r="H152" i="63"/>
  <c r="E12" i="47"/>
  <c r="H12" i="47" s="1"/>
  <c r="M20" i="40"/>
  <c r="N20" i="40" s="1"/>
  <c r="G20" i="40"/>
  <c r="I36" i="43"/>
  <c r="L36" i="43"/>
  <c r="M36" i="43" s="1"/>
  <c r="H46" i="63"/>
  <c r="M46" i="63" s="1"/>
  <c r="F36" i="44"/>
  <c r="H59" i="63"/>
  <c r="M59" i="63" s="1"/>
  <c r="E14" i="45"/>
  <c r="J94" i="63"/>
  <c r="L94" i="63"/>
  <c r="N94" i="63" s="1"/>
  <c r="O94" i="63" s="1"/>
  <c r="K94" i="63" s="1"/>
  <c r="J101" i="63"/>
  <c r="L101" i="63"/>
  <c r="N101" i="63" s="1"/>
  <c r="O101" i="63" s="1"/>
  <c r="K101" i="63" s="1"/>
  <c r="J125" i="63"/>
  <c r="L125" i="63"/>
  <c r="J134" i="63"/>
  <c r="L134" i="63"/>
  <c r="J148" i="63"/>
  <c r="L148" i="63"/>
  <c r="N148" i="63" s="1"/>
  <c r="O148" i="63" s="1"/>
  <c r="K148" i="63" s="1"/>
  <c r="J153" i="63"/>
  <c r="L153" i="63"/>
  <c r="L156" i="63"/>
  <c r="J156" i="63"/>
  <c r="L222" i="63"/>
  <c r="J222" i="63"/>
  <c r="J219" i="63"/>
  <c r="L219" i="63"/>
  <c r="L212" i="63"/>
  <c r="J212" i="63"/>
  <c r="L196" i="63"/>
  <c r="N196" i="63" s="1"/>
  <c r="O196" i="63" s="1"/>
  <c r="K196" i="63" s="1"/>
  <c r="J196" i="63"/>
  <c r="F13" i="54"/>
  <c r="I13" i="54" s="1"/>
  <c r="H237" i="63"/>
  <c r="L264" i="63"/>
  <c r="J264" i="63"/>
  <c r="H258" i="63"/>
  <c r="F18" i="54"/>
  <c r="I18" i="54" s="1"/>
  <c r="H176" i="63"/>
  <c r="M176" i="63" s="1"/>
  <c r="F12" i="48"/>
  <c r="J12" i="48" s="1"/>
  <c r="J131" i="63"/>
  <c r="L131" i="63"/>
  <c r="J114" i="63"/>
  <c r="L114" i="63"/>
  <c r="N114" i="63" s="1"/>
  <c r="O114" i="63" s="1"/>
  <c r="K114" i="63" s="1"/>
  <c r="J72" i="63"/>
  <c r="L72" i="63"/>
  <c r="H61" i="63"/>
  <c r="E16" i="45"/>
  <c r="H16" i="45" s="1"/>
  <c r="H182" i="63"/>
  <c r="M182" i="63" s="1"/>
  <c r="F16" i="48"/>
  <c r="H32" i="63"/>
  <c r="F26" i="44"/>
  <c r="I26" i="44" s="1"/>
  <c r="H43" i="63"/>
  <c r="M43" i="63" s="1"/>
  <c r="F33" i="44"/>
  <c r="G25" i="43"/>
  <c r="K25" i="43" s="1"/>
  <c r="L39" i="43"/>
  <c r="M39" i="43" s="1"/>
  <c r="I39" i="43"/>
  <c r="I39" i="44"/>
  <c r="H47" i="63"/>
  <c r="E11" i="46"/>
  <c r="H64" i="63"/>
  <c r="J78" i="63"/>
  <c r="L78" i="63"/>
  <c r="N78" i="63" s="1"/>
  <c r="O78" i="63" s="1"/>
  <c r="K78" i="63" s="1"/>
  <c r="L122" i="63"/>
  <c r="N122" i="63" s="1"/>
  <c r="O122" i="63" s="1"/>
  <c r="K122" i="63" s="1"/>
  <c r="J122" i="63"/>
  <c r="J132" i="63"/>
  <c r="L132" i="63"/>
  <c r="J135" i="63"/>
  <c r="L135" i="63"/>
  <c r="J137" i="63"/>
  <c r="L137" i="63"/>
  <c r="L141" i="63"/>
  <c r="N141" i="63" s="1"/>
  <c r="O141" i="63" s="1"/>
  <c r="K141" i="63" s="1"/>
  <c r="J141" i="63"/>
  <c r="L158" i="63"/>
  <c r="J158" i="63"/>
  <c r="J162" i="63"/>
  <c r="L162" i="63"/>
  <c r="L179" i="63"/>
  <c r="J179" i="63"/>
  <c r="J218" i="63"/>
  <c r="L218" i="63"/>
  <c r="J216" i="63"/>
  <c r="L216" i="63"/>
  <c r="J197" i="63"/>
  <c r="L197" i="63"/>
  <c r="J231" i="63"/>
  <c r="L231" i="63"/>
  <c r="L239" i="63"/>
  <c r="J239" i="63"/>
  <c r="F17" i="54"/>
  <c r="I17" i="54" s="1"/>
  <c r="H257" i="63"/>
  <c r="D13" i="40"/>
  <c r="L13" i="40" s="1"/>
  <c r="H35" i="63"/>
  <c r="M35" i="63" s="1"/>
  <c r="F38" i="44"/>
  <c r="J227" i="63"/>
  <c r="L227" i="63"/>
  <c r="J186" i="63"/>
  <c r="L186" i="63"/>
  <c r="J235" i="63"/>
  <c r="L235" i="63"/>
  <c r="G16" i="33"/>
  <c r="K16" i="33"/>
  <c r="L13" i="33"/>
  <c r="K13" i="33"/>
  <c r="M13" i="33" s="1"/>
  <c r="G13" i="33"/>
  <c r="F35" i="35"/>
  <c r="K35" i="35"/>
  <c r="J207" i="63"/>
  <c r="L207" i="63"/>
  <c r="G15" i="33"/>
  <c r="K15" i="33"/>
  <c r="I15" i="6"/>
  <c r="G29" i="31"/>
  <c r="G31" i="31" s="1"/>
  <c r="C31" i="64" s="1"/>
  <c r="N11" i="7"/>
  <c r="K13" i="35"/>
  <c r="F13" i="35"/>
  <c r="M14" i="51"/>
  <c r="D32" i="35"/>
  <c r="J51" i="63"/>
  <c r="L51" i="63"/>
  <c r="F20" i="39"/>
  <c r="K15" i="52"/>
  <c r="K13" i="16"/>
  <c r="E11" i="28"/>
  <c r="H34" i="7"/>
  <c r="E18" i="28"/>
  <c r="H18" i="28" s="1"/>
  <c r="K20" i="53"/>
  <c r="I40" i="5"/>
  <c r="H29" i="7"/>
  <c r="I35" i="5"/>
  <c r="K16" i="53"/>
  <c r="M25" i="39"/>
  <c r="F30" i="39"/>
  <c r="L30" i="39" s="1"/>
  <c r="N30" i="39" s="1"/>
  <c r="L25" i="39"/>
  <c r="N25" i="39" s="1"/>
  <c r="K12" i="16"/>
  <c r="K14" i="52"/>
  <c r="D17" i="53"/>
  <c r="E20" i="22"/>
  <c r="J16" i="42"/>
  <c r="K16" i="42" s="1"/>
  <c r="G16" i="42"/>
  <c r="M15" i="51"/>
  <c r="D33" i="35"/>
  <c r="E19" i="29"/>
  <c r="H19" i="29" s="1"/>
  <c r="F16" i="22"/>
  <c r="L16" i="22"/>
  <c r="M16" i="22" s="1"/>
  <c r="F14" i="22"/>
  <c r="L14" i="22"/>
  <c r="M14" i="22" s="1"/>
  <c r="H45" i="63"/>
  <c r="M45" i="63" s="1"/>
  <c r="F35" i="44"/>
  <c r="G13" i="42"/>
  <c r="J13" i="42"/>
  <c r="K13" i="42" s="1"/>
  <c r="E12" i="21"/>
  <c r="J13" i="29"/>
  <c r="H27" i="30"/>
  <c r="G22" i="33"/>
  <c r="K22" i="33"/>
  <c r="H27" i="13"/>
  <c r="D19" i="17" s="1"/>
  <c r="E18" i="53"/>
  <c r="F20" i="23"/>
  <c r="L20" i="23"/>
  <c r="M20" i="23" s="1"/>
  <c r="M28" i="41"/>
  <c r="H28" i="41"/>
  <c r="G20" i="43"/>
  <c r="J20" i="43" s="1"/>
  <c r="E25" i="13"/>
  <c r="M16" i="41"/>
  <c r="H16" i="41"/>
  <c r="K14" i="35"/>
  <c r="F14" i="35"/>
  <c r="D17" i="13"/>
  <c r="I18" i="52"/>
  <c r="D23" i="17"/>
  <c r="K15" i="40"/>
  <c r="F15" i="40"/>
  <c r="H24" i="63"/>
  <c r="F21" i="44"/>
  <c r="I21" i="44" s="1"/>
  <c r="H23" i="63"/>
  <c r="M23" i="63" s="1"/>
  <c r="F20" i="44"/>
  <c r="I14" i="43"/>
  <c r="L14" i="43"/>
  <c r="M14" i="43" s="1"/>
  <c r="H18" i="63"/>
  <c r="F16" i="44"/>
  <c r="F22" i="55"/>
  <c r="I22" i="55" s="1"/>
  <c r="L16" i="63"/>
  <c r="J16" i="63"/>
  <c r="L22" i="43"/>
  <c r="M22" i="43" s="1"/>
  <c r="I22" i="43"/>
  <c r="H245" i="63"/>
  <c r="M245" i="63" s="1"/>
  <c r="F32" i="59"/>
  <c r="F16" i="54"/>
  <c r="J234" i="63"/>
  <c r="L234" i="63"/>
  <c r="L269" i="63"/>
  <c r="J269" i="63"/>
  <c r="L206" i="63"/>
  <c r="J206" i="63"/>
  <c r="L213" i="63"/>
  <c r="N213" i="63" s="1"/>
  <c r="O213" i="63" s="1"/>
  <c r="K213" i="63" s="1"/>
  <c r="J213" i="63"/>
  <c r="J225" i="63"/>
  <c r="L225" i="63"/>
  <c r="L75" i="63"/>
  <c r="J75" i="63"/>
  <c r="H34" i="63"/>
  <c r="F28" i="44"/>
  <c r="J38" i="63"/>
  <c r="L38" i="63"/>
  <c r="L50" i="63"/>
  <c r="J50" i="63"/>
  <c r="G30" i="43"/>
  <c r="J30" i="43" s="1"/>
  <c r="H54" i="63"/>
  <c r="M54" i="63" s="1"/>
  <c r="I64" i="8"/>
  <c r="J66" i="63"/>
  <c r="L66" i="63"/>
  <c r="J71" i="63"/>
  <c r="L71" i="63"/>
  <c r="L76" i="63"/>
  <c r="N76" i="63" s="1"/>
  <c r="O76" i="63" s="1"/>
  <c r="K76" i="63" s="1"/>
  <c r="J76" i="63"/>
  <c r="J97" i="63"/>
  <c r="L97" i="63"/>
  <c r="L105" i="63"/>
  <c r="J105" i="63"/>
  <c r="J116" i="63"/>
  <c r="L116" i="63"/>
  <c r="L136" i="63"/>
  <c r="J136" i="63"/>
  <c r="L142" i="63"/>
  <c r="N142" i="63" s="1"/>
  <c r="O142" i="63" s="1"/>
  <c r="K142" i="63" s="1"/>
  <c r="J142" i="63"/>
  <c r="L161" i="63"/>
  <c r="J161" i="63"/>
  <c r="L200" i="63"/>
  <c r="N200" i="63" s="1"/>
  <c r="O200" i="63" s="1"/>
  <c r="K200" i="63" s="1"/>
  <c r="J200" i="63"/>
  <c r="J232" i="63"/>
  <c r="L232" i="63"/>
  <c r="L241" i="63"/>
  <c r="J241" i="63"/>
  <c r="L233" i="63"/>
  <c r="J233" i="63"/>
  <c r="L208" i="63"/>
  <c r="J208" i="63"/>
  <c r="J217" i="63"/>
  <c r="L217" i="63"/>
  <c r="L221" i="63"/>
  <c r="J221" i="63"/>
  <c r="L121" i="63"/>
  <c r="J121" i="63"/>
  <c r="H57" i="63"/>
  <c r="E12" i="45"/>
  <c r="H12" i="45" s="1"/>
  <c r="E21" i="46"/>
  <c r="H129" i="63"/>
  <c r="M129" i="63" s="1"/>
  <c r="L34" i="43"/>
  <c r="M34" i="43" s="1"/>
  <c r="I34" i="43" s="1"/>
  <c r="J36" i="63"/>
  <c r="L36" i="63"/>
  <c r="L52" i="63"/>
  <c r="J52" i="63"/>
  <c r="L68" i="63"/>
  <c r="J68" i="63"/>
  <c r="J99" i="63"/>
  <c r="L99" i="63"/>
  <c r="J100" i="63"/>
  <c r="L100" i="63"/>
  <c r="J119" i="63"/>
  <c r="L119" i="63"/>
  <c r="L123" i="63"/>
  <c r="J123" i="63"/>
  <c r="J191" i="63"/>
  <c r="L191" i="63"/>
  <c r="J224" i="63"/>
  <c r="L224" i="63"/>
  <c r="L193" i="63"/>
  <c r="N193" i="63" s="1"/>
  <c r="O193" i="63" s="1"/>
  <c r="K193" i="63" s="1"/>
  <c r="J193" i="63"/>
  <c r="J267" i="63"/>
  <c r="L267" i="63"/>
  <c r="N267" i="63" s="1"/>
  <c r="O267" i="63" s="1"/>
  <c r="K267" i="63" s="1"/>
  <c r="J236" i="63"/>
  <c r="L236" i="63"/>
  <c r="J260" i="63"/>
  <c r="L260" i="63"/>
  <c r="L261" i="63"/>
  <c r="J261" i="63"/>
  <c r="L201" i="63"/>
  <c r="J201" i="63"/>
  <c r="J112" i="63"/>
  <c r="L112" i="63"/>
  <c r="L205" i="63"/>
  <c r="J205" i="63"/>
  <c r="K27" i="35"/>
  <c r="F27" i="35"/>
  <c r="G24" i="33"/>
  <c r="K24" i="33"/>
  <c r="D23" i="35"/>
  <c r="E19" i="33"/>
  <c r="N18" i="39"/>
  <c r="O18" i="39" s="1"/>
  <c r="H18" i="39"/>
  <c r="M11" i="51"/>
  <c r="D29" i="35"/>
  <c r="K39" i="35"/>
  <c r="F39" i="35"/>
  <c r="F19" i="39"/>
  <c r="L19" i="39" s="1"/>
  <c r="F20" i="42"/>
  <c r="H12" i="7"/>
  <c r="I16" i="5"/>
  <c r="G13" i="15"/>
  <c r="J18" i="29"/>
  <c r="K18" i="29" s="1"/>
  <c r="G18" i="29"/>
  <c r="J15" i="53"/>
  <c r="J22" i="53" s="1"/>
  <c r="H13" i="7"/>
  <c r="I17" i="5"/>
  <c r="G14" i="15"/>
  <c r="H27" i="39"/>
  <c r="N27" i="39"/>
  <c r="O27" i="39" s="1"/>
  <c r="H28" i="39"/>
  <c r="N28" i="39"/>
  <c r="H11" i="7"/>
  <c r="I15" i="5"/>
  <c r="G12" i="15"/>
  <c r="E17" i="29"/>
  <c r="H17" i="29" s="1"/>
  <c r="K25" i="52"/>
  <c r="I26" i="5"/>
  <c r="H20" i="7"/>
  <c r="D17" i="15"/>
  <c r="D24" i="15" s="1"/>
  <c r="G17" i="15"/>
  <c r="J16" i="29"/>
  <c r="K16" i="29" s="1"/>
  <c r="G16" i="29"/>
  <c r="G17" i="42"/>
  <c r="J17" i="42"/>
  <c r="K17" i="42" s="1"/>
  <c r="H17" i="53"/>
  <c r="J12" i="29"/>
  <c r="K12" i="29" s="1"/>
  <c r="G12" i="29"/>
  <c r="L13" i="22"/>
  <c r="M13" i="22" s="1"/>
  <c r="F13" i="22"/>
  <c r="H29" i="5"/>
  <c r="G23" i="7"/>
  <c r="D11" i="19"/>
  <c r="J26" i="13"/>
  <c r="E23" i="5" s="1"/>
  <c r="E28" i="13"/>
  <c r="K14" i="53"/>
  <c r="E20" i="21"/>
  <c r="H20" i="21" s="1"/>
  <c r="H27" i="7"/>
  <c r="I33" i="5"/>
  <c r="H22" i="41"/>
  <c r="M22" i="41"/>
  <c r="H14" i="41"/>
  <c r="M14" i="41"/>
  <c r="L103" i="63"/>
  <c r="J103" i="63"/>
  <c r="I37" i="6"/>
  <c r="N33" i="7"/>
  <c r="E12" i="42"/>
  <c r="F21" i="23"/>
  <c r="L21" i="23"/>
  <c r="M21" i="23" s="1"/>
  <c r="M15" i="41"/>
  <c r="H15" i="41"/>
  <c r="M21" i="41"/>
  <c r="H21" i="41"/>
  <c r="K19" i="16"/>
  <c r="I14" i="42"/>
  <c r="K23" i="16"/>
  <c r="E18" i="52"/>
  <c r="K27" i="55"/>
  <c r="L27" i="55" s="1"/>
  <c r="H27" i="55"/>
  <c r="F23" i="40"/>
  <c r="K23" i="40"/>
  <c r="H29" i="55"/>
  <c r="K29" i="55"/>
  <c r="L29" i="55" s="1"/>
  <c r="H14" i="55"/>
  <c r="K14" i="55"/>
  <c r="L14" i="55" s="1"/>
  <c r="H18" i="55"/>
  <c r="K18" i="55"/>
  <c r="L18" i="55" s="1"/>
  <c r="H15" i="63"/>
  <c r="F14" i="44"/>
  <c r="I14" i="44" s="1"/>
  <c r="J18" i="43"/>
  <c r="F30" i="55"/>
  <c r="I30" i="55" s="1"/>
  <c r="F30" i="59"/>
  <c r="J30" i="59" s="1"/>
  <c r="L30" i="59" s="1"/>
  <c r="M30" i="59" s="1"/>
  <c r="H24" i="54"/>
  <c r="K24" i="54"/>
  <c r="L24" i="54" s="1"/>
  <c r="H26" i="55"/>
  <c r="K26" i="55"/>
  <c r="L26" i="55" s="1"/>
  <c r="F11" i="55"/>
  <c r="F33" i="59"/>
  <c r="I128" i="8"/>
  <c r="G21" i="43"/>
  <c r="J21" i="43" s="1"/>
  <c r="A243" i="63"/>
  <c r="H238" i="63"/>
  <c r="J147" i="63"/>
  <c r="L147" i="63"/>
  <c r="N147" i="63" s="1"/>
  <c r="O147" i="63" s="1"/>
  <c r="K147" i="63" s="1"/>
  <c r="J117" i="63"/>
  <c r="L117" i="63"/>
  <c r="J108" i="63"/>
  <c r="L108" i="63"/>
  <c r="I13" i="43"/>
  <c r="L13" i="43"/>
  <c r="M13" i="43" s="1"/>
  <c r="I58" i="8"/>
  <c r="H29" i="63"/>
  <c r="L98" i="63"/>
  <c r="J98" i="63"/>
  <c r="L110" i="63"/>
  <c r="N110" i="63" s="1"/>
  <c r="O110" i="63" s="1"/>
  <c r="K110" i="63" s="1"/>
  <c r="J110" i="63"/>
  <c r="L120" i="63"/>
  <c r="J120" i="63"/>
  <c r="L130" i="63"/>
  <c r="N130" i="63" s="1"/>
  <c r="O130" i="63" s="1"/>
  <c r="K130" i="63" s="1"/>
  <c r="J130" i="63"/>
  <c r="L133" i="63"/>
  <c r="J133" i="63"/>
  <c r="F13" i="48"/>
  <c r="H177" i="63"/>
  <c r="M177" i="63" s="1"/>
  <c r="J226" i="63"/>
  <c r="L226" i="63"/>
  <c r="L211" i="63"/>
  <c r="J211" i="63"/>
  <c r="L194" i="63"/>
  <c r="N194" i="63" s="1"/>
  <c r="O194" i="63" s="1"/>
  <c r="K194" i="63" s="1"/>
  <c r="J194" i="63"/>
  <c r="L198" i="63"/>
  <c r="J198" i="63"/>
  <c r="J240" i="63"/>
  <c r="L240" i="63"/>
  <c r="J204" i="63"/>
  <c r="L204" i="63"/>
  <c r="L209" i="63"/>
  <c r="N209" i="63" s="1"/>
  <c r="O209" i="63" s="1"/>
  <c r="K209" i="63" s="1"/>
  <c r="J209" i="63"/>
  <c r="L181" i="63"/>
  <c r="J181" i="63"/>
  <c r="J151" i="63"/>
  <c r="L151" i="63"/>
  <c r="L106" i="63"/>
  <c r="J106" i="63"/>
  <c r="L96" i="63"/>
  <c r="J96" i="63"/>
  <c r="J67" i="63"/>
  <c r="L67" i="63"/>
  <c r="E15" i="45"/>
  <c r="H60" i="63"/>
  <c r="M60" i="63" s="1"/>
  <c r="L38" i="43"/>
  <c r="M38" i="43" s="1"/>
  <c r="I38" i="43"/>
  <c r="I52" i="8"/>
  <c r="D46" i="30"/>
  <c r="I46" i="30" s="1"/>
  <c r="K46" i="30" s="1"/>
  <c r="L46" i="30" s="1"/>
  <c r="F46" i="30" s="1"/>
  <c r="G19" i="40"/>
  <c r="M19" i="40"/>
  <c r="N19" i="40" s="1"/>
  <c r="F30" i="44"/>
  <c r="H40" i="63"/>
  <c r="M40" i="63" s="1"/>
  <c r="J48" i="63"/>
  <c r="L48" i="63"/>
  <c r="F27" i="44"/>
  <c r="I27" i="44" s="1"/>
  <c r="K27" i="44" s="1"/>
  <c r="L27" i="44" s="1"/>
  <c r="H27" i="44" s="1"/>
  <c r="H33" i="63"/>
  <c r="E11" i="45"/>
  <c r="I11" i="45" s="1"/>
  <c r="H56" i="63"/>
  <c r="M56" i="63" s="1"/>
  <c r="L65" i="63"/>
  <c r="J65" i="63"/>
  <c r="L95" i="63"/>
  <c r="N95" i="63" s="1"/>
  <c r="O95" i="63" s="1"/>
  <c r="K95" i="63" s="1"/>
  <c r="J95" i="63"/>
  <c r="L118" i="63"/>
  <c r="J118" i="63"/>
  <c r="J139" i="63"/>
  <c r="L139" i="63"/>
  <c r="J143" i="63"/>
  <c r="L143" i="63"/>
  <c r="J146" i="63"/>
  <c r="L146" i="63"/>
  <c r="L160" i="63"/>
  <c r="J160" i="63"/>
  <c r="E14" i="49"/>
  <c r="H214" i="63"/>
  <c r="M214" i="63" s="1"/>
  <c r="L195" i="63"/>
  <c r="N195" i="63" s="1"/>
  <c r="O195" i="63" s="1"/>
  <c r="K195" i="63" s="1"/>
  <c r="J195" i="63"/>
  <c r="L199" i="63"/>
  <c r="J199" i="63"/>
  <c r="J230" i="63"/>
  <c r="L230" i="63"/>
  <c r="L243" i="63"/>
  <c r="J243" i="63"/>
  <c r="J273" i="63"/>
  <c r="L273" i="63"/>
  <c r="L203" i="63"/>
  <c r="J203" i="63"/>
  <c r="J180" i="63"/>
  <c r="L180" i="63"/>
  <c r="L262" i="63"/>
  <c r="J262" i="63"/>
  <c r="J270" i="63"/>
  <c r="L270" i="63"/>
  <c r="D31" i="35"/>
  <c r="M13" i="51"/>
  <c r="K38" i="35"/>
  <c r="F38" i="35"/>
  <c r="F37" i="35"/>
  <c r="K37" i="35"/>
  <c r="L17" i="33"/>
  <c r="G17" i="33"/>
  <c r="K17" i="33"/>
  <c r="M17" i="33" s="1"/>
  <c r="K40" i="35"/>
  <c r="F40" i="35"/>
  <c r="K25" i="35"/>
  <c r="F25" i="35"/>
  <c r="F41" i="35"/>
  <c r="K41" i="35"/>
  <c r="F24" i="22"/>
  <c r="E11" i="29"/>
  <c r="I11" i="29" s="1"/>
  <c r="E21" i="33"/>
  <c r="M12" i="51"/>
  <c r="D30" i="35"/>
  <c r="J22" i="22"/>
  <c r="D25" i="22"/>
  <c r="L15" i="39"/>
  <c r="N15" i="39" s="1"/>
  <c r="O15" i="39" s="1"/>
  <c r="H15" i="39" s="1"/>
  <c r="F23" i="22"/>
  <c r="L23" i="22"/>
  <c r="M23" i="22" s="1"/>
  <c r="E17" i="17"/>
  <c r="G15" i="15"/>
  <c r="I18" i="5"/>
  <c r="H14" i="7"/>
  <c r="N29" i="39"/>
  <c r="O29" i="39" s="1"/>
  <c r="H29" i="39" s="1"/>
  <c r="K16" i="52"/>
  <c r="K14" i="16"/>
  <c r="G12" i="20"/>
  <c r="J12" i="20"/>
  <c r="K12" i="20" s="1"/>
  <c r="K23" i="52"/>
  <c r="I22" i="5"/>
  <c r="H17" i="7"/>
  <c r="G19" i="15"/>
  <c r="G15" i="27"/>
  <c r="J15" i="27"/>
  <c r="K15" i="27" s="1"/>
  <c r="G14" i="28"/>
  <c r="J14" i="28"/>
  <c r="K14" i="28" s="1"/>
  <c r="G15" i="53"/>
  <c r="G22" i="53" s="1"/>
  <c r="D21" i="40"/>
  <c r="F31" i="44"/>
  <c r="H41" i="63"/>
  <c r="M41" i="63" s="1"/>
  <c r="E15" i="42"/>
  <c r="I15" i="42" s="1"/>
  <c r="N34" i="7"/>
  <c r="I38" i="6"/>
  <c r="M26" i="41"/>
  <c r="F29" i="41"/>
  <c r="H26" i="41"/>
  <c r="J19" i="42"/>
  <c r="K19" i="42" s="1"/>
  <c r="G19" i="42" s="1"/>
  <c r="L19" i="23"/>
  <c r="M19" i="23" s="1"/>
  <c r="F19" i="23"/>
  <c r="F15" i="35"/>
  <c r="K15" i="35"/>
  <c r="H19" i="13"/>
  <c r="D13" i="17" s="1"/>
  <c r="F13" i="17" s="1"/>
  <c r="H13" i="17" s="1"/>
  <c r="G13" i="7"/>
  <c r="H17" i="5"/>
  <c r="H22" i="63"/>
  <c r="M22" i="63" s="1"/>
  <c r="F18" i="44"/>
  <c r="J18" i="44" s="1"/>
  <c r="E23" i="13"/>
  <c r="G18" i="52"/>
  <c r="H83" i="9"/>
  <c r="G12" i="41"/>
  <c r="N12" i="41" s="1"/>
  <c r="F25" i="54"/>
  <c r="I25" i="54" s="1"/>
  <c r="F23" i="54"/>
  <c r="I110" i="8"/>
  <c r="H74" i="9"/>
  <c r="I27" i="52"/>
  <c r="I17" i="16"/>
  <c r="G17" i="16"/>
  <c r="D19" i="35"/>
  <c r="H71" i="9"/>
  <c r="D29" i="13"/>
  <c r="D27" i="13"/>
  <c r="E24" i="40"/>
  <c r="F11" i="27"/>
  <c r="F12" i="27"/>
  <c r="I12" i="27" s="1"/>
  <c r="F21" i="29"/>
  <c r="G11" i="41"/>
  <c r="F13" i="27"/>
  <c r="I13" i="27" s="1"/>
  <c r="D18" i="22"/>
  <c r="J18" i="22" s="1"/>
  <c r="E22" i="15"/>
  <c r="E24" i="15" s="1"/>
  <c r="F16" i="28"/>
  <c r="I28" i="52"/>
  <c r="E20" i="29"/>
  <c r="H20" i="29" s="1"/>
  <c r="J20" i="29" s="1"/>
  <c r="D18" i="19"/>
  <c r="E17" i="16"/>
  <c r="G13" i="41"/>
  <c r="E20" i="35"/>
  <c r="L20" i="35" s="1"/>
  <c r="F26" i="32"/>
  <c r="E26" i="35"/>
  <c r="F18" i="51"/>
  <c r="E17" i="35"/>
  <c r="F27" i="33"/>
  <c r="L27" i="33" s="1"/>
  <c r="F25" i="33"/>
  <c r="E12" i="35"/>
  <c r="E16" i="35"/>
  <c r="E18" i="35"/>
  <c r="L18" i="35" s="1"/>
  <c r="G18" i="51"/>
  <c r="G19" i="51" s="1"/>
  <c r="G24" i="51" s="1"/>
  <c r="H68" i="9"/>
  <c r="F14" i="48"/>
  <c r="I14" i="48" s="1"/>
  <c r="G42" i="43"/>
  <c r="E14" i="46"/>
  <c r="E23" i="46"/>
  <c r="E17" i="49"/>
  <c r="H17" i="49" s="1"/>
  <c r="I101" i="8"/>
  <c r="E18" i="46"/>
  <c r="G14" i="7"/>
  <c r="F37" i="44"/>
  <c r="I37" i="44" s="1"/>
  <c r="D27" i="40"/>
  <c r="L27" i="40" s="1"/>
  <c r="E26" i="40"/>
  <c r="I19" i="8"/>
  <c r="K13" i="29" l="1"/>
  <c r="G13" i="29" s="1"/>
  <c r="I27" i="43"/>
  <c r="D25" i="15"/>
  <c r="M33" i="43"/>
  <c r="I33" i="43" s="1"/>
  <c r="I17" i="48"/>
  <c r="K17" i="48" s="1"/>
  <c r="J17" i="48"/>
  <c r="M40" i="43"/>
  <c r="I40" i="43" s="1"/>
  <c r="M35" i="43"/>
  <c r="I35" i="43" s="1"/>
  <c r="H23" i="46"/>
  <c r="I23" i="46"/>
  <c r="I36" i="44"/>
  <c r="K36" i="44" s="1"/>
  <c r="J36" i="44"/>
  <c r="I38" i="44"/>
  <c r="K38" i="44" s="1"/>
  <c r="J38" i="44"/>
  <c r="L22" i="39"/>
  <c r="N22" i="39" s="1"/>
  <c r="M22" i="39"/>
  <c r="I13" i="48"/>
  <c r="J13" i="48"/>
  <c r="I28" i="44"/>
  <c r="K28" i="44" s="1"/>
  <c r="J28" i="44"/>
  <c r="K13" i="28"/>
  <c r="J14" i="29"/>
  <c r="K14" i="29" s="1"/>
  <c r="N25" i="41"/>
  <c r="I16" i="54"/>
  <c r="K16" i="54" s="1"/>
  <c r="J16" i="54"/>
  <c r="J18" i="23"/>
  <c r="L18" i="23" s="1"/>
  <c r="K18" i="23"/>
  <c r="H14" i="46"/>
  <c r="J14" i="46" s="1"/>
  <c r="I14" i="46"/>
  <c r="I26" i="54"/>
  <c r="K26" i="54" s="1"/>
  <c r="J26" i="54"/>
  <c r="I19" i="48"/>
  <c r="K19" i="48" s="1"/>
  <c r="J19" i="48"/>
  <c r="J33" i="59"/>
  <c r="L33" i="59" s="1"/>
  <c r="K33" i="59"/>
  <c r="I20" i="44"/>
  <c r="K20" i="44" s="1"/>
  <c r="J20" i="44"/>
  <c r="H17" i="45"/>
  <c r="J17" i="45" s="1"/>
  <c r="I17" i="45"/>
  <c r="J29" i="59"/>
  <c r="L29" i="59" s="1"/>
  <c r="K29" i="59"/>
  <c r="F21" i="55"/>
  <c r="J21" i="55" s="1"/>
  <c r="J11" i="55"/>
  <c r="H15" i="47"/>
  <c r="J15" i="47" s="1"/>
  <c r="I15" i="47"/>
  <c r="H21" i="46"/>
  <c r="J21" i="46" s="1"/>
  <c r="I21" i="46"/>
  <c r="H12" i="21"/>
  <c r="I12" i="21"/>
  <c r="I16" i="48"/>
  <c r="K16" i="48" s="1"/>
  <c r="J16" i="48"/>
  <c r="H14" i="45"/>
  <c r="J14" i="45" s="1"/>
  <c r="I14" i="45"/>
  <c r="I15" i="44"/>
  <c r="K15" i="44" s="1"/>
  <c r="J15" i="44"/>
  <c r="M17" i="23"/>
  <c r="F17" i="23" s="1"/>
  <c r="L20" i="39"/>
  <c r="N20" i="39" s="1"/>
  <c r="M20" i="39"/>
  <c r="I32" i="44"/>
  <c r="K32" i="44" s="1"/>
  <c r="J32" i="44"/>
  <c r="H18" i="46"/>
  <c r="J18" i="46" s="1"/>
  <c r="I18" i="46"/>
  <c r="H15" i="45"/>
  <c r="J15" i="45" s="1"/>
  <c r="I15" i="45"/>
  <c r="I23" i="54"/>
  <c r="K23" i="54" s="1"/>
  <c r="J23" i="54"/>
  <c r="H14" i="49"/>
  <c r="J14" i="49" s="1"/>
  <c r="I14" i="49"/>
  <c r="J32" i="59"/>
  <c r="L32" i="59" s="1"/>
  <c r="K32" i="59"/>
  <c r="I35" i="44"/>
  <c r="K35" i="44" s="1"/>
  <c r="J35" i="44"/>
  <c r="I34" i="44"/>
  <c r="K34" i="44" s="1"/>
  <c r="J34" i="44"/>
  <c r="I31" i="44"/>
  <c r="K31" i="44" s="1"/>
  <c r="J31" i="44"/>
  <c r="I30" i="44"/>
  <c r="K30" i="44" s="1"/>
  <c r="J30" i="44"/>
  <c r="I13" i="44"/>
  <c r="J13" i="44"/>
  <c r="I33" i="44"/>
  <c r="K33" i="44" s="1"/>
  <c r="J33" i="44"/>
  <c r="I20" i="48"/>
  <c r="K20" i="48" s="1"/>
  <c r="J20" i="48"/>
  <c r="J27" i="59"/>
  <c r="L27" i="59" s="1"/>
  <c r="K27" i="59"/>
  <c r="I29" i="44"/>
  <c r="J29" i="44"/>
  <c r="O26" i="39"/>
  <c r="G22" i="29"/>
  <c r="H164" i="63"/>
  <c r="M164" i="63" s="1"/>
  <c r="E24" i="32"/>
  <c r="G24" i="32" s="1"/>
  <c r="O28" i="39"/>
  <c r="I19" i="29"/>
  <c r="M30" i="39"/>
  <c r="O30" i="39" s="1"/>
  <c r="H30" i="39" s="1"/>
  <c r="N24" i="41"/>
  <c r="E25" i="15"/>
  <c r="I16" i="44"/>
  <c r="K16" i="44" s="1"/>
  <c r="L16" i="44" s="1"/>
  <c r="H16" i="44" s="1"/>
  <c r="F17" i="44"/>
  <c r="J17" i="44" s="1"/>
  <c r="K32" i="10"/>
  <c r="J32" i="10"/>
  <c r="I23" i="44"/>
  <c r="H23" i="44" s="1"/>
  <c r="F24" i="44"/>
  <c r="C30" i="64"/>
  <c r="F40" i="44"/>
  <c r="I13" i="7"/>
  <c r="H145" i="63"/>
  <c r="E22" i="53"/>
  <c r="J25" i="22"/>
  <c r="L25" i="22" s="1"/>
  <c r="M25" i="22" s="1"/>
  <c r="F25" i="22" s="1"/>
  <c r="C22" i="64"/>
  <c r="E22" i="13"/>
  <c r="H228" i="63"/>
  <c r="I14" i="7"/>
  <c r="H77" i="9"/>
  <c r="N23" i="39"/>
  <c r="O23" i="39" s="1"/>
  <c r="H23" i="39" s="1"/>
  <c r="F19" i="17"/>
  <c r="H19" i="17" s="1"/>
  <c r="I20" i="29"/>
  <c r="K20" i="29" s="1"/>
  <c r="G20" i="29" s="1"/>
  <c r="K15" i="16"/>
  <c r="K16" i="16" s="1"/>
  <c r="G24" i="43"/>
  <c r="J24" i="43" s="1"/>
  <c r="L24" i="43" s="1"/>
  <c r="M24" i="43" s="1"/>
  <c r="I24" i="43" s="1"/>
  <c r="D23" i="13"/>
  <c r="N18" i="33"/>
  <c r="H18" i="33" s="1"/>
  <c r="P18" i="41"/>
  <c r="I18" i="41" s="1"/>
  <c r="L145" i="63"/>
  <c r="N145" i="63" s="1"/>
  <c r="G37" i="7"/>
  <c r="I37" i="7" s="1"/>
  <c r="H43" i="5"/>
  <c r="J43" i="5" s="1"/>
  <c r="K37" i="44"/>
  <c r="L37" i="44" s="1"/>
  <c r="H37" i="44" s="1"/>
  <c r="J17" i="49"/>
  <c r="K17" i="49" s="1"/>
  <c r="G17" i="49"/>
  <c r="J23" i="46"/>
  <c r="E22" i="35"/>
  <c r="F16" i="51"/>
  <c r="F19" i="51" s="1"/>
  <c r="F24" i="51" s="1"/>
  <c r="E34" i="35"/>
  <c r="H32" i="5"/>
  <c r="E11" i="20"/>
  <c r="I11" i="20" s="1"/>
  <c r="G26" i="7"/>
  <c r="I24" i="52"/>
  <c r="I26" i="52" s="1"/>
  <c r="I22" i="16"/>
  <c r="I24" i="16" s="1"/>
  <c r="I25" i="16" s="1"/>
  <c r="D35" i="13"/>
  <c r="H35" i="13"/>
  <c r="D25" i="13"/>
  <c r="I18" i="44"/>
  <c r="L41" i="63"/>
  <c r="N41" i="63" s="1"/>
  <c r="O41" i="63" s="1"/>
  <c r="K41" i="63" s="1"/>
  <c r="J41" i="63"/>
  <c r="M25" i="35"/>
  <c r="N25" i="35" s="1"/>
  <c r="G25" i="35"/>
  <c r="N270" i="63"/>
  <c r="O270" i="63" s="1"/>
  <c r="K270" i="63"/>
  <c r="N180" i="63"/>
  <c r="O180" i="63" s="1"/>
  <c r="K180" i="63"/>
  <c r="N273" i="63"/>
  <c r="O273" i="63" s="1"/>
  <c r="K273" i="63" s="1"/>
  <c r="N230" i="63"/>
  <c r="O230" i="63" s="1"/>
  <c r="K230" i="63" s="1"/>
  <c r="J56" i="63"/>
  <c r="H63" i="63"/>
  <c r="M63" i="63" s="1"/>
  <c r="L56" i="63"/>
  <c r="L40" i="63"/>
  <c r="J40" i="63"/>
  <c r="L60" i="63"/>
  <c r="N60" i="63" s="1"/>
  <c r="O60" i="63" s="1"/>
  <c r="K60" i="63" s="1"/>
  <c r="J60" i="63"/>
  <c r="N151" i="63"/>
  <c r="O151" i="63" s="1"/>
  <c r="K151" i="63" s="1"/>
  <c r="K240" i="63"/>
  <c r="N240" i="63"/>
  <c r="O240" i="63" s="1"/>
  <c r="K226" i="63"/>
  <c r="N226" i="63"/>
  <c r="O226" i="63" s="1"/>
  <c r="N108" i="63"/>
  <c r="O108" i="63" s="1"/>
  <c r="K108" i="63"/>
  <c r="L21" i="43"/>
  <c r="M21" i="43" s="1"/>
  <c r="I21" i="43"/>
  <c r="K14" i="44"/>
  <c r="L14" i="44" s="1"/>
  <c r="H14" i="44"/>
  <c r="J34" i="13"/>
  <c r="I14" i="5"/>
  <c r="F29" i="35"/>
  <c r="D42" i="35"/>
  <c r="K29" i="35"/>
  <c r="N112" i="63"/>
  <c r="O112" i="63" s="1"/>
  <c r="K112" i="63" s="1"/>
  <c r="N236" i="63"/>
  <c r="O236" i="63" s="1"/>
  <c r="K236" i="63"/>
  <c r="N123" i="63"/>
  <c r="O123" i="63" s="1"/>
  <c r="K123" i="63" s="1"/>
  <c r="K68" i="63"/>
  <c r="N68" i="63"/>
  <c r="O68" i="63" s="1"/>
  <c r="N121" i="63"/>
  <c r="O121" i="63" s="1"/>
  <c r="K121" i="63" s="1"/>
  <c r="N233" i="63"/>
  <c r="O233" i="63" s="1"/>
  <c r="K233" i="63" s="1"/>
  <c r="K161" i="63"/>
  <c r="N161" i="63"/>
  <c r="O161" i="63" s="1"/>
  <c r="K136" i="63"/>
  <c r="N136" i="63"/>
  <c r="O136" i="63" s="1"/>
  <c r="K105" i="63"/>
  <c r="N105" i="63"/>
  <c r="O105" i="63" s="1"/>
  <c r="N225" i="63"/>
  <c r="O225" i="63" s="1"/>
  <c r="K225" i="63"/>
  <c r="N234" i="63"/>
  <c r="O234" i="63" s="1"/>
  <c r="K234" i="63" s="1"/>
  <c r="J245" i="63"/>
  <c r="L245" i="63"/>
  <c r="N245" i="63" s="1"/>
  <c r="O245" i="63" s="1"/>
  <c r="K245" i="63" s="1"/>
  <c r="K16" i="63"/>
  <c r="N16" i="63"/>
  <c r="O16" i="63" s="1"/>
  <c r="L18" i="63"/>
  <c r="J18" i="63"/>
  <c r="J23" i="63"/>
  <c r="L23" i="63"/>
  <c r="M22" i="33"/>
  <c r="N22" i="33" s="1"/>
  <c r="H22" i="33"/>
  <c r="J12" i="21"/>
  <c r="J45" i="63"/>
  <c r="L45" i="63"/>
  <c r="N45" i="63" s="1"/>
  <c r="O45" i="63" s="1"/>
  <c r="K45" i="63" s="1"/>
  <c r="K18" i="52"/>
  <c r="O25" i="39"/>
  <c r="H25" i="39" s="1"/>
  <c r="N207" i="63"/>
  <c r="O207" i="63" s="1"/>
  <c r="K207" i="63" s="1"/>
  <c r="J35" i="63"/>
  <c r="L35" i="63"/>
  <c r="F13" i="40"/>
  <c r="K13" i="40"/>
  <c r="N239" i="63"/>
  <c r="O239" i="63" s="1"/>
  <c r="K239" i="63"/>
  <c r="H11" i="46"/>
  <c r="J11" i="46" s="1"/>
  <c r="K11" i="46" s="1"/>
  <c r="G11" i="46" s="1"/>
  <c r="K26" i="44"/>
  <c r="L26" i="44" s="1"/>
  <c r="H26" i="44" s="1"/>
  <c r="N72" i="63"/>
  <c r="O72" i="63" s="1"/>
  <c r="K72" i="63" s="1"/>
  <c r="N131" i="63"/>
  <c r="O131" i="63" s="1"/>
  <c r="K131" i="63" s="1"/>
  <c r="H18" i="54"/>
  <c r="K18" i="54"/>
  <c r="L18" i="54" s="1"/>
  <c r="J237" i="63"/>
  <c r="L237" i="63"/>
  <c r="N153" i="63"/>
  <c r="O153" i="63" s="1"/>
  <c r="K153" i="63"/>
  <c r="N134" i="63"/>
  <c r="O134" i="63" s="1"/>
  <c r="K134" i="63" s="1"/>
  <c r="J12" i="47"/>
  <c r="K12" i="47" s="1"/>
  <c r="G12" i="47" s="1"/>
  <c r="J13" i="45"/>
  <c r="K13" i="45" s="1"/>
  <c r="G13" i="45" s="1"/>
  <c r="N109" i="63"/>
  <c r="O109" i="63" s="1"/>
  <c r="K109" i="63" s="1"/>
  <c r="N128" i="63"/>
  <c r="O128" i="63" s="1"/>
  <c r="K128" i="63" s="1"/>
  <c r="L14" i="63"/>
  <c r="J14" i="63"/>
  <c r="J27" i="63"/>
  <c r="L27" i="63"/>
  <c r="F12" i="17"/>
  <c r="D16" i="17"/>
  <c r="I27" i="41"/>
  <c r="O27" i="41"/>
  <c r="P27" i="41" s="1"/>
  <c r="J183" i="63"/>
  <c r="L183" i="63"/>
  <c r="H24" i="41"/>
  <c r="M24" i="41"/>
  <c r="H36" i="7"/>
  <c r="M23" i="33"/>
  <c r="N23" i="33" s="1"/>
  <c r="H23" i="33"/>
  <c r="K263" i="63"/>
  <c r="N263" i="63"/>
  <c r="O263" i="63" s="1"/>
  <c r="K220" i="63"/>
  <c r="N220" i="63"/>
  <c r="O220" i="63" s="1"/>
  <c r="N155" i="63"/>
  <c r="O155" i="63" s="1"/>
  <c r="K155" i="63" s="1"/>
  <c r="L29" i="43"/>
  <c r="M29" i="43" s="1"/>
  <c r="I29" i="43"/>
  <c r="L271" i="63"/>
  <c r="N271" i="63" s="1"/>
  <c r="O271" i="63" s="1"/>
  <c r="K271" i="63" s="1"/>
  <c r="J271" i="63"/>
  <c r="K189" i="63"/>
  <c r="N189" i="63"/>
  <c r="O189" i="63" s="1"/>
  <c r="K29" i="44"/>
  <c r="K22" i="44"/>
  <c r="L22" i="44" s="1"/>
  <c r="H22" i="44" s="1"/>
  <c r="M18" i="40"/>
  <c r="N18" i="40" s="1"/>
  <c r="G18" i="40"/>
  <c r="H14" i="48"/>
  <c r="K14" i="48"/>
  <c r="L14" i="48" s="1"/>
  <c r="D11" i="22"/>
  <c r="K11" i="22" s="1"/>
  <c r="E24" i="52"/>
  <c r="E26" i="52" s="1"/>
  <c r="E22" i="16"/>
  <c r="E24" i="16" s="1"/>
  <c r="E25" i="16" s="1"/>
  <c r="I16" i="28"/>
  <c r="F17" i="28"/>
  <c r="L18" i="22"/>
  <c r="M18" i="22" s="1"/>
  <c r="F18" i="22"/>
  <c r="E28" i="52"/>
  <c r="E22" i="19"/>
  <c r="E35" i="13"/>
  <c r="E33" i="13" s="1"/>
  <c r="D28" i="13"/>
  <c r="E21" i="19"/>
  <c r="E27" i="52"/>
  <c r="I29" i="52"/>
  <c r="H16" i="5"/>
  <c r="G12" i="7"/>
  <c r="I12" i="7" s="1"/>
  <c r="H28" i="63"/>
  <c r="M28" i="63" s="1"/>
  <c r="J22" i="63"/>
  <c r="L22" i="63"/>
  <c r="G15" i="35"/>
  <c r="M15" i="35"/>
  <c r="N15" i="35" s="1"/>
  <c r="H29" i="41"/>
  <c r="M29" i="41"/>
  <c r="G41" i="35"/>
  <c r="M41" i="35"/>
  <c r="N41" i="35" s="1"/>
  <c r="G38" i="35"/>
  <c r="M38" i="35"/>
  <c r="N38" i="35" s="1"/>
  <c r="K160" i="63"/>
  <c r="N160" i="63"/>
  <c r="O160" i="63" s="1"/>
  <c r="N143" i="63"/>
  <c r="O143" i="63" s="1"/>
  <c r="K143" i="63"/>
  <c r="E18" i="45"/>
  <c r="I18" i="45" s="1"/>
  <c r="H11" i="45"/>
  <c r="K96" i="63"/>
  <c r="N96" i="63"/>
  <c r="O96" i="63" s="1"/>
  <c r="N133" i="63"/>
  <c r="O133" i="63" s="1"/>
  <c r="K133" i="63" s="1"/>
  <c r="N120" i="63"/>
  <c r="O120" i="63" s="1"/>
  <c r="K120" i="63" s="1"/>
  <c r="K98" i="63"/>
  <c r="N98" i="63"/>
  <c r="O98" i="63" s="1"/>
  <c r="K30" i="55"/>
  <c r="L30" i="55" s="1"/>
  <c r="H30" i="55"/>
  <c r="L15" i="63"/>
  <c r="J15" i="63"/>
  <c r="M23" i="40"/>
  <c r="N23" i="40" s="1"/>
  <c r="G23" i="40" s="1"/>
  <c r="O21" i="41"/>
  <c r="P21" i="41" s="1"/>
  <c r="I21" i="41"/>
  <c r="E14" i="42"/>
  <c r="H12" i="42"/>
  <c r="N103" i="63"/>
  <c r="O103" i="63" s="1"/>
  <c r="K103" i="63" s="1"/>
  <c r="I22" i="41"/>
  <c r="O22" i="41"/>
  <c r="P22" i="41" s="1"/>
  <c r="G20" i="21"/>
  <c r="J20" i="21"/>
  <c r="K20" i="21" s="1"/>
  <c r="H10" i="7"/>
  <c r="G39" i="35"/>
  <c r="M39" i="35"/>
  <c r="N39" i="35" s="1"/>
  <c r="K23" i="35"/>
  <c r="F23" i="35"/>
  <c r="G27" i="35"/>
  <c r="M27" i="35"/>
  <c r="N27" i="35" s="1"/>
  <c r="K261" i="63"/>
  <c r="N261" i="63"/>
  <c r="O261" i="63" s="1"/>
  <c r="K191" i="63"/>
  <c r="N191" i="63"/>
  <c r="O191" i="63" s="1"/>
  <c r="N119" i="63"/>
  <c r="O119" i="63" s="1"/>
  <c r="K119" i="63"/>
  <c r="N99" i="63"/>
  <c r="O99" i="63" s="1"/>
  <c r="K99" i="63" s="1"/>
  <c r="G12" i="45"/>
  <c r="J12" i="45"/>
  <c r="K12" i="45" s="1"/>
  <c r="N116" i="63"/>
  <c r="O116" i="63" s="1"/>
  <c r="K116" i="63"/>
  <c r="N97" i="63"/>
  <c r="O97" i="63" s="1"/>
  <c r="K97" i="63"/>
  <c r="N71" i="63"/>
  <c r="O71" i="63" s="1"/>
  <c r="K71" i="63" s="1"/>
  <c r="N50" i="63"/>
  <c r="O50" i="63" s="1"/>
  <c r="K50" i="63"/>
  <c r="L34" i="63"/>
  <c r="N34" i="63" s="1"/>
  <c r="O34" i="63" s="1"/>
  <c r="K34" i="63" s="1"/>
  <c r="J34" i="63"/>
  <c r="N206" i="63"/>
  <c r="O206" i="63" s="1"/>
  <c r="K206" i="63"/>
  <c r="K22" i="55"/>
  <c r="L22" i="55" s="1"/>
  <c r="H22" i="55"/>
  <c r="K21" i="44"/>
  <c r="L21" i="44" s="1"/>
  <c r="H21" i="44"/>
  <c r="G15" i="40"/>
  <c r="M15" i="40"/>
  <c r="N15" i="40" s="1"/>
  <c r="I16" i="41"/>
  <c r="O16" i="41"/>
  <c r="P16" i="41" s="1"/>
  <c r="I28" i="41"/>
  <c r="O28" i="41"/>
  <c r="P28" i="41" s="1"/>
  <c r="G18" i="28"/>
  <c r="J18" i="28"/>
  <c r="K18" i="28" s="1"/>
  <c r="K51" i="63"/>
  <c r="N51" i="63"/>
  <c r="O51" i="63" s="1"/>
  <c r="N13" i="33"/>
  <c r="H13" i="33" s="1"/>
  <c r="K235" i="63"/>
  <c r="N235" i="63"/>
  <c r="O235" i="63" s="1"/>
  <c r="N227" i="63"/>
  <c r="O227" i="63" s="1"/>
  <c r="K227" i="63" s="1"/>
  <c r="L257" i="63"/>
  <c r="J257" i="63"/>
  <c r="H265" i="63"/>
  <c r="M265" i="63" s="1"/>
  <c r="N231" i="63"/>
  <c r="O231" i="63" s="1"/>
  <c r="K231" i="63" s="1"/>
  <c r="K216" i="63"/>
  <c r="N216" i="63"/>
  <c r="O216" i="63" s="1"/>
  <c r="K137" i="63"/>
  <c r="N137" i="63"/>
  <c r="O137" i="63" s="1"/>
  <c r="K132" i="63"/>
  <c r="N132" i="63"/>
  <c r="O132" i="63" s="1"/>
  <c r="J47" i="63"/>
  <c r="L47" i="63"/>
  <c r="G31" i="43"/>
  <c r="G41" i="43" s="1"/>
  <c r="J25" i="43"/>
  <c r="L32" i="63"/>
  <c r="J32" i="63"/>
  <c r="L182" i="63"/>
  <c r="N182" i="63" s="1"/>
  <c r="O182" i="63" s="1"/>
  <c r="K182" i="63" s="1"/>
  <c r="J182" i="63"/>
  <c r="J258" i="63"/>
  <c r="L258" i="63"/>
  <c r="K13" i="54"/>
  <c r="L13" i="54" s="1"/>
  <c r="H13" i="54"/>
  <c r="K212" i="63"/>
  <c r="N212" i="63"/>
  <c r="O212" i="63" s="1"/>
  <c r="N222" i="63"/>
  <c r="O222" i="63" s="1"/>
  <c r="K222" i="63"/>
  <c r="J59" i="63"/>
  <c r="L59" i="63"/>
  <c r="N59" i="63" s="1"/>
  <c r="O59" i="63" s="1"/>
  <c r="K59" i="63" s="1"/>
  <c r="L152" i="63"/>
  <c r="J152" i="63"/>
  <c r="L58" i="63"/>
  <c r="J58" i="63"/>
  <c r="N74" i="63"/>
  <c r="O74" i="63" s="1"/>
  <c r="K74" i="63"/>
  <c r="J187" i="63"/>
  <c r="L187" i="63"/>
  <c r="N187" i="63" s="1"/>
  <c r="O187" i="63" s="1"/>
  <c r="K187" i="63" s="1"/>
  <c r="L20" i="63"/>
  <c r="J20" i="63"/>
  <c r="H21" i="63"/>
  <c r="N25" i="63"/>
  <c r="O25" i="63" s="1"/>
  <c r="K25" i="63"/>
  <c r="I23" i="55"/>
  <c r="F33" i="55"/>
  <c r="H17" i="13"/>
  <c r="O20" i="41"/>
  <c r="P20" i="41" s="1"/>
  <c r="I20" i="41"/>
  <c r="H17" i="27"/>
  <c r="J24" i="29"/>
  <c r="K24" i="29" s="1"/>
  <c r="G24" i="29"/>
  <c r="K36" i="35"/>
  <c r="F36" i="35"/>
  <c r="L274" i="63"/>
  <c r="J274" i="63"/>
  <c r="N268" i="63"/>
  <c r="O268" i="63" s="1"/>
  <c r="K268" i="63" s="1"/>
  <c r="K70" i="63"/>
  <c r="N70" i="63"/>
  <c r="O70" i="63" s="1"/>
  <c r="N149" i="63"/>
  <c r="O149" i="63" s="1"/>
  <c r="K149" i="63" s="1"/>
  <c r="H20" i="55"/>
  <c r="K20" i="55"/>
  <c r="L20" i="55" s="1"/>
  <c r="N159" i="63"/>
  <c r="O159" i="63" s="1"/>
  <c r="K159" i="63"/>
  <c r="N140" i="63"/>
  <c r="O140" i="63" s="1"/>
  <c r="K140" i="63" s="1"/>
  <c r="L42" i="63"/>
  <c r="J42" i="63"/>
  <c r="L39" i="63"/>
  <c r="J39" i="63"/>
  <c r="K126" i="63"/>
  <c r="N126" i="63"/>
  <c r="O126" i="63" s="1"/>
  <c r="N202" i="63"/>
  <c r="O202" i="63" s="1"/>
  <c r="K202" i="63" s="1"/>
  <c r="L17" i="63"/>
  <c r="J17" i="63"/>
  <c r="J26" i="63"/>
  <c r="L26" i="63"/>
  <c r="F22" i="54"/>
  <c r="J22" i="54" s="1"/>
  <c r="L25" i="33"/>
  <c r="F28" i="33"/>
  <c r="L26" i="35"/>
  <c r="E28" i="35"/>
  <c r="D18" i="53"/>
  <c r="G29" i="7"/>
  <c r="H35" i="5"/>
  <c r="G17" i="41"/>
  <c r="N11" i="41"/>
  <c r="H18" i="53"/>
  <c r="H22" i="53" s="1"/>
  <c r="I11" i="27"/>
  <c r="G24" i="52"/>
  <c r="G26" i="52" s="1"/>
  <c r="G31" i="52" s="1"/>
  <c r="G22" i="16"/>
  <c r="G24" i="16" s="1"/>
  <c r="G25" i="16" s="1"/>
  <c r="H25" i="54"/>
  <c r="K25" i="54"/>
  <c r="L25" i="54" s="1"/>
  <c r="F23" i="59"/>
  <c r="J23" i="59" s="1"/>
  <c r="L23" i="59" s="1"/>
  <c r="M23" i="59" s="1"/>
  <c r="F15" i="48"/>
  <c r="I15" i="48" s="1"/>
  <c r="J20" i="13"/>
  <c r="J17" i="5"/>
  <c r="I26" i="41"/>
  <c r="O26" i="41"/>
  <c r="P26" i="41" s="1"/>
  <c r="L22" i="22"/>
  <c r="M22" i="22" s="1"/>
  <c r="F22" i="22" s="1"/>
  <c r="H11" i="29"/>
  <c r="J11" i="29" s="1"/>
  <c r="K11" i="29" s="1"/>
  <c r="G11" i="29" s="1"/>
  <c r="M40" i="35"/>
  <c r="N40" i="35" s="1"/>
  <c r="G40" i="35"/>
  <c r="M37" i="35"/>
  <c r="N37" i="35" s="1"/>
  <c r="G37" i="35"/>
  <c r="L214" i="63"/>
  <c r="N214" i="63" s="1"/>
  <c r="O214" i="63" s="1"/>
  <c r="K214" i="63" s="1"/>
  <c r="J214" i="63"/>
  <c r="N118" i="63"/>
  <c r="O118" i="63" s="1"/>
  <c r="K118" i="63"/>
  <c r="N65" i="63"/>
  <c r="O65" i="63" s="1"/>
  <c r="K65" i="63" s="1"/>
  <c r="J33" i="63"/>
  <c r="L33" i="63"/>
  <c r="N33" i="63" s="1"/>
  <c r="O33" i="63" s="1"/>
  <c r="K33" i="63" s="1"/>
  <c r="N48" i="63"/>
  <c r="O48" i="63" s="1"/>
  <c r="K48" i="63" s="1"/>
  <c r="N67" i="63"/>
  <c r="O67" i="63" s="1"/>
  <c r="K67" i="63" s="1"/>
  <c r="N204" i="63"/>
  <c r="O204" i="63" s="1"/>
  <c r="K204" i="63" s="1"/>
  <c r="J177" i="63"/>
  <c r="L177" i="63"/>
  <c r="L29" i="63"/>
  <c r="J29" i="63"/>
  <c r="H30" i="63"/>
  <c r="K117" i="63"/>
  <c r="N117" i="63"/>
  <c r="O117" i="63" s="1"/>
  <c r="J238" i="63"/>
  <c r="L238" i="63"/>
  <c r="H18" i="5"/>
  <c r="N36" i="7"/>
  <c r="G17" i="29"/>
  <c r="J17" i="29"/>
  <c r="K17" i="29" s="1"/>
  <c r="E20" i="33"/>
  <c r="G19" i="33"/>
  <c r="K19" i="33"/>
  <c r="M19" i="33" s="1"/>
  <c r="N19" i="33" s="1"/>
  <c r="H19" i="33" s="1"/>
  <c r="M24" i="33"/>
  <c r="N24" i="33" s="1"/>
  <c r="H24" i="33"/>
  <c r="K260" i="63"/>
  <c r="N260" i="63"/>
  <c r="O260" i="63" s="1"/>
  <c r="K52" i="63"/>
  <c r="N52" i="63"/>
  <c r="O52" i="63" s="1"/>
  <c r="J57" i="63"/>
  <c r="L57" i="63"/>
  <c r="K221" i="63"/>
  <c r="N221" i="63"/>
  <c r="O221" i="63" s="1"/>
  <c r="K208" i="63"/>
  <c r="N208" i="63"/>
  <c r="O208" i="63" s="1"/>
  <c r="K241" i="63"/>
  <c r="N241" i="63"/>
  <c r="O241" i="63" s="1"/>
  <c r="H55" i="63"/>
  <c r="M55" i="63" s="1"/>
  <c r="L54" i="63"/>
  <c r="N54" i="63" s="1"/>
  <c r="O54" i="63" s="1"/>
  <c r="K54" i="63" s="1"/>
  <c r="J54" i="63"/>
  <c r="K38" i="63"/>
  <c r="N38" i="63"/>
  <c r="O38" i="63" s="1"/>
  <c r="L24" i="63"/>
  <c r="J24" i="63"/>
  <c r="I43" i="8"/>
  <c r="J19" i="29"/>
  <c r="H11" i="28"/>
  <c r="M13" i="35"/>
  <c r="N13" i="35" s="1"/>
  <c r="G13" i="35" s="1"/>
  <c r="H15" i="33"/>
  <c r="M15" i="33"/>
  <c r="N15" i="33" s="1"/>
  <c r="M35" i="35"/>
  <c r="N35" i="35" s="1"/>
  <c r="G35" i="35"/>
  <c r="K17" i="54"/>
  <c r="L17" i="54" s="1"/>
  <c r="H17" i="54"/>
  <c r="K179" i="63"/>
  <c r="N179" i="63"/>
  <c r="O179" i="63" s="1"/>
  <c r="K158" i="63"/>
  <c r="N158" i="63"/>
  <c r="O158" i="63" s="1"/>
  <c r="K39" i="44"/>
  <c r="L39" i="44" s="1"/>
  <c r="H39" i="44"/>
  <c r="J16" i="45"/>
  <c r="K16" i="45" s="1"/>
  <c r="G16" i="45" s="1"/>
  <c r="I12" i="48"/>
  <c r="N219" i="63"/>
  <c r="O219" i="63" s="1"/>
  <c r="K219" i="63"/>
  <c r="N125" i="63"/>
  <c r="O125" i="63" s="1"/>
  <c r="K125" i="63" s="1"/>
  <c r="I25" i="44"/>
  <c r="N104" i="63"/>
  <c r="O104" i="63" s="1"/>
  <c r="K104" i="63" s="1"/>
  <c r="N138" i="63"/>
  <c r="O138" i="63" s="1"/>
  <c r="K138" i="63" s="1"/>
  <c r="J15" i="49"/>
  <c r="K15" i="49" s="1"/>
  <c r="G15" i="49"/>
  <c r="I11" i="44"/>
  <c r="E25" i="40"/>
  <c r="I11" i="7"/>
  <c r="M25" i="41"/>
  <c r="O25" i="41" s="1"/>
  <c r="P25" i="41" s="1"/>
  <c r="I25" i="41" s="1"/>
  <c r="H25" i="41"/>
  <c r="N188" i="63"/>
  <c r="O188" i="63" s="1"/>
  <c r="K188" i="63" s="1"/>
  <c r="G31" i="13"/>
  <c r="G30" i="13" s="1"/>
  <c r="J30" i="13"/>
  <c r="K30" i="13" s="1"/>
  <c r="M21" i="35"/>
  <c r="N21" i="35" s="1"/>
  <c r="G21" i="35"/>
  <c r="I42" i="5"/>
  <c r="H14" i="33"/>
  <c r="M14" i="33"/>
  <c r="N14" i="33" s="1"/>
  <c r="M26" i="33"/>
  <c r="N26" i="33" s="1"/>
  <c r="H26" i="33"/>
  <c r="K73" i="63"/>
  <c r="N73" i="63"/>
  <c r="O73" i="63" s="1"/>
  <c r="N107" i="63"/>
  <c r="O107" i="63" s="1"/>
  <c r="K107" i="63" s="1"/>
  <c r="H15" i="54"/>
  <c r="K15" i="54"/>
  <c r="L15" i="54" s="1"/>
  <c r="N150" i="63"/>
  <c r="O150" i="63" s="1"/>
  <c r="K150" i="63" s="1"/>
  <c r="N113" i="63"/>
  <c r="O113" i="63" s="1"/>
  <c r="K113" i="63" s="1"/>
  <c r="N69" i="63"/>
  <c r="O69" i="63" s="1"/>
  <c r="K69" i="63"/>
  <c r="N49" i="63"/>
  <c r="O49" i="63" s="1"/>
  <c r="K49" i="63"/>
  <c r="J17" i="43"/>
  <c r="F27" i="40"/>
  <c r="K27" i="40"/>
  <c r="D15" i="53"/>
  <c r="K19" i="35"/>
  <c r="F19" i="35"/>
  <c r="N37" i="7"/>
  <c r="I40" i="6"/>
  <c r="F23" i="29"/>
  <c r="F25" i="29" s="1"/>
  <c r="H15" i="42"/>
  <c r="F21" i="40"/>
  <c r="K21" i="40"/>
  <c r="F30" i="35"/>
  <c r="K30" i="35"/>
  <c r="G21" i="33"/>
  <c r="K21" i="33"/>
  <c r="N17" i="33"/>
  <c r="H17" i="33" s="1"/>
  <c r="K31" i="35"/>
  <c r="F31" i="35"/>
  <c r="N262" i="63"/>
  <c r="O262" i="63" s="1"/>
  <c r="K262" i="63" s="1"/>
  <c r="N203" i="63"/>
  <c r="O203" i="63" s="1"/>
  <c r="K203" i="63" s="1"/>
  <c r="N243" i="63"/>
  <c r="O243" i="63" s="1"/>
  <c r="K243" i="63" s="1"/>
  <c r="N199" i="63"/>
  <c r="O199" i="63" s="1"/>
  <c r="K199" i="63" s="1"/>
  <c r="N146" i="63"/>
  <c r="O146" i="63" s="1"/>
  <c r="K146" i="63" s="1"/>
  <c r="N139" i="63"/>
  <c r="O139" i="63" s="1"/>
  <c r="K139" i="63" s="1"/>
  <c r="N106" i="63"/>
  <c r="O106" i="63" s="1"/>
  <c r="K106" i="63" s="1"/>
  <c r="K181" i="63"/>
  <c r="N181" i="63"/>
  <c r="O181" i="63" s="1"/>
  <c r="K198" i="63"/>
  <c r="N198" i="63"/>
  <c r="O198" i="63" s="1"/>
  <c r="N211" i="63"/>
  <c r="O211" i="63" s="1"/>
  <c r="K211" i="63" s="1"/>
  <c r="K13" i="48"/>
  <c r="I11" i="55"/>
  <c r="L18" i="43"/>
  <c r="M18" i="43" s="1"/>
  <c r="I18" i="43" s="1"/>
  <c r="F21" i="42"/>
  <c r="I15" i="41"/>
  <c r="O15" i="41"/>
  <c r="P15" i="41" s="1"/>
  <c r="I39" i="6"/>
  <c r="O14" i="41"/>
  <c r="P14" i="41" s="1"/>
  <c r="I14" i="41"/>
  <c r="G16" i="15"/>
  <c r="N19" i="39"/>
  <c r="O19" i="39" s="1"/>
  <c r="H19" i="39"/>
  <c r="N205" i="63"/>
  <c r="O205" i="63" s="1"/>
  <c r="K205" i="63" s="1"/>
  <c r="N201" i="63"/>
  <c r="O201" i="63" s="1"/>
  <c r="K201" i="63" s="1"/>
  <c r="N224" i="63"/>
  <c r="O224" i="63" s="1"/>
  <c r="K224" i="63" s="1"/>
  <c r="N100" i="63"/>
  <c r="O100" i="63" s="1"/>
  <c r="K100" i="63" s="1"/>
  <c r="N36" i="63"/>
  <c r="O36" i="63" s="1"/>
  <c r="K36" i="63"/>
  <c r="J129" i="63"/>
  <c r="L129" i="63"/>
  <c r="N129" i="63" s="1"/>
  <c r="O129" i="63" s="1"/>
  <c r="K129" i="63" s="1"/>
  <c r="K217" i="63"/>
  <c r="N217" i="63"/>
  <c r="O217" i="63" s="1"/>
  <c r="N232" i="63"/>
  <c r="O232" i="63" s="1"/>
  <c r="K232" i="63"/>
  <c r="N66" i="63"/>
  <c r="O66" i="63" s="1"/>
  <c r="K66" i="63" s="1"/>
  <c r="L30" i="43"/>
  <c r="M30" i="43" s="1"/>
  <c r="I30" i="43"/>
  <c r="N75" i="63"/>
  <c r="O75" i="63" s="1"/>
  <c r="K75" i="63"/>
  <c r="N269" i="63"/>
  <c r="O269" i="63" s="1"/>
  <c r="K269" i="63"/>
  <c r="F23" i="17"/>
  <c r="M14" i="35"/>
  <c r="N14" i="35" s="1"/>
  <c r="G14" i="35"/>
  <c r="I20" i="43"/>
  <c r="L20" i="43"/>
  <c r="M20" i="43" s="1"/>
  <c r="K33" i="35"/>
  <c r="F33" i="35"/>
  <c r="E21" i="22"/>
  <c r="K32" i="35"/>
  <c r="F32" i="35"/>
  <c r="M16" i="33"/>
  <c r="N16" i="33" s="1"/>
  <c r="H16" i="33"/>
  <c r="N186" i="63"/>
  <c r="O186" i="63" s="1"/>
  <c r="K186" i="63" s="1"/>
  <c r="K197" i="63"/>
  <c r="N197" i="63"/>
  <c r="O197" i="63" s="1"/>
  <c r="N218" i="63"/>
  <c r="O218" i="63" s="1"/>
  <c r="K218" i="63"/>
  <c r="N162" i="63"/>
  <c r="O162" i="63" s="1"/>
  <c r="K162" i="63" s="1"/>
  <c r="N135" i="63"/>
  <c r="O135" i="63" s="1"/>
  <c r="K135" i="63" s="1"/>
  <c r="J64" i="63"/>
  <c r="L64" i="63"/>
  <c r="N64" i="63" s="1"/>
  <c r="O64" i="63" s="1"/>
  <c r="K64" i="63" s="1"/>
  <c r="J43" i="63"/>
  <c r="L43" i="63"/>
  <c r="L61" i="63"/>
  <c r="J61" i="63"/>
  <c r="J176" i="63"/>
  <c r="H192" i="63"/>
  <c r="M192" i="63" s="1"/>
  <c r="L176" i="63"/>
  <c r="K264" i="63"/>
  <c r="N264" i="63"/>
  <c r="O264" i="63" s="1"/>
  <c r="N156" i="63"/>
  <c r="O156" i="63" s="1"/>
  <c r="K156" i="63" s="1"/>
  <c r="L46" i="63"/>
  <c r="J46" i="63"/>
  <c r="H53" i="63"/>
  <c r="M53" i="63" s="1"/>
  <c r="J31" i="63"/>
  <c r="L31" i="63"/>
  <c r="L62" i="63"/>
  <c r="N62" i="63" s="1"/>
  <c r="O62" i="63" s="1"/>
  <c r="K62" i="63" s="1"/>
  <c r="J62" i="63"/>
  <c r="J215" i="63"/>
  <c r="L215" i="63"/>
  <c r="L13" i="63"/>
  <c r="N13" i="63" s="1"/>
  <c r="O13" i="63" s="1"/>
  <c r="K13" i="63" s="1"/>
  <c r="H19" i="63"/>
  <c r="M19" i="63" s="1"/>
  <c r="J13" i="63"/>
  <c r="K13" i="44"/>
  <c r="L13" i="44" s="1"/>
  <c r="H13" i="44" s="1"/>
  <c r="H32" i="55"/>
  <c r="K32" i="55"/>
  <c r="L32" i="55" s="1"/>
  <c r="J18" i="13"/>
  <c r="J15" i="5"/>
  <c r="M24" i="35"/>
  <c r="N24" i="35" s="1"/>
  <c r="G24" i="35" s="1"/>
  <c r="G19" i="32"/>
  <c r="G19" i="27"/>
  <c r="J19" i="27"/>
  <c r="K19" i="27" s="1"/>
  <c r="N12" i="33"/>
  <c r="H12" i="33" s="1"/>
  <c r="N115" i="63"/>
  <c r="O115" i="63" s="1"/>
  <c r="K115" i="63"/>
  <c r="K272" i="63"/>
  <c r="N272" i="63"/>
  <c r="O272" i="63" s="1"/>
  <c r="J184" i="63"/>
  <c r="L184" i="63"/>
  <c r="N184" i="63" s="1"/>
  <c r="O184" i="63" s="1"/>
  <c r="K184" i="63" s="1"/>
  <c r="L244" i="63"/>
  <c r="J244" i="63"/>
  <c r="K210" i="63"/>
  <c r="N210" i="63"/>
  <c r="O210" i="63" s="1"/>
  <c r="L163" i="63"/>
  <c r="J163" i="63"/>
  <c r="N102" i="63"/>
  <c r="O102" i="63" s="1"/>
  <c r="K102" i="63"/>
  <c r="L44" i="63"/>
  <c r="J44" i="63"/>
  <c r="J185" i="63"/>
  <c r="L185" i="63"/>
  <c r="N185" i="63" s="1"/>
  <c r="O185" i="63" s="1"/>
  <c r="K185" i="63" s="1"/>
  <c r="N229" i="63"/>
  <c r="O229" i="63" s="1"/>
  <c r="K229" i="63"/>
  <c r="N178" i="63"/>
  <c r="O178" i="63" s="1"/>
  <c r="K178" i="63"/>
  <c r="K259" i="63"/>
  <c r="N259" i="63"/>
  <c r="O259" i="63" s="1"/>
  <c r="L11" i="43"/>
  <c r="M11" i="43" s="1"/>
  <c r="I11" i="43" s="1"/>
  <c r="H23" i="13"/>
  <c r="F10" i="56"/>
  <c r="H44" i="9"/>
  <c r="D25" i="40"/>
  <c r="I55" i="8"/>
  <c r="K17" i="16"/>
  <c r="I34" i="8"/>
  <c r="D24" i="40"/>
  <c r="F14" i="54"/>
  <c r="E20" i="46"/>
  <c r="E16" i="46"/>
  <c r="I88" i="8"/>
  <c r="E15" i="46"/>
  <c r="G43" i="43"/>
  <c r="J43" i="43" s="1"/>
  <c r="D17" i="40"/>
  <c r="L17" i="40" s="1"/>
  <c r="D13" i="19"/>
  <c r="F24" i="59"/>
  <c r="J24" i="59" s="1"/>
  <c r="L24" i="59" s="1"/>
  <c r="M24" i="59" s="1"/>
  <c r="F29" i="54"/>
  <c r="E16" i="49"/>
  <c r="H16" i="49" s="1"/>
  <c r="D17" i="22"/>
  <c r="J17" i="22" s="1"/>
  <c r="L17" i="22" s="1"/>
  <c r="M17" i="22" s="1"/>
  <c r="F17" i="22" s="1"/>
  <c r="I67" i="8"/>
  <c r="F19" i="54"/>
  <c r="I19" i="54" s="1"/>
  <c r="E13" i="27"/>
  <c r="H13" i="27" s="1"/>
  <c r="E22" i="46"/>
  <c r="E13" i="21"/>
  <c r="H13" i="21" s="1"/>
  <c r="J13" i="21" s="1"/>
  <c r="K13" i="21" s="1"/>
  <c r="G13" i="21" s="1"/>
  <c r="E18" i="21"/>
  <c r="H18" i="21" s="1"/>
  <c r="D17" i="19"/>
  <c r="J17" i="19" s="1"/>
  <c r="D15" i="19"/>
  <c r="J15" i="19" s="1"/>
  <c r="D14" i="19"/>
  <c r="E16" i="21"/>
  <c r="H16" i="21" s="1"/>
  <c r="E17" i="21"/>
  <c r="H17" i="21" s="1"/>
  <c r="D16" i="19"/>
  <c r="E14" i="47"/>
  <c r="J11" i="19"/>
  <c r="K11" i="19"/>
  <c r="D15" i="22"/>
  <c r="J15" i="22" s="1"/>
  <c r="D14" i="23"/>
  <c r="J14" i="23" s="1"/>
  <c r="F11" i="41"/>
  <c r="E14" i="27"/>
  <c r="H14" i="27" s="1"/>
  <c r="D12" i="22"/>
  <c r="J12" i="22" s="1"/>
  <c r="F21" i="39"/>
  <c r="D19" i="19"/>
  <c r="K24" i="52"/>
  <c r="K26" i="52" s="1"/>
  <c r="E12" i="27"/>
  <c r="H12" i="27" s="1"/>
  <c r="E20" i="20"/>
  <c r="H20" i="20" s="1"/>
  <c r="D20" i="35"/>
  <c r="E18" i="42"/>
  <c r="H18" i="42" s="1"/>
  <c r="F12" i="41"/>
  <c r="D15" i="23"/>
  <c r="D18" i="35"/>
  <c r="D16" i="35"/>
  <c r="L16" i="35" s="1"/>
  <c r="E25" i="33"/>
  <c r="D17" i="35"/>
  <c r="L17" i="35" s="1"/>
  <c r="M18" i="51"/>
  <c r="F20" i="54"/>
  <c r="E13" i="49"/>
  <c r="H13" i="49" s="1"/>
  <c r="J13" i="49" s="1"/>
  <c r="K13" i="49" s="1"/>
  <c r="G13" i="49" s="1"/>
  <c r="D23" i="56"/>
  <c r="E24" i="46"/>
  <c r="E11" i="49"/>
  <c r="I11" i="49" s="1"/>
  <c r="I61" i="8"/>
  <c r="E12" i="46"/>
  <c r="F28" i="54"/>
  <c r="I28" i="54" s="1"/>
  <c r="E13" i="46"/>
  <c r="H13" i="46" s="1"/>
  <c r="F12" i="54"/>
  <c r="D34" i="56"/>
  <c r="E25" i="46"/>
  <c r="F21" i="48"/>
  <c r="I21" i="48" s="1"/>
  <c r="K21" i="48" s="1"/>
  <c r="L21" i="48" s="1"/>
  <c r="H21" i="48" s="1"/>
  <c r="E13" i="47"/>
  <c r="I28" i="8"/>
  <c r="E17" i="46"/>
  <c r="E19" i="46"/>
  <c r="E12" i="49"/>
  <c r="D26" i="40"/>
  <c r="I16" i="8"/>
  <c r="I25" i="8" s="1"/>
  <c r="F13" i="59" s="1"/>
  <c r="L164" i="63" l="1"/>
  <c r="N164" i="63" s="1"/>
  <c r="O164" i="63" s="1"/>
  <c r="K164" i="63" s="1"/>
  <c r="L38" i="44"/>
  <c r="H38" i="44" s="1"/>
  <c r="L13" i="48"/>
  <c r="H13" i="48" s="1"/>
  <c r="L35" i="44"/>
  <c r="H35" i="44" s="1"/>
  <c r="K23" i="46"/>
  <c r="G23" i="46" s="1"/>
  <c r="I29" i="54"/>
  <c r="K29" i="54" s="1"/>
  <c r="J29" i="54"/>
  <c r="M27" i="59"/>
  <c r="L30" i="44"/>
  <c r="H30" i="44" s="1"/>
  <c r="M32" i="59"/>
  <c r="L28" i="44"/>
  <c r="H28" i="44" s="1"/>
  <c r="O22" i="39"/>
  <c r="H22" i="39" s="1"/>
  <c r="L36" i="44"/>
  <c r="H36" i="44" s="1"/>
  <c r="L17" i="48"/>
  <c r="H16" i="46"/>
  <c r="J16" i="46" s="1"/>
  <c r="I16" i="46"/>
  <c r="H24" i="46"/>
  <c r="J24" i="46" s="1"/>
  <c r="I24" i="46"/>
  <c r="I17" i="44"/>
  <c r="L23" i="54"/>
  <c r="H23" i="54" s="1"/>
  <c r="O20" i="39"/>
  <c r="H20" i="39" s="1"/>
  <c r="K18" i="46"/>
  <c r="G18" i="46" s="1"/>
  <c r="K12" i="21"/>
  <c r="G12" i="21" s="1"/>
  <c r="J164" i="63"/>
  <c r="L15" i="44"/>
  <c r="H15" i="44" s="1"/>
  <c r="K21" i="46"/>
  <c r="G21" i="46" s="1"/>
  <c r="K17" i="45"/>
  <c r="G17" i="45" s="1"/>
  <c r="L26" i="54"/>
  <c r="H26" i="54" s="1"/>
  <c r="K15" i="45"/>
  <c r="G15" i="45" s="1"/>
  <c r="K15" i="47"/>
  <c r="G15" i="47" s="1"/>
  <c r="L20" i="44"/>
  <c r="H20" i="44" s="1"/>
  <c r="L16" i="48"/>
  <c r="M33" i="59"/>
  <c r="L29" i="44"/>
  <c r="H29" i="44" s="1"/>
  <c r="L33" i="44"/>
  <c r="H33" i="44" s="1"/>
  <c r="H12" i="49"/>
  <c r="J12" i="49" s="1"/>
  <c r="I12" i="49"/>
  <c r="I12" i="54"/>
  <c r="K12" i="54" s="1"/>
  <c r="J12" i="54"/>
  <c r="J16" i="19"/>
  <c r="L16" i="19" s="1"/>
  <c r="K16" i="19"/>
  <c r="H22" i="46"/>
  <c r="J22" i="46" s="1"/>
  <c r="I22" i="46"/>
  <c r="J13" i="19"/>
  <c r="L13" i="19" s="1"/>
  <c r="K13" i="19"/>
  <c r="I33" i="55"/>
  <c r="K33" i="55" s="1"/>
  <c r="J33" i="55"/>
  <c r="I24" i="44"/>
  <c r="K24" i="44" s="1"/>
  <c r="J24" i="44"/>
  <c r="J14" i="19"/>
  <c r="L14" i="19" s="1"/>
  <c r="K14" i="19"/>
  <c r="K14" i="46"/>
  <c r="G14" i="46" s="1"/>
  <c r="H19" i="46"/>
  <c r="J19" i="46" s="1"/>
  <c r="I19" i="46"/>
  <c r="I20" i="54"/>
  <c r="K20" i="54" s="1"/>
  <c r="J20" i="54"/>
  <c r="J41" i="43"/>
  <c r="L41" i="43" s="1"/>
  <c r="K41" i="43"/>
  <c r="H15" i="46"/>
  <c r="J15" i="46" s="1"/>
  <c r="I15" i="46"/>
  <c r="J145" i="63"/>
  <c r="M145" i="63"/>
  <c r="O145" i="63" s="1"/>
  <c r="K145" i="63" s="1"/>
  <c r="L20" i="48"/>
  <c r="H20" i="48" s="1"/>
  <c r="L31" i="44"/>
  <c r="H31" i="44" s="1"/>
  <c r="K14" i="49"/>
  <c r="G14" i="49" s="1"/>
  <c r="H17" i="46"/>
  <c r="J17" i="46" s="1"/>
  <c r="I17" i="46"/>
  <c r="M18" i="23"/>
  <c r="F18" i="23" s="1"/>
  <c r="J13" i="59"/>
  <c r="L13" i="59" s="1"/>
  <c r="K13" i="59"/>
  <c r="H25" i="46"/>
  <c r="J25" i="46" s="1"/>
  <c r="I25" i="46"/>
  <c r="H20" i="46"/>
  <c r="J20" i="46" s="1"/>
  <c r="I20" i="46"/>
  <c r="J31" i="43"/>
  <c r="L31" i="43" s="1"/>
  <c r="K31" i="43"/>
  <c r="L32" i="44"/>
  <c r="H32" i="44" s="1"/>
  <c r="I40" i="44"/>
  <c r="K40" i="44" s="1"/>
  <c r="J40" i="44"/>
  <c r="L34" i="44"/>
  <c r="H34" i="44" s="1"/>
  <c r="H12" i="46"/>
  <c r="J12" i="46" s="1"/>
  <c r="I12" i="46"/>
  <c r="K14" i="45"/>
  <c r="G14" i="45" s="1"/>
  <c r="H13" i="47"/>
  <c r="J13" i="47" s="1"/>
  <c r="I13" i="47"/>
  <c r="J15" i="23"/>
  <c r="L15" i="23" s="1"/>
  <c r="K15" i="23"/>
  <c r="H14" i="47"/>
  <c r="J14" i="47" s="1"/>
  <c r="I14" i="47"/>
  <c r="I14" i="54"/>
  <c r="K14" i="54" s="1"/>
  <c r="J14" i="54"/>
  <c r="L228" i="63"/>
  <c r="N228" i="63" s="1"/>
  <c r="M228" i="63"/>
  <c r="M29" i="59"/>
  <c r="L19" i="48"/>
  <c r="H19" i="48" s="1"/>
  <c r="L16" i="54"/>
  <c r="H16" i="54" s="1"/>
  <c r="K23" i="44"/>
  <c r="L23" i="44" s="1"/>
  <c r="I31" i="52"/>
  <c r="K19" i="29"/>
  <c r="G19" i="29" s="1"/>
  <c r="G10" i="7"/>
  <c r="E36" i="13"/>
  <c r="L25" i="40"/>
  <c r="J228" i="63"/>
  <c r="D22" i="53"/>
  <c r="H18" i="45"/>
  <c r="J18" i="45" s="1"/>
  <c r="K18" i="45" s="1"/>
  <c r="G18" i="45" s="1"/>
  <c r="C45" i="64"/>
  <c r="K31" i="10"/>
  <c r="J31" i="10"/>
  <c r="C44" i="64"/>
  <c r="F34" i="55"/>
  <c r="I34" i="55" s="1"/>
  <c r="I10" i="7"/>
  <c r="J23" i="10"/>
  <c r="K23" i="10"/>
  <c r="H14" i="5"/>
  <c r="G16" i="7"/>
  <c r="E15" i="21"/>
  <c r="H15" i="21" s="1"/>
  <c r="J15" i="21" s="1"/>
  <c r="K15" i="21" s="1"/>
  <c r="I76" i="8"/>
  <c r="D22" i="13"/>
  <c r="I33" i="6"/>
  <c r="N29" i="7"/>
  <c r="E19" i="20"/>
  <c r="N26" i="7"/>
  <c r="I30" i="6"/>
  <c r="H11" i="49"/>
  <c r="J11" i="49" s="1"/>
  <c r="K11" i="49" s="1"/>
  <c r="G11" i="49" s="1"/>
  <c r="E18" i="49"/>
  <c r="I82" i="8"/>
  <c r="N12" i="7"/>
  <c r="I16" i="6"/>
  <c r="D26" i="35"/>
  <c r="I26" i="6"/>
  <c r="N22" i="7"/>
  <c r="E27" i="33"/>
  <c r="E28" i="33" s="1"/>
  <c r="N19" i="7"/>
  <c r="I23" i="6"/>
  <c r="D12" i="35"/>
  <c r="L12" i="35" s="1"/>
  <c r="N21" i="7"/>
  <c r="I25" i="6"/>
  <c r="K18" i="35"/>
  <c r="F18" i="35"/>
  <c r="N27" i="7"/>
  <c r="I31" i="6"/>
  <c r="N28" i="7"/>
  <c r="I32" i="6"/>
  <c r="I31" i="8"/>
  <c r="I37" i="8" s="1"/>
  <c r="G12" i="27"/>
  <c r="J12" i="27"/>
  <c r="K12" i="27" s="1"/>
  <c r="H14" i="9"/>
  <c r="F12" i="22"/>
  <c r="L12" i="22"/>
  <c r="M12" i="22" s="1"/>
  <c r="D11" i="23"/>
  <c r="K11" i="23" s="1"/>
  <c r="E21" i="29"/>
  <c r="F15" i="22"/>
  <c r="L15" i="22"/>
  <c r="M15" i="22" s="1"/>
  <c r="E16" i="27"/>
  <c r="F16" i="27"/>
  <c r="J17" i="21"/>
  <c r="K17" i="21" s="1"/>
  <c r="G17" i="21"/>
  <c r="H22" i="5"/>
  <c r="G17" i="7"/>
  <c r="I17" i="7" s="1"/>
  <c r="E14" i="21"/>
  <c r="H14" i="21" s="1"/>
  <c r="J18" i="21"/>
  <c r="K18" i="21" s="1"/>
  <c r="G18" i="21"/>
  <c r="H25" i="5"/>
  <c r="G19" i="7"/>
  <c r="I27" i="5"/>
  <c r="J27" i="5" s="1"/>
  <c r="H21" i="7"/>
  <c r="I21" i="7" s="1"/>
  <c r="F25" i="40"/>
  <c r="K25" i="40"/>
  <c r="N176" i="63"/>
  <c r="O176" i="63" s="1"/>
  <c r="K176" i="63" s="1"/>
  <c r="K61" i="63"/>
  <c r="N61" i="63"/>
  <c r="O61" i="63" s="1"/>
  <c r="M32" i="35"/>
  <c r="N32" i="35" s="1"/>
  <c r="G32" i="35" s="1"/>
  <c r="M33" i="35"/>
  <c r="N33" i="35" s="1"/>
  <c r="G33" i="35"/>
  <c r="H23" i="17"/>
  <c r="G30" i="35"/>
  <c r="M30" i="35"/>
  <c r="N30" i="35" s="1"/>
  <c r="E20" i="42"/>
  <c r="E21" i="42" s="1"/>
  <c r="C42" i="64" s="1"/>
  <c r="E28" i="40"/>
  <c r="M27" i="40"/>
  <c r="N27" i="40" s="1"/>
  <c r="G27" i="40"/>
  <c r="K17" i="44"/>
  <c r="L17" i="44" s="1"/>
  <c r="H17" i="44" s="1"/>
  <c r="L20" i="33"/>
  <c r="K20" i="33"/>
  <c r="M20" i="33" s="1"/>
  <c r="G20" i="33"/>
  <c r="N177" i="63"/>
  <c r="O177" i="63" s="1"/>
  <c r="K177" i="63" s="1"/>
  <c r="I29" i="7"/>
  <c r="I98" i="8"/>
  <c r="J17" i="27"/>
  <c r="K17" i="27" s="1"/>
  <c r="G17" i="27"/>
  <c r="J21" i="63"/>
  <c r="L21" i="63"/>
  <c r="N58" i="63"/>
  <c r="O58" i="63" s="1"/>
  <c r="K58" i="63" s="1"/>
  <c r="N32" i="63"/>
  <c r="O32" i="63" s="1"/>
  <c r="K32" i="63" s="1"/>
  <c r="M23" i="35"/>
  <c r="N23" i="35" s="1"/>
  <c r="G23" i="35"/>
  <c r="H14" i="42"/>
  <c r="O29" i="41"/>
  <c r="P29" i="41" s="1"/>
  <c r="I29" i="41"/>
  <c r="N22" i="63"/>
  <c r="O22" i="63" s="1"/>
  <c r="K22" i="63" s="1"/>
  <c r="H16" i="7"/>
  <c r="G30" i="7"/>
  <c r="G28" i="7" s="1"/>
  <c r="N35" i="63"/>
  <c r="O35" i="63" s="1"/>
  <c r="K35" i="63" s="1"/>
  <c r="N18" i="63"/>
  <c r="O18" i="63" s="1"/>
  <c r="K18" i="63" s="1"/>
  <c r="L26" i="40"/>
  <c r="K26" i="40"/>
  <c r="M26" i="40" s="1"/>
  <c r="F26" i="40"/>
  <c r="E11" i="47"/>
  <c r="I11" i="47" s="1"/>
  <c r="I73" i="8"/>
  <c r="J13" i="46"/>
  <c r="K13" i="46" s="1"/>
  <c r="G13" i="46" s="1"/>
  <c r="K28" i="54"/>
  <c r="L28" i="54" s="1"/>
  <c r="H28" i="54"/>
  <c r="F11" i="54"/>
  <c r="J11" i="54" s="1"/>
  <c r="I107" i="8"/>
  <c r="F31" i="59"/>
  <c r="I137" i="8"/>
  <c r="F35" i="59" s="1"/>
  <c r="I58" i="18"/>
  <c r="C18" i="64" s="1"/>
  <c r="N13" i="7"/>
  <c r="G36" i="13"/>
  <c r="I17" i="6"/>
  <c r="K17" i="35"/>
  <c r="F17" i="35"/>
  <c r="E15" i="29"/>
  <c r="G35" i="7"/>
  <c r="I35" i="7" s="1"/>
  <c r="H41" i="5"/>
  <c r="J41" i="5" s="1"/>
  <c r="F20" i="35"/>
  <c r="K20" i="35"/>
  <c r="J20" i="20"/>
  <c r="K20" i="20" s="1"/>
  <c r="G20" i="20"/>
  <c r="N31" i="7"/>
  <c r="I35" i="6"/>
  <c r="F13" i="41"/>
  <c r="N13" i="41" s="1"/>
  <c r="I34" i="6"/>
  <c r="N30" i="7"/>
  <c r="H24" i="7"/>
  <c r="I30" i="5"/>
  <c r="K28" i="52"/>
  <c r="D22" i="19"/>
  <c r="J22" i="19" s="1"/>
  <c r="E16" i="28"/>
  <c r="G34" i="7"/>
  <c r="I34" i="7" s="1"/>
  <c r="H40" i="5"/>
  <c r="J40" i="5" s="1"/>
  <c r="G14" i="27"/>
  <c r="J14" i="27"/>
  <c r="K14" i="27" s="1"/>
  <c r="H39" i="5"/>
  <c r="E11" i="27"/>
  <c r="G33" i="7"/>
  <c r="D12" i="19"/>
  <c r="G24" i="7"/>
  <c r="H30" i="5"/>
  <c r="L17" i="19"/>
  <c r="M17" i="19" s="1"/>
  <c r="F17" i="19"/>
  <c r="H33" i="5"/>
  <c r="J33" i="5" s="1"/>
  <c r="G27" i="7"/>
  <c r="I27" i="7" s="1"/>
  <c r="E11" i="21"/>
  <c r="H19" i="54"/>
  <c r="K19" i="54"/>
  <c r="L19" i="54" s="1"/>
  <c r="L43" i="43"/>
  <c r="M43" i="43" s="1"/>
  <c r="I43" i="43"/>
  <c r="L24" i="40"/>
  <c r="F24" i="40"/>
  <c r="K24" i="40"/>
  <c r="M24" i="40" s="1"/>
  <c r="D28" i="40"/>
  <c r="D13" i="23"/>
  <c r="D17" i="17"/>
  <c r="H22" i="13"/>
  <c r="N44" i="63"/>
  <c r="O44" i="63" s="1"/>
  <c r="K44" i="63" s="1"/>
  <c r="N163" i="63"/>
  <c r="O163" i="63" s="1"/>
  <c r="K163" i="63" s="1"/>
  <c r="K244" i="63"/>
  <c r="N244" i="63"/>
  <c r="O244" i="63" s="1"/>
  <c r="H276" i="63"/>
  <c r="M276" i="63" s="1"/>
  <c r="L19" i="63"/>
  <c r="J19" i="63"/>
  <c r="J53" i="63"/>
  <c r="L53" i="63"/>
  <c r="N53" i="63" s="1"/>
  <c r="O53" i="63" s="1"/>
  <c r="K53" i="63" s="1"/>
  <c r="L192" i="63"/>
  <c r="N192" i="63" s="1"/>
  <c r="O192" i="63" s="1"/>
  <c r="K192" i="63" s="1"/>
  <c r="J192" i="63"/>
  <c r="N43" i="63"/>
  <c r="O43" i="63" s="1"/>
  <c r="K43" i="63" s="1"/>
  <c r="J15" i="42"/>
  <c r="K15" i="42" s="1"/>
  <c r="G15" i="42" s="1"/>
  <c r="K11" i="44"/>
  <c r="L11" i="44" s="1"/>
  <c r="H11" i="44" s="1"/>
  <c r="K25" i="44"/>
  <c r="L25" i="44" s="1"/>
  <c r="H25" i="44" s="1"/>
  <c r="J11" i="28"/>
  <c r="K11" i="28" s="1"/>
  <c r="G11" i="28"/>
  <c r="N238" i="63"/>
  <c r="O238" i="63" s="1"/>
  <c r="K238" i="63"/>
  <c r="J30" i="63"/>
  <c r="L30" i="63"/>
  <c r="F30" i="54"/>
  <c r="I22" i="54"/>
  <c r="N17" i="63"/>
  <c r="O17" i="63" s="1"/>
  <c r="K17" i="63" s="1"/>
  <c r="N42" i="63"/>
  <c r="O42" i="63" s="1"/>
  <c r="K42" i="63" s="1"/>
  <c r="G36" i="35"/>
  <c r="M36" i="35"/>
  <c r="N36" i="35" s="1"/>
  <c r="K23" i="55"/>
  <c r="L23" i="55" s="1"/>
  <c r="H23" i="55" s="1"/>
  <c r="L25" i="43"/>
  <c r="M25" i="43" s="1"/>
  <c r="I25" i="43" s="1"/>
  <c r="J265" i="63"/>
  <c r="L265" i="63"/>
  <c r="N265" i="63" s="1"/>
  <c r="O265" i="63" s="1"/>
  <c r="K265" i="63" s="1"/>
  <c r="J16" i="5"/>
  <c r="J19" i="13"/>
  <c r="E29" i="52"/>
  <c r="E31" i="52" s="1"/>
  <c r="F19" i="28"/>
  <c r="K22" i="16"/>
  <c r="K24" i="16" s="1"/>
  <c r="K25" i="16" s="1"/>
  <c r="J11" i="22"/>
  <c r="L11" i="22" s="1"/>
  <c r="M11" i="22" s="1"/>
  <c r="F11" i="22" s="1"/>
  <c r="D19" i="22"/>
  <c r="K19" i="22" s="1"/>
  <c r="N183" i="63"/>
  <c r="O183" i="63" s="1"/>
  <c r="K183" i="63" s="1"/>
  <c r="E26" i="46"/>
  <c r="I26" i="46" s="1"/>
  <c r="N23" i="63"/>
  <c r="O23" i="63" s="1"/>
  <c r="K23" i="63" s="1"/>
  <c r="G34" i="13"/>
  <c r="N40" i="63"/>
  <c r="O40" i="63" s="1"/>
  <c r="K40" i="63" s="1"/>
  <c r="L34" i="35"/>
  <c r="K34" i="35"/>
  <c r="E42" i="35"/>
  <c r="L42" i="35" s="1"/>
  <c r="F34" i="35"/>
  <c r="I49" i="8"/>
  <c r="G44" i="43"/>
  <c r="I14" i="6"/>
  <c r="N10" i="7"/>
  <c r="E26" i="32"/>
  <c r="N16" i="7"/>
  <c r="I20" i="6"/>
  <c r="I22" i="6"/>
  <c r="N18" i="7"/>
  <c r="I19" i="6"/>
  <c r="E25" i="32"/>
  <c r="G25" i="32" s="1"/>
  <c r="N15" i="7"/>
  <c r="H12" i="41"/>
  <c r="M12" i="41"/>
  <c r="J18" i="42"/>
  <c r="K18" i="42" s="1"/>
  <c r="G18" i="42"/>
  <c r="I25" i="5"/>
  <c r="H19" i="7"/>
  <c r="G22" i="15"/>
  <c r="M11" i="41"/>
  <c r="H11" i="41"/>
  <c r="K17" i="53"/>
  <c r="D20" i="22"/>
  <c r="H30" i="7"/>
  <c r="I36" i="5"/>
  <c r="J16" i="21"/>
  <c r="K16" i="21" s="1"/>
  <c r="G16" i="21"/>
  <c r="L15" i="19"/>
  <c r="M15" i="19" s="1"/>
  <c r="F15" i="19"/>
  <c r="G18" i="7"/>
  <c r="I18" i="7" s="1"/>
  <c r="H24" i="5"/>
  <c r="K17" i="40"/>
  <c r="M17" i="40" s="1"/>
  <c r="N17" i="40" s="1"/>
  <c r="G17" i="40" s="1"/>
  <c r="F17" i="40"/>
  <c r="I21" i="55"/>
  <c r="H21" i="33"/>
  <c r="M21" i="33"/>
  <c r="N21" i="33" s="1"/>
  <c r="M21" i="40"/>
  <c r="N21" i="40" s="1"/>
  <c r="G21" i="40"/>
  <c r="M19" i="35"/>
  <c r="N19" i="35" s="1"/>
  <c r="G19" i="35"/>
  <c r="F22" i="48"/>
  <c r="J22" i="48" s="1"/>
  <c r="K24" i="63"/>
  <c r="N24" i="63"/>
  <c r="O24" i="63" s="1"/>
  <c r="N57" i="63"/>
  <c r="O57" i="63" s="1"/>
  <c r="K57" i="63"/>
  <c r="J18" i="5"/>
  <c r="J21" i="13"/>
  <c r="G30" i="41"/>
  <c r="L28" i="33"/>
  <c r="F29" i="33"/>
  <c r="N26" i="63"/>
  <c r="O26" i="63" s="1"/>
  <c r="K26" i="63" s="1"/>
  <c r="N20" i="63"/>
  <c r="O20" i="63" s="1"/>
  <c r="K20" i="63" s="1"/>
  <c r="N152" i="63"/>
  <c r="O152" i="63" s="1"/>
  <c r="K152" i="63" s="1"/>
  <c r="K15" i="63"/>
  <c r="N15" i="63"/>
  <c r="O15" i="63" s="1"/>
  <c r="J28" i="63"/>
  <c r="L28" i="63"/>
  <c r="H20" i="5"/>
  <c r="E23" i="19"/>
  <c r="K21" i="19"/>
  <c r="F16" i="17"/>
  <c r="H12" i="17"/>
  <c r="H16" i="17" s="1"/>
  <c r="N14" i="63"/>
  <c r="O14" i="63" s="1"/>
  <c r="K14" i="63" s="1"/>
  <c r="M13" i="40"/>
  <c r="N13" i="40" s="1"/>
  <c r="G13" i="40" s="1"/>
  <c r="N56" i="63"/>
  <c r="O56" i="63" s="1"/>
  <c r="K56" i="63" s="1"/>
  <c r="K18" i="44"/>
  <c r="L18" i="44" s="1"/>
  <c r="H18" i="44" s="1"/>
  <c r="D24" i="17"/>
  <c r="H33" i="13"/>
  <c r="I18" i="6"/>
  <c r="N14" i="7"/>
  <c r="G25" i="33"/>
  <c r="K25" i="33"/>
  <c r="F16" i="35"/>
  <c r="K16" i="35"/>
  <c r="M16" i="51"/>
  <c r="M19" i="51" s="1"/>
  <c r="M24" i="51" s="1"/>
  <c r="C51" i="64" s="1"/>
  <c r="N23" i="7"/>
  <c r="I27" i="6"/>
  <c r="I29" i="5"/>
  <c r="D21" i="19"/>
  <c r="J21" i="19" s="1"/>
  <c r="K27" i="52"/>
  <c r="H23" i="7"/>
  <c r="K18" i="53"/>
  <c r="D23" i="23"/>
  <c r="J23" i="23" s="1"/>
  <c r="L21" i="39"/>
  <c r="F24" i="39"/>
  <c r="M24" i="39" s="1"/>
  <c r="H26" i="7"/>
  <c r="E14" i="20"/>
  <c r="H14" i="20" s="1"/>
  <c r="I32" i="5"/>
  <c r="J32" i="5" s="1"/>
  <c r="F51" i="59" s="1"/>
  <c r="K51" i="59" s="1"/>
  <c r="K15" i="53"/>
  <c r="F14" i="23"/>
  <c r="L14" i="23"/>
  <c r="M14" i="23" s="1"/>
  <c r="H26" i="5"/>
  <c r="G20" i="7"/>
  <c r="I20" i="7" s="1"/>
  <c r="G13" i="27"/>
  <c r="J13" i="27"/>
  <c r="K13" i="27" s="1"/>
  <c r="D12" i="23"/>
  <c r="J12" i="23" s="1"/>
  <c r="G16" i="49"/>
  <c r="J16" i="49"/>
  <c r="K16" i="49" s="1"/>
  <c r="D16" i="40"/>
  <c r="L16" i="40" s="1"/>
  <c r="N215" i="63"/>
  <c r="O215" i="63" s="1"/>
  <c r="K215" i="63"/>
  <c r="N31" i="63"/>
  <c r="O31" i="63" s="1"/>
  <c r="K31" i="63" s="1"/>
  <c r="N46" i="63"/>
  <c r="O46" i="63" s="1"/>
  <c r="K46" i="63" s="1"/>
  <c r="K11" i="55"/>
  <c r="L11" i="55" s="1"/>
  <c r="H11" i="55" s="1"/>
  <c r="M31" i="35"/>
  <c r="N31" i="35" s="1"/>
  <c r="G31" i="35"/>
  <c r="L17" i="43"/>
  <c r="M17" i="43" s="1"/>
  <c r="I17" i="43" s="1"/>
  <c r="K12" i="48"/>
  <c r="L12" i="48" s="1"/>
  <c r="H12" i="48" s="1"/>
  <c r="L55" i="63"/>
  <c r="N55" i="63" s="1"/>
  <c r="O55" i="63" s="1"/>
  <c r="K55" i="63" s="1"/>
  <c r="J55" i="63"/>
  <c r="N29" i="63"/>
  <c r="O29" i="63" s="1"/>
  <c r="K29" i="63" s="1"/>
  <c r="K15" i="48"/>
  <c r="L15" i="48" s="1"/>
  <c r="H15" i="48"/>
  <c r="J35" i="5"/>
  <c r="N39" i="63"/>
  <c r="O39" i="63" s="1"/>
  <c r="K39" i="63" s="1"/>
  <c r="N274" i="63"/>
  <c r="O274" i="63" s="1"/>
  <c r="K274" i="63" s="1"/>
  <c r="N258" i="63"/>
  <c r="O258" i="63" s="1"/>
  <c r="K258" i="63"/>
  <c r="K47" i="63"/>
  <c r="N47" i="63"/>
  <c r="O47" i="63" s="1"/>
  <c r="K257" i="63"/>
  <c r="N257" i="63"/>
  <c r="O257" i="63" s="1"/>
  <c r="J12" i="42"/>
  <c r="K12" i="42" s="1"/>
  <c r="G12" i="42"/>
  <c r="J11" i="45"/>
  <c r="K11" i="45" s="1"/>
  <c r="G11" i="45" s="1"/>
  <c r="I46" i="8"/>
  <c r="I20" i="5"/>
  <c r="H36" i="5"/>
  <c r="O24" i="41"/>
  <c r="P24" i="41" s="1"/>
  <c r="I24" i="41"/>
  <c r="N27" i="63"/>
  <c r="O27" i="63" s="1"/>
  <c r="K27" i="63"/>
  <c r="K237" i="63"/>
  <c r="N237" i="63"/>
  <c r="O237" i="63" s="1"/>
  <c r="M29" i="35"/>
  <c r="N29" i="35" s="1"/>
  <c r="G29" i="35"/>
  <c r="L63" i="63"/>
  <c r="N63" i="63" s="1"/>
  <c r="O63" i="63" s="1"/>
  <c r="K63" i="63" s="1"/>
  <c r="J63" i="63"/>
  <c r="D33" i="13"/>
  <c r="H11" i="20"/>
  <c r="J11" i="20" s="1"/>
  <c r="K11" i="20" s="1"/>
  <c r="G11" i="20" s="1"/>
  <c r="E13" i="20"/>
  <c r="I13" i="20" s="1"/>
  <c r="I91" i="8"/>
  <c r="H10" i="56"/>
  <c r="G10" i="56"/>
  <c r="H89" i="9"/>
  <c r="H92" i="9" s="1"/>
  <c r="H95" i="9" s="1"/>
  <c r="F60" i="59" s="1"/>
  <c r="I70" i="8"/>
  <c r="H23" i="9"/>
  <c r="H101" i="9"/>
  <c r="D32" i="56"/>
  <c r="D33" i="56"/>
  <c r="K24" i="46" l="1"/>
  <c r="G24" i="46" s="1"/>
  <c r="L29" i="54"/>
  <c r="H29" i="54" s="1"/>
  <c r="K16" i="46"/>
  <c r="G16" i="46" s="1"/>
  <c r="M13" i="19"/>
  <c r="F13" i="19" s="1"/>
  <c r="M13" i="59"/>
  <c r="H13" i="59" s="1"/>
  <c r="L14" i="54"/>
  <c r="H14" i="54" s="1"/>
  <c r="K17" i="46"/>
  <c r="G17" i="46" s="1"/>
  <c r="M14" i="19"/>
  <c r="F14" i="19" s="1"/>
  <c r="G15" i="21"/>
  <c r="L12" i="54"/>
  <c r="H12" i="54" s="1"/>
  <c r="K12" i="46"/>
  <c r="G12" i="46" s="1"/>
  <c r="K13" i="47"/>
  <c r="G13" i="47" s="1"/>
  <c r="K12" i="49"/>
  <c r="G12" i="49" s="1"/>
  <c r="L33" i="55"/>
  <c r="H33" i="55" s="1"/>
  <c r="K22" i="46"/>
  <c r="G22" i="46" s="1"/>
  <c r="K15" i="46"/>
  <c r="G15" i="46" s="1"/>
  <c r="M41" i="43"/>
  <c r="I41" i="43" s="1"/>
  <c r="K14" i="47"/>
  <c r="G14" i="47" s="1"/>
  <c r="L24" i="44"/>
  <c r="H24" i="44" s="1"/>
  <c r="J31" i="59"/>
  <c r="L31" i="59" s="1"/>
  <c r="K31" i="59"/>
  <c r="K20" i="46"/>
  <c r="G20" i="46" s="1"/>
  <c r="M16" i="19"/>
  <c r="F16" i="19" s="1"/>
  <c r="L20" i="54"/>
  <c r="H20" i="54" s="1"/>
  <c r="I30" i="54"/>
  <c r="K30" i="54" s="1"/>
  <c r="J30" i="54"/>
  <c r="J13" i="23"/>
  <c r="L13" i="23" s="1"/>
  <c r="K13" i="23"/>
  <c r="H18" i="49"/>
  <c r="J18" i="49" s="1"/>
  <c r="I18" i="49"/>
  <c r="C55" i="64"/>
  <c r="K56" i="10" s="1"/>
  <c r="J34" i="55"/>
  <c r="L40" i="44"/>
  <c r="H40" i="44" s="1"/>
  <c r="J35" i="59"/>
  <c r="L35" i="59" s="1"/>
  <c r="K35" i="59"/>
  <c r="O228" i="63"/>
  <c r="K228" i="63" s="1"/>
  <c r="K19" i="46"/>
  <c r="G19" i="46" s="1"/>
  <c r="K25" i="46"/>
  <c r="G25" i="46" s="1"/>
  <c r="J60" i="59"/>
  <c r="L60" i="59" s="1"/>
  <c r="K60" i="59"/>
  <c r="J44" i="43"/>
  <c r="L44" i="43" s="1"/>
  <c r="K44" i="43"/>
  <c r="M15" i="23"/>
  <c r="F15" i="23" s="1"/>
  <c r="M31" i="43"/>
  <c r="I31" i="43" s="1"/>
  <c r="H36" i="13"/>
  <c r="K22" i="19"/>
  <c r="H21" i="29"/>
  <c r="J21" i="29" s="1"/>
  <c r="I21" i="29"/>
  <c r="J20" i="22"/>
  <c r="L20" i="22" s="1"/>
  <c r="K20" i="22"/>
  <c r="K43" i="10"/>
  <c r="J43" i="10"/>
  <c r="K52" i="10"/>
  <c r="J52" i="10"/>
  <c r="G26" i="32"/>
  <c r="C32" i="64"/>
  <c r="H26" i="46"/>
  <c r="J26" i="46" s="1"/>
  <c r="K26" i="46" s="1"/>
  <c r="G26" i="46" s="1"/>
  <c r="C46" i="64"/>
  <c r="L24" i="39"/>
  <c r="N24" i="39" s="1"/>
  <c r="O24" i="39" s="1"/>
  <c r="H24" i="39" s="1"/>
  <c r="C39" i="64"/>
  <c r="K45" i="10"/>
  <c r="J45" i="10"/>
  <c r="K46" i="10"/>
  <c r="J46" i="10"/>
  <c r="I22" i="48"/>
  <c r="K22" i="48" s="1"/>
  <c r="L22" i="48" s="1"/>
  <c r="H22" i="48" s="1"/>
  <c r="C48" i="64"/>
  <c r="D36" i="13"/>
  <c r="C14" i="64" s="1"/>
  <c r="K15" i="10" s="1"/>
  <c r="I19" i="5"/>
  <c r="J19" i="10"/>
  <c r="K19" i="10"/>
  <c r="J36" i="5"/>
  <c r="K29" i="52"/>
  <c r="K31" i="52" s="1"/>
  <c r="C52" i="64" s="1"/>
  <c r="H20" i="42"/>
  <c r="J20" i="42" s="1"/>
  <c r="I20" i="42"/>
  <c r="K22" i="53"/>
  <c r="C53" i="64" s="1"/>
  <c r="N26" i="40"/>
  <c r="G26" i="40" s="1"/>
  <c r="J14" i="5"/>
  <c r="K28" i="33"/>
  <c r="G28" i="33"/>
  <c r="E29" i="33"/>
  <c r="C33" i="64" s="1"/>
  <c r="J51" i="59"/>
  <c r="L51" i="59" s="1"/>
  <c r="M51" i="59" s="1"/>
  <c r="H51" i="59" s="1"/>
  <c r="M25" i="33"/>
  <c r="N25" i="33" s="1"/>
  <c r="H25" i="33"/>
  <c r="F22" i="15"/>
  <c r="G24" i="15"/>
  <c r="G25" i="15" s="1"/>
  <c r="G34" i="35"/>
  <c r="M34" i="35"/>
  <c r="N34" i="35" s="1"/>
  <c r="J17" i="13"/>
  <c r="N30" i="63"/>
  <c r="O30" i="63" s="1"/>
  <c r="K30" i="63" s="1"/>
  <c r="N19" i="63"/>
  <c r="O19" i="63" s="1"/>
  <c r="K19" i="63" s="1"/>
  <c r="N24" i="40"/>
  <c r="G24" i="40" s="1"/>
  <c r="J12" i="19"/>
  <c r="D20" i="19"/>
  <c r="K20" i="19" s="1"/>
  <c r="H16" i="28"/>
  <c r="E17" i="28"/>
  <c r="I17" i="28" s="1"/>
  <c r="M20" i="35"/>
  <c r="N20" i="35" s="1"/>
  <c r="G20" i="35"/>
  <c r="H15" i="29"/>
  <c r="E23" i="29"/>
  <c r="M17" i="35"/>
  <c r="N17" i="35" s="1"/>
  <c r="G17" i="35" s="1"/>
  <c r="F21" i="54"/>
  <c r="J21" i="54" s="1"/>
  <c r="I11" i="54"/>
  <c r="I30" i="7"/>
  <c r="I113" i="8"/>
  <c r="F17" i="59" s="1"/>
  <c r="F26" i="59"/>
  <c r="J28" i="13"/>
  <c r="J25" i="5"/>
  <c r="F12" i="35"/>
  <c r="K12" i="35"/>
  <c r="D22" i="35"/>
  <c r="L22" i="35" s="1"/>
  <c r="N32" i="7"/>
  <c r="L11" i="19"/>
  <c r="F16" i="40"/>
  <c r="K16" i="40"/>
  <c r="M16" i="40" s="1"/>
  <c r="N16" i="40" s="1"/>
  <c r="G16" i="40" s="1"/>
  <c r="D22" i="40"/>
  <c r="L22" i="40" s="1"/>
  <c r="G14" i="20"/>
  <c r="J14" i="20"/>
  <c r="K14" i="20" s="1"/>
  <c r="N21" i="39"/>
  <c r="O21" i="39" s="1"/>
  <c r="H21" i="39"/>
  <c r="L21" i="19"/>
  <c r="M21" i="19" s="1"/>
  <c r="F21" i="19"/>
  <c r="J23" i="13"/>
  <c r="H19" i="5"/>
  <c r="J20" i="5"/>
  <c r="K34" i="55"/>
  <c r="I34" i="5"/>
  <c r="I38" i="5" s="1"/>
  <c r="I12" i="41"/>
  <c r="O12" i="41"/>
  <c r="P12" i="41" s="1"/>
  <c r="G45" i="43"/>
  <c r="G46" i="43" s="1"/>
  <c r="L276" i="63"/>
  <c r="N276" i="63" s="1"/>
  <c r="O276" i="63" s="1"/>
  <c r="K276" i="63" s="1"/>
  <c r="J276" i="63"/>
  <c r="F17" i="17"/>
  <c r="D22" i="17"/>
  <c r="H11" i="21"/>
  <c r="E19" i="21"/>
  <c r="I19" i="21" s="1"/>
  <c r="I33" i="7"/>
  <c r="G36" i="7"/>
  <c r="I36" i="7" s="1"/>
  <c r="L22" i="19"/>
  <c r="H15" i="7"/>
  <c r="E29" i="40"/>
  <c r="L28" i="40"/>
  <c r="M25" i="40"/>
  <c r="N25" i="40" s="1"/>
  <c r="G25" i="40" s="1"/>
  <c r="J25" i="13"/>
  <c r="J22" i="5"/>
  <c r="M18" i="35"/>
  <c r="N18" i="35" s="1"/>
  <c r="G18" i="35"/>
  <c r="E23" i="20"/>
  <c r="H23" i="20" s="1"/>
  <c r="H19" i="20"/>
  <c r="I16" i="7"/>
  <c r="E15" i="20"/>
  <c r="I15" i="20" s="1"/>
  <c r="H13" i="20"/>
  <c r="J13" i="20" s="1"/>
  <c r="K13" i="20" s="1"/>
  <c r="G13" i="20" s="1"/>
  <c r="H34" i="5"/>
  <c r="H38" i="5" s="1"/>
  <c r="F12" i="23"/>
  <c r="L12" i="23"/>
  <c r="M12" i="23" s="1"/>
  <c r="J26" i="5"/>
  <c r="J29" i="13"/>
  <c r="I26" i="7"/>
  <c r="I28" i="5"/>
  <c r="J29" i="5"/>
  <c r="M16" i="35"/>
  <c r="N16" i="35" s="1"/>
  <c r="G16" i="35"/>
  <c r="N28" i="63"/>
  <c r="O28" i="63" s="1"/>
  <c r="K28" i="63" s="1"/>
  <c r="K21" i="55"/>
  <c r="L21" i="55" s="1"/>
  <c r="H21" i="55" s="1"/>
  <c r="H28" i="7"/>
  <c r="J19" i="22"/>
  <c r="L19" i="22" s="1"/>
  <c r="M19" i="22" s="1"/>
  <c r="F19" i="22" s="1"/>
  <c r="D21" i="22"/>
  <c r="K22" i="54"/>
  <c r="L22" i="54" s="1"/>
  <c r="H22" i="54" s="1"/>
  <c r="J30" i="5"/>
  <c r="J35" i="13"/>
  <c r="H28" i="5"/>
  <c r="E18" i="27"/>
  <c r="H11" i="27"/>
  <c r="E16" i="47"/>
  <c r="I16" i="47" s="1"/>
  <c r="H11" i="47"/>
  <c r="J11" i="47" s="1"/>
  <c r="K11" i="47" s="1"/>
  <c r="G11" i="47" s="1"/>
  <c r="K42" i="35"/>
  <c r="N21" i="63"/>
  <c r="O21" i="63" s="1"/>
  <c r="K21" i="63" s="1"/>
  <c r="I16" i="27"/>
  <c r="F18" i="27"/>
  <c r="I28" i="6"/>
  <c r="K26" i="35"/>
  <c r="F26" i="35"/>
  <c r="D28" i="35"/>
  <c r="L28" i="35" s="1"/>
  <c r="G15" i="7"/>
  <c r="L23" i="23"/>
  <c r="M23" i="23" s="1"/>
  <c r="F23" i="23" s="1"/>
  <c r="H22" i="7"/>
  <c r="I23" i="7"/>
  <c r="F24" i="17"/>
  <c r="D25" i="17"/>
  <c r="J24" i="5"/>
  <c r="J27" i="13"/>
  <c r="I11" i="41"/>
  <c r="O11" i="41"/>
  <c r="P11" i="41" s="1"/>
  <c r="F28" i="40"/>
  <c r="K28" i="40"/>
  <c r="M28" i="40" s="1"/>
  <c r="I24" i="7"/>
  <c r="G22" i="7"/>
  <c r="J39" i="5"/>
  <c r="J42" i="5" s="1"/>
  <c r="H42" i="5"/>
  <c r="F17" i="41"/>
  <c r="M13" i="41"/>
  <c r="O13" i="41" s="1"/>
  <c r="P13" i="41" s="1"/>
  <c r="I13" i="41" s="1"/>
  <c r="H13" i="41"/>
  <c r="F42" i="35"/>
  <c r="G14" i="42"/>
  <c r="J14" i="42"/>
  <c r="K14" i="42" s="1"/>
  <c r="N20" i="33"/>
  <c r="H20" i="33" s="1"/>
  <c r="I19" i="7"/>
  <c r="J14" i="21"/>
  <c r="K14" i="21" s="1"/>
  <c r="G14" i="21"/>
  <c r="H16" i="27"/>
  <c r="J11" i="23"/>
  <c r="L11" i="23" s="1"/>
  <c r="M11" i="23" s="1"/>
  <c r="F11" i="23" s="1"/>
  <c r="D22" i="23"/>
  <c r="K22" i="23" s="1"/>
  <c r="P52" i="3"/>
  <c r="F12" i="59"/>
  <c r="N24" i="7"/>
  <c r="K27" i="33"/>
  <c r="G27" i="33"/>
  <c r="E19" i="49"/>
  <c r="I19" i="49" s="1"/>
  <c r="F52" i="59"/>
  <c r="J52" i="59" s="1"/>
  <c r="I36" i="6"/>
  <c r="F49" i="59" s="1"/>
  <c r="H47" i="9"/>
  <c r="I40" i="8"/>
  <c r="I79" i="8" s="1"/>
  <c r="D13" i="56"/>
  <c r="H26" i="9"/>
  <c r="D24" i="56"/>
  <c r="M22" i="19" l="1"/>
  <c r="F22" i="19" s="1"/>
  <c r="M13" i="23"/>
  <c r="F13" i="23" s="1"/>
  <c r="H32" i="7"/>
  <c r="I28" i="7"/>
  <c r="J56" i="10"/>
  <c r="L34" i="55"/>
  <c r="H34" i="55" s="1"/>
  <c r="M35" i="59"/>
  <c r="M44" i="43"/>
  <c r="I44" i="43" s="1"/>
  <c r="L30" i="54"/>
  <c r="H30" i="54" s="1"/>
  <c r="J26" i="59"/>
  <c r="L26" i="59" s="1"/>
  <c r="K26" i="59"/>
  <c r="J17" i="59"/>
  <c r="L17" i="59" s="1"/>
  <c r="K17" i="59"/>
  <c r="J12" i="59"/>
  <c r="L12" i="59" s="1"/>
  <c r="K12" i="59"/>
  <c r="J49" i="59"/>
  <c r="L49" i="59" s="1"/>
  <c r="K49" i="59"/>
  <c r="K18" i="49"/>
  <c r="G18" i="49" s="1"/>
  <c r="K21" i="29"/>
  <c r="G21" i="29" s="1"/>
  <c r="M60" i="59"/>
  <c r="H60" i="59" s="1"/>
  <c r="M31" i="59"/>
  <c r="J34" i="5"/>
  <c r="J38" i="5" s="1"/>
  <c r="F48" i="59" s="1"/>
  <c r="K48" i="59" s="1"/>
  <c r="F30" i="41"/>
  <c r="C41" i="64" s="1"/>
  <c r="J42" i="10" s="1"/>
  <c r="N17" i="41"/>
  <c r="R34" i="3"/>
  <c r="R37" i="3"/>
  <c r="N28" i="40"/>
  <c r="G28" i="40" s="1"/>
  <c r="J21" i="22"/>
  <c r="L21" i="22" s="1"/>
  <c r="K21" i="22"/>
  <c r="M20" i="22"/>
  <c r="F20" i="22" s="1"/>
  <c r="J15" i="10"/>
  <c r="K53" i="10"/>
  <c r="J53" i="10"/>
  <c r="H16" i="47"/>
  <c r="J16" i="47" s="1"/>
  <c r="K16" i="47" s="1"/>
  <c r="G16" i="47" s="1"/>
  <c r="C47" i="64"/>
  <c r="K54" i="10"/>
  <c r="J54" i="10"/>
  <c r="K49" i="10"/>
  <c r="J49" i="10"/>
  <c r="K33" i="10"/>
  <c r="J33" i="10"/>
  <c r="H19" i="49"/>
  <c r="J19" i="49" s="1"/>
  <c r="K19" i="49" s="1"/>
  <c r="G19" i="49" s="1"/>
  <c r="C49" i="64"/>
  <c r="J34" i="10"/>
  <c r="K34" i="10"/>
  <c r="K40" i="10"/>
  <c r="J40" i="10"/>
  <c r="J47" i="10"/>
  <c r="K47" i="10"/>
  <c r="I31" i="5"/>
  <c r="I44" i="5" s="1"/>
  <c r="H15" i="20"/>
  <c r="J15" i="20" s="1"/>
  <c r="K15" i="20" s="1"/>
  <c r="G15" i="20" s="1"/>
  <c r="C20" i="64"/>
  <c r="K20" i="42"/>
  <c r="G20" i="42" s="1"/>
  <c r="I22" i="7"/>
  <c r="H21" i="42"/>
  <c r="I21" i="42"/>
  <c r="K28" i="35"/>
  <c r="F28" i="35"/>
  <c r="J33" i="13"/>
  <c r="G35" i="13"/>
  <c r="G33" i="13" s="1"/>
  <c r="J23" i="20"/>
  <c r="K23" i="20" s="1"/>
  <c r="G23" i="20" s="1"/>
  <c r="H19" i="21"/>
  <c r="J19" i="21" s="1"/>
  <c r="K19" i="21" s="1"/>
  <c r="G19" i="21" s="1"/>
  <c r="E21" i="21"/>
  <c r="J19" i="5"/>
  <c r="G12" i="35"/>
  <c r="M12" i="35"/>
  <c r="N12" i="35" s="1"/>
  <c r="K11" i="54"/>
  <c r="L11" i="54" s="1"/>
  <c r="H11" i="54" s="1"/>
  <c r="I23" i="29"/>
  <c r="E25" i="29"/>
  <c r="C29" i="64" s="1"/>
  <c r="H23" i="29"/>
  <c r="J23" i="29" s="1"/>
  <c r="H17" i="28"/>
  <c r="E19" i="28"/>
  <c r="I19" i="28" s="1"/>
  <c r="F53" i="59"/>
  <c r="M27" i="33"/>
  <c r="N27" i="33" s="1"/>
  <c r="H27" i="33"/>
  <c r="D24" i="23"/>
  <c r="K24" i="23" s="1"/>
  <c r="J22" i="23"/>
  <c r="L22" i="23" s="1"/>
  <c r="M22" i="23" s="1"/>
  <c r="F22" i="23" s="1"/>
  <c r="M17" i="41"/>
  <c r="H17" i="41"/>
  <c r="H24" i="17"/>
  <c r="H25" i="17" s="1"/>
  <c r="F25" i="17"/>
  <c r="J11" i="27"/>
  <c r="K11" i="27" s="1"/>
  <c r="G11" i="27"/>
  <c r="J28" i="5"/>
  <c r="J11" i="21"/>
  <c r="K11" i="21" s="1"/>
  <c r="G11" i="21" s="1"/>
  <c r="H31" i="5"/>
  <c r="H44" i="5" s="1"/>
  <c r="D29" i="40"/>
  <c r="F22" i="40"/>
  <c r="K22" i="40"/>
  <c r="M22" i="40" s="1"/>
  <c r="N22" i="40" s="1"/>
  <c r="G22" i="40" s="1"/>
  <c r="M11" i="19"/>
  <c r="F11" i="19" s="1"/>
  <c r="I21" i="54"/>
  <c r="K21" i="54" s="1"/>
  <c r="L21" i="54" s="1"/>
  <c r="H21" i="54" s="1"/>
  <c r="F31" i="54"/>
  <c r="J31" i="54" s="1"/>
  <c r="J15" i="29"/>
  <c r="K15" i="29" s="1"/>
  <c r="G15" i="29"/>
  <c r="J16" i="28"/>
  <c r="K16" i="28" s="1"/>
  <c r="G16" i="28"/>
  <c r="E20" i="17"/>
  <c r="F24" i="15"/>
  <c r="F25" i="15" s="1"/>
  <c r="C16" i="64" s="1"/>
  <c r="L29" i="33"/>
  <c r="G29" i="33"/>
  <c r="K29" i="33"/>
  <c r="M29" i="33" s="1"/>
  <c r="F14" i="59"/>
  <c r="I85" i="8"/>
  <c r="L52" i="59"/>
  <c r="M52" i="59" s="1"/>
  <c r="H52" i="59" s="1"/>
  <c r="G26" i="35"/>
  <c r="M26" i="35"/>
  <c r="N26" i="35" s="1"/>
  <c r="I18" i="27"/>
  <c r="F20" i="27"/>
  <c r="I20" i="27" s="1"/>
  <c r="M42" i="35"/>
  <c r="N42" i="35" s="1"/>
  <c r="G42" i="35" s="1"/>
  <c r="H18" i="27"/>
  <c r="E20" i="27"/>
  <c r="I15" i="7"/>
  <c r="G32" i="7"/>
  <c r="D26" i="17"/>
  <c r="J22" i="13"/>
  <c r="J20" i="19"/>
  <c r="L20" i="19" s="1"/>
  <c r="M20" i="19" s="1"/>
  <c r="D23" i="19"/>
  <c r="K23" i="19" s="1"/>
  <c r="G16" i="27"/>
  <c r="J16" i="27"/>
  <c r="K16" i="27" s="1"/>
  <c r="F64" i="59"/>
  <c r="F56" i="59"/>
  <c r="G25" i="7"/>
  <c r="F63" i="59"/>
  <c r="K63" i="59" s="1"/>
  <c r="F44" i="59"/>
  <c r="J19" i="20"/>
  <c r="K19" i="20" s="1"/>
  <c r="G19" i="20" s="1"/>
  <c r="H25" i="7"/>
  <c r="H17" i="17"/>
  <c r="F22" i="35"/>
  <c r="K22" i="35"/>
  <c r="F12" i="19"/>
  <c r="L12" i="19"/>
  <c r="M12" i="19" s="1"/>
  <c r="H28" i="33"/>
  <c r="M28" i="33"/>
  <c r="N28" i="33" s="1"/>
  <c r="H32" i="9"/>
  <c r="D20" i="56"/>
  <c r="H38" i="7" l="1"/>
  <c r="I32" i="7"/>
  <c r="J53" i="59"/>
  <c r="L53" i="59" s="1"/>
  <c r="K53" i="59"/>
  <c r="C35" i="64"/>
  <c r="K36" i="10" s="1"/>
  <c r="F50" i="59"/>
  <c r="K50" i="59" s="1"/>
  <c r="C21" i="64"/>
  <c r="K22" i="10" s="1"/>
  <c r="I21" i="21"/>
  <c r="J44" i="59"/>
  <c r="L44" i="59" s="1"/>
  <c r="K44" i="59"/>
  <c r="M49" i="59"/>
  <c r="H49" i="59" s="1"/>
  <c r="M12" i="59"/>
  <c r="H12" i="59" s="1"/>
  <c r="J56" i="59"/>
  <c r="L56" i="59" s="1"/>
  <c r="K56" i="59"/>
  <c r="J64" i="59"/>
  <c r="L64" i="59" s="1"/>
  <c r="K64" i="59"/>
  <c r="M17" i="59"/>
  <c r="H17" i="59" s="1"/>
  <c r="J48" i="59"/>
  <c r="L48" i="59" s="1"/>
  <c r="M48" i="59" s="1"/>
  <c r="H48" i="59" s="1"/>
  <c r="M26" i="59"/>
  <c r="K42" i="10"/>
  <c r="R52" i="3"/>
  <c r="F20" i="19"/>
  <c r="F23" i="19" s="1"/>
  <c r="C19" i="64" s="1"/>
  <c r="M21" i="22"/>
  <c r="F21" i="22" s="1"/>
  <c r="J36" i="10"/>
  <c r="K48" i="10"/>
  <c r="J48" i="10"/>
  <c r="H20" i="27"/>
  <c r="J20" i="27" s="1"/>
  <c r="K20" i="27" s="1"/>
  <c r="C27" i="64"/>
  <c r="K50" i="10"/>
  <c r="J50" i="10"/>
  <c r="J30" i="10"/>
  <c r="K30" i="10"/>
  <c r="I31" i="54"/>
  <c r="K31" i="54" s="1"/>
  <c r="L31" i="54" s="1"/>
  <c r="H31" i="54" s="1"/>
  <c r="C54" i="64"/>
  <c r="H19" i="28"/>
  <c r="J19" i="28" s="1"/>
  <c r="K19" i="28" s="1"/>
  <c r="C28" i="64"/>
  <c r="K23" i="29"/>
  <c r="G23" i="29" s="1"/>
  <c r="J31" i="5"/>
  <c r="J44" i="5" s="1"/>
  <c r="J24" i="23"/>
  <c r="L24" i="23" s="1"/>
  <c r="M24" i="23" s="1"/>
  <c r="F24" i="23" s="1"/>
  <c r="C23" i="64"/>
  <c r="J23" i="19"/>
  <c r="L23" i="19" s="1"/>
  <c r="M23" i="19" s="1"/>
  <c r="K21" i="10"/>
  <c r="J21" i="10"/>
  <c r="J17" i="10"/>
  <c r="K17" i="10"/>
  <c r="H25" i="29"/>
  <c r="J25" i="29" s="1"/>
  <c r="I25" i="29"/>
  <c r="J21" i="42"/>
  <c r="K21" i="42" s="1"/>
  <c r="G21" i="42" s="1"/>
  <c r="N29" i="33"/>
  <c r="H29" i="33" s="1"/>
  <c r="G38" i="7"/>
  <c r="I38" i="7" s="1"/>
  <c r="I25" i="7"/>
  <c r="F20" i="17"/>
  <c r="E22" i="17"/>
  <c r="E26" i="17" s="1"/>
  <c r="N30" i="41"/>
  <c r="M30" i="41"/>
  <c r="O30" i="41" s="1"/>
  <c r="H30" i="41"/>
  <c r="J17" i="28"/>
  <c r="K17" i="28" s="1"/>
  <c r="G17" i="28" s="1"/>
  <c r="M28" i="35"/>
  <c r="N28" i="35" s="1"/>
  <c r="G28" i="35" s="1"/>
  <c r="F15" i="59"/>
  <c r="I94" i="8"/>
  <c r="F22" i="59"/>
  <c r="O17" i="41"/>
  <c r="P17" i="41" s="1"/>
  <c r="I17" i="41" s="1"/>
  <c r="H21" i="21"/>
  <c r="J21" i="21" s="1"/>
  <c r="B131" i="21"/>
  <c r="M22" i="35"/>
  <c r="N22" i="35" s="1"/>
  <c r="G22" i="35" s="1"/>
  <c r="F65" i="59"/>
  <c r="J63" i="59"/>
  <c r="J18" i="27"/>
  <c r="K18" i="27" s="1"/>
  <c r="G18" i="27"/>
  <c r="L29" i="40"/>
  <c r="F29" i="40"/>
  <c r="C40" i="64" s="1"/>
  <c r="P29" i="40"/>
  <c r="K29" i="40"/>
  <c r="M29" i="40" s="1"/>
  <c r="J36" i="13"/>
  <c r="H29" i="9"/>
  <c r="H35" i="9" s="1"/>
  <c r="K21" i="21" l="1"/>
  <c r="G21" i="21" s="1"/>
  <c r="M53" i="59"/>
  <c r="F54" i="59"/>
  <c r="K54" i="59" s="1"/>
  <c r="J50" i="59"/>
  <c r="L50" i="59" s="1"/>
  <c r="M50" i="59" s="1"/>
  <c r="H50" i="59" s="1"/>
  <c r="J22" i="10"/>
  <c r="F46" i="59"/>
  <c r="J46" i="59" s="1"/>
  <c r="L46" i="59" s="1"/>
  <c r="M44" i="59"/>
  <c r="H44" i="59" s="1"/>
  <c r="M56" i="59"/>
  <c r="H56" i="59" s="1"/>
  <c r="J65" i="59"/>
  <c r="L65" i="59" s="1"/>
  <c r="K65" i="59"/>
  <c r="M64" i="59"/>
  <c r="H64" i="59" s="1"/>
  <c r="G20" i="27"/>
  <c r="G19" i="28"/>
  <c r="K41" i="10"/>
  <c r="J41" i="10"/>
  <c r="K29" i="10"/>
  <c r="J29" i="10"/>
  <c r="K28" i="10"/>
  <c r="J28" i="10"/>
  <c r="J55" i="10"/>
  <c r="K55" i="10"/>
  <c r="N29" i="40"/>
  <c r="G29" i="40" s="1"/>
  <c r="K20" i="10"/>
  <c r="J20" i="10"/>
  <c r="K24" i="10"/>
  <c r="J24" i="10"/>
  <c r="K25" i="29"/>
  <c r="G25" i="29" s="1"/>
  <c r="P30" i="41"/>
  <c r="I30" i="41" s="1"/>
  <c r="L63" i="59"/>
  <c r="M63" i="59" s="1"/>
  <c r="H63" i="59" s="1"/>
  <c r="F25" i="59"/>
  <c r="I116" i="8"/>
  <c r="F16" i="59"/>
  <c r="H20" i="17"/>
  <c r="H22" i="17" s="1"/>
  <c r="H26" i="17" s="1"/>
  <c r="F22" i="17"/>
  <c r="F26" i="17" s="1"/>
  <c r="H50" i="9"/>
  <c r="J54" i="59" l="1"/>
  <c r="L54" i="59" s="1"/>
  <c r="M54" i="59" s="1"/>
  <c r="H54" i="59" s="1"/>
  <c r="K46" i="59"/>
  <c r="M46" i="59" s="1"/>
  <c r="H46" i="59" s="1"/>
  <c r="M65" i="59"/>
  <c r="H65" i="59" s="1"/>
  <c r="C17" i="64"/>
  <c r="K18" i="10" s="1"/>
  <c r="F36" i="59"/>
  <c r="F18" i="59"/>
  <c r="J18" i="10" l="1"/>
  <c r="F38" i="59"/>
  <c r="D21" i="56"/>
  <c r="B37" i="58" l="1"/>
  <c r="B60" i="4" l="1"/>
  <c r="B58" i="4"/>
  <c r="B45" i="4"/>
  <c r="B30" i="4"/>
  <c r="I47" i="4"/>
  <c r="F47" i="4"/>
  <c r="F60" i="4" l="1"/>
  <c r="F32" i="4"/>
  <c r="B47" i="4"/>
  <c r="B32" i="4"/>
  <c r="I60" i="4"/>
  <c r="I32" i="4"/>
  <c r="D47" i="4"/>
  <c r="D32" i="4"/>
  <c r="I61" i="4"/>
  <c r="I33" i="4"/>
  <c r="I39" i="4" l="1"/>
  <c r="J36" i="4" s="1"/>
  <c r="I66" i="4"/>
  <c r="J63" i="4" s="1"/>
  <c r="J30" i="4"/>
  <c r="J37" i="4"/>
  <c r="J33" i="4"/>
  <c r="J38" i="4"/>
  <c r="J34" i="4"/>
  <c r="J35" i="4"/>
  <c r="J64" i="4" l="1"/>
  <c r="J62" i="4"/>
  <c r="J61" i="4"/>
  <c r="J60" i="4"/>
  <c r="J59" i="4"/>
  <c r="J65" i="4"/>
  <c r="J58" i="4"/>
  <c r="J39" i="4"/>
  <c r="J66" i="4" l="1"/>
  <c r="I11" i="9"/>
  <c r="E10" i="19"/>
  <c r="F10" i="20" s="1"/>
  <c r="K11" i="5" l="1"/>
  <c r="J7" i="7" s="1"/>
  <c r="J11" i="6"/>
  <c r="O7" i="7" s="1"/>
  <c r="F10" i="21"/>
  <c r="E10" i="22" s="1"/>
  <c r="E10" i="23" s="1"/>
  <c r="F10" i="27" s="1"/>
  <c r="F10" i="28" s="1"/>
  <c r="F10" i="29" s="1"/>
  <c r="F18" i="20"/>
  <c r="F12" i="32" l="1"/>
  <c r="F10" i="33" s="1"/>
  <c r="G10" i="34" s="1"/>
  <c r="E10" i="35" s="1"/>
  <c r="E45" i="30"/>
  <c r="J12" i="8"/>
  <c r="G11" i="36" l="1"/>
  <c r="G21" i="36" s="1"/>
  <c r="E12" i="40"/>
  <c r="G10" i="41" s="1"/>
  <c r="F11" i="42" s="1"/>
  <c r="H10" i="43" s="1"/>
  <c r="G10" i="44" s="1"/>
  <c r="F10" i="45" s="1"/>
  <c r="F10" i="46" s="1"/>
  <c r="F10" i="47" s="1"/>
  <c r="G11" i="48" s="1"/>
  <c r="F10" i="49" s="1"/>
  <c r="G10" i="54" s="1"/>
  <c r="G10" i="55" s="1"/>
  <c r="G11" i="39"/>
  <c r="H31" i="36" l="1"/>
  <c r="G11" i="37"/>
  <c r="G17" i="37" s="1"/>
  <c r="H10" i="38" s="1"/>
  <c r="H11" i="5" l="1"/>
  <c r="G7" i="7" s="1"/>
  <c r="I11" i="6"/>
  <c r="N7" i="7" s="1"/>
  <c r="H11" i="9" l="1"/>
  <c r="D10" i="19"/>
  <c r="E10" i="20" s="1"/>
  <c r="I12" i="8"/>
  <c r="E18" i="20" l="1"/>
  <c r="E10" i="21"/>
  <c r="D10" i="22" s="1"/>
  <c r="D10" i="23" s="1"/>
  <c r="E10" i="27" s="1"/>
  <c r="E10" i="28" s="1"/>
  <c r="E10" i="29" s="1"/>
  <c r="D45" i="30" l="1"/>
  <c r="E12" i="32"/>
  <c r="E10" i="33" s="1"/>
  <c r="F10" i="34" s="1"/>
  <c r="D10" i="35" s="1"/>
  <c r="F11" i="39" l="1"/>
  <c r="D12" i="40"/>
  <c r="F10" i="41" s="1"/>
  <c r="E11" i="42" s="1"/>
  <c r="G10" i="43" s="1"/>
  <c r="F10" i="44" s="1"/>
  <c r="E10" i="45" s="1"/>
  <c r="E10" i="46" s="1"/>
  <c r="E10" i="47" s="1"/>
  <c r="F11" i="48" s="1"/>
  <c r="E10" i="49" s="1"/>
  <c r="F10" i="54" s="1"/>
  <c r="F10" i="55" s="1"/>
  <c r="F11" i="36"/>
  <c r="F21" i="36" l="1"/>
  <c r="F31" i="36" s="1"/>
  <c r="E11" i="37"/>
  <c r="E17" i="37" s="1"/>
  <c r="G10" i="38" s="1"/>
  <c r="K19" i="59" l="1"/>
  <c r="K59" i="59" l="1"/>
  <c r="I119" i="8" l="1"/>
  <c r="I26" i="17"/>
  <c r="J43" i="8"/>
  <c r="J79" i="8" s="1"/>
  <c r="H42" i="43"/>
  <c r="I125" i="8"/>
  <c r="I131" i="8" s="1"/>
  <c r="F19" i="59" l="1"/>
  <c r="J19" i="59" s="1"/>
  <c r="L19" i="59" s="1"/>
  <c r="M19" i="59" s="1"/>
  <c r="H19" i="59" s="1"/>
  <c r="I140" i="8"/>
  <c r="J42" i="43"/>
  <c r="H45" i="43"/>
  <c r="K42" i="43"/>
  <c r="J85" i="8"/>
  <c r="G14" i="59"/>
  <c r="H56" i="9"/>
  <c r="J14" i="59" l="1"/>
  <c r="L14" i="59" s="1"/>
  <c r="M14" i="59" s="1"/>
  <c r="H14" i="59" s="1"/>
  <c r="K14" i="59"/>
  <c r="G22" i="59"/>
  <c r="G15" i="59"/>
  <c r="J94" i="8"/>
  <c r="F20" i="59"/>
  <c r="I21" i="6"/>
  <c r="N17" i="7"/>
  <c r="N20" i="7" s="1"/>
  <c r="N25" i="7" s="1"/>
  <c r="N38" i="7" s="1"/>
  <c r="I39" i="7" s="1"/>
  <c r="H46" i="43"/>
  <c r="J45" i="43"/>
  <c r="L45" i="43" s="1"/>
  <c r="K45" i="43"/>
  <c r="I42" i="43"/>
  <c r="L42" i="43"/>
  <c r="M42" i="43" s="1"/>
  <c r="M45" i="43" l="1"/>
  <c r="I45" i="43" s="1"/>
  <c r="I24" i="6"/>
  <c r="J143" i="8"/>
  <c r="G16" i="59"/>
  <c r="J116" i="8"/>
  <c r="G25" i="59"/>
  <c r="J22" i="59"/>
  <c r="L22" i="59" s="1"/>
  <c r="M22" i="59" s="1"/>
  <c r="K22" i="59"/>
  <c r="K46" i="43"/>
  <c r="J46" i="43"/>
  <c r="L46" i="43" s="1"/>
  <c r="M46" i="43" s="1"/>
  <c r="I46" i="43" s="1"/>
  <c r="C43" i="64"/>
  <c r="J15" i="59"/>
  <c r="L15" i="59" s="1"/>
  <c r="M15" i="59" s="1"/>
  <c r="H15" i="59" s="1"/>
  <c r="K15" i="59"/>
  <c r="H53" i="9"/>
  <c r="H59" i="9" s="1"/>
  <c r="F59" i="59" s="1"/>
  <c r="J59" i="59" s="1"/>
  <c r="L59" i="59" s="1"/>
  <c r="M59" i="59" s="1"/>
  <c r="H59" i="59" s="1"/>
  <c r="K44" i="10" l="1"/>
  <c r="J44" i="10"/>
  <c r="G18" i="59"/>
  <c r="J140" i="8"/>
  <c r="J16" i="59"/>
  <c r="L16" i="59" s="1"/>
  <c r="M16" i="59" s="1"/>
  <c r="H16" i="59" s="1"/>
  <c r="K16" i="59"/>
  <c r="F41" i="59"/>
  <c r="F43" i="59"/>
  <c r="I29" i="6"/>
  <c r="K25" i="59"/>
  <c r="J25" i="59"/>
  <c r="L25" i="59" s="1"/>
  <c r="M25" i="59" s="1"/>
  <c r="H25" i="59" s="1"/>
  <c r="G36" i="59"/>
  <c r="F40" i="59" l="1"/>
  <c r="I41" i="6"/>
  <c r="J45" i="5" s="1"/>
  <c r="G20" i="59"/>
  <c r="O17" i="7"/>
  <c r="O20" i="7" s="1"/>
  <c r="O25" i="7" s="1"/>
  <c r="O38" i="7" s="1"/>
  <c r="J39" i="7" s="1"/>
  <c r="J21" i="6"/>
  <c r="J24" i="6" s="1"/>
  <c r="J18" i="59"/>
  <c r="L18" i="59" s="1"/>
  <c r="M18" i="59" s="1"/>
  <c r="H18" i="59" s="1"/>
  <c r="K18" i="59"/>
  <c r="K36" i="59"/>
  <c r="J36" i="59"/>
  <c r="L36" i="59" s="1"/>
  <c r="M36" i="59" s="1"/>
  <c r="H36" i="59" s="1"/>
  <c r="G38" i="59"/>
  <c r="F45" i="59"/>
  <c r="F47" i="59" l="1"/>
  <c r="K38" i="59"/>
  <c r="J38" i="59"/>
  <c r="L38" i="59" s="1"/>
  <c r="M38" i="59" s="1"/>
  <c r="H38" i="59" s="1"/>
  <c r="J29" i="6"/>
  <c r="G43" i="59"/>
  <c r="G41" i="59"/>
  <c r="K20" i="59"/>
  <c r="J20" i="59"/>
  <c r="L20" i="59" s="1"/>
  <c r="M20" i="59" s="1"/>
  <c r="H20" i="59" s="1"/>
  <c r="E21" i="56"/>
  <c r="K41" i="59" l="1"/>
  <c r="J41" i="59"/>
  <c r="L41" i="59" s="1"/>
  <c r="M41" i="59" s="1"/>
  <c r="H41" i="59" s="1"/>
  <c r="G45" i="59"/>
  <c r="K43" i="59"/>
  <c r="J43" i="59"/>
  <c r="L43" i="59" s="1"/>
  <c r="M43" i="59" s="1"/>
  <c r="H43" i="59" s="1"/>
  <c r="J41" i="6"/>
  <c r="K45" i="5" s="1"/>
  <c r="G40" i="59"/>
  <c r="F55" i="59"/>
  <c r="E25" i="56"/>
  <c r="I20" i="9"/>
  <c r="I38" i="9" s="1"/>
  <c r="K40" i="59" l="1"/>
  <c r="J40" i="59"/>
  <c r="L40" i="59" s="1"/>
  <c r="M40" i="59" s="1"/>
  <c r="H40" i="59" s="1"/>
  <c r="G47" i="59"/>
  <c r="K45" i="59"/>
  <c r="J45" i="59"/>
  <c r="L45" i="59" s="1"/>
  <c r="M45" i="59" s="1"/>
  <c r="H45" i="59" s="1"/>
  <c r="I98" i="9"/>
  <c r="K95" i="9" s="1"/>
  <c r="G58" i="59"/>
  <c r="G61" i="59" l="1"/>
  <c r="K61" i="59" s="1"/>
  <c r="K58" i="59"/>
  <c r="K47" i="59"/>
  <c r="G55" i="59"/>
  <c r="J47" i="59"/>
  <c r="L47" i="59" s="1"/>
  <c r="M47" i="59" s="1"/>
  <c r="H47" i="59" s="1"/>
  <c r="D25" i="56"/>
  <c r="C56" i="64" s="1"/>
  <c r="K57" i="10" l="1"/>
  <c r="J57" i="10"/>
  <c r="K55" i="59"/>
  <c r="J55" i="59"/>
  <c r="L55" i="59" s="1"/>
  <c r="M55" i="59" s="1"/>
  <c r="H55" i="59" s="1"/>
  <c r="H20" i="9"/>
  <c r="H38" i="9" s="1"/>
  <c r="F58" i="59" l="1"/>
  <c r="H98" i="9"/>
  <c r="K101" i="9" s="1"/>
  <c r="J58" i="59" l="1"/>
  <c r="L58" i="59" s="1"/>
  <c r="M58" i="59" s="1"/>
  <c r="H58" i="59" s="1"/>
  <c r="F61" i="59"/>
  <c r="J61" i="59" s="1"/>
  <c r="L61" i="59" s="1"/>
  <c r="M61" i="59" s="1"/>
  <c r="H61" i="5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BOUBACAR SOW</author>
  </authors>
  <commentList>
    <comment ref="E21" authorId="0" shapeId="0" xr:uid="{00000000-0006-0000-0400-000001000000}">
      <text>
        <r>
          <rPr>
            <b/>
            <sz val="9"/>
            <color indexed="81"/>
            <rFont val="Tahoma"/>
            <family val="2"/>
          </rPr>
          <t xml:space="preserve">BOUBACAR SOW:
</t>
        </r>
        <r>
          <rPr>
            <sz val="9"/>
            <color indexed="81"/>
            <rFont val="Tahoma"/>
            <family val="2"/>
          </rPr>
          <t>A RENSIGNER LE MONTANTS NETS DE N</t>
        </r>
      </text>
    </comment>
    <comment ref="F21" authorId="0" shapeId="0" xr:uid="{00000000-0006-0000-0400-000002000000}">
      <text>
        <r>
          <rPr>
            <b/>
            <sz val="9"/>
            <color indexed="81"/>
            <rFont val="Tahoma"/>
            <family val="2"/>
          </rPr>
          <t xml:space="preserve">BOUBACAR SOW:
</t>
        </r>
        <r>
          <rPr>
            <sz val="9"/>
            <color indexed="81"/>
            <rFont val="Tahoma"/>
            <family val="2"/>
          </rPr>
          <t>A RENSIGNER LE 
MONTANTS NETS DE N-1</t>
        </r>
        <r>
          <rPr>
            <b/>
            <sz val="9"/>
            <color indexed="81"/>
            <rFont val="Tahoma"/>
            <family val="2"/>
          </rPr>
          <t xml:space="preserve">
</t>
        </r>
      </text>
    </comment>
    <comment ref="E23" authorId="0" shapeId="0" xr:uid="{00000000-0006-0000-0400-000003000000}">
      <text>
        <r>
          <rPr>
            <b/>
            <sz val="9"/>
            <color indexed="81"/>
            <rFont val="Tahoma"/>
            <family val="2"/>
          </rPr>
          <t xml:space="preserve">BOUBACAR SOW:
</t>
        </r>
        <r>
          <rPr>
            <sz val="9"/>
            <color indexed="81"/>
            <rFont val="Tahoma"/>
            <family val="2"/>
          </rPr>
          <t>A RENSIGNER LE MONTANTS NETS DE N</t>
        </r>
      </text>
    </comment>
    <comment ref="F23" authorId="0" shapeId="0" xr:uid="{00000000-0006-0000-0400-000004000000}">
      <text>
        <r>
          <rPr>
            <b/>
            <sz val="9"/>
            <color indexed="81"/>
            <rFont val="Tahoma"/>
            <family val="2"/>
          </rPr>
          <t xml:space="preserve">BOUBACAR SOW:
</t>
        </r>
        <r>
          <rPr>
            <sz val="9"/>
            <color indexed="81"/>
            <rFont val="Tahoma"/>
            <family val="2"/>
          </rPr>
          <t>A RENSIGNER LE
MONTANTS NETS DE N-1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D16" authorId="0" shapeId="0" xr:uid="{00000000-0006-0000-0600-000001000000}">
      <text>
        <r>
          <rPr>
            <b/>
            <sz val="9"/>
            <color indexed="81"/>
            <rFont val="Tahoma"/>
            <family val="2"/>
          </rPr>
          <t>BOUBACAR SOW:</t>
        </r>
        <r>
          <rPr>
            <sz val="9"/>
            <color indexed="81"/>
            <rFont val="Tahoma"/>
            <family val="2"/>
          </rPr>
          <t xml:space="preserve">
A RENSIGNER LE MONTANTS NETS DE N</t>
        </r>
      </text>
    </comment>
    <comment ref="E16" authorId="0" shapeId="0" xr:uid="{00000000-0006-0000-0600-000002000000}">
      <text>
        <r>
          <rPr>
            <b/>
            <sz val="9"/>
            <color indexed="81"/>
            <rFont val="Tahoma"/>
            <family val="2"/>
          </rPr>
          <t xml:space="preserve">BOUBACAR SOW:
</t>
        </r>
        <r>
          <rPr>
            <sz val="9"/>
            <color indexed="81"/>
            <rFont val="Tahoma"/>
            <family val="2"/>
          </rPr>
          <t>A RENSIGNER LE 
MONTANTS NETS DE N-1</t>
        </r>
      </text>
    </comment>
    <comment ref="D17" authorId="0" shapeId="0" xr:uid="{00000000-0006-0000-0600-000003000000}">
      <text>
        <r>
          <rPr>
            <b/>
            <sz val="9"/>
            <color indexed="81"/>
            <rFont val="Tahoma"/>
            <family val="2"/>
          </rPr>
          <t>BOUBACAR SOW:</t>
        </r>
        <r>
          <rPr>
            <sz val="9"/>
            <color indexed="81"/>
            <rFont val="Tahoma"/>
            <family val="2"/>
          </rPr>
          <t xml:space="preserve">
A RENSIGNER LE MONTANTS NETS DE N</t>
        </r>
      </text>
    </comment>
    <comment ref="E17" authorId="0" shapeId="0" xr:uid="{00000000-0006-0000-0600-000004000000}">
      <text>
        <r>
          <rPr>
            <b/>
            <sz val="9"/>
            <color indexed="81"/>
            <rFont val="Tahoma"/>
            <family val="2"/>
          </rPr>
          <t xml:space="preserve">BOUBACAR SOW:
</t>
        </r>
        <r>
          <rPr>
            <sz val="9"/>
            <color indexed="81"/>
            <rFont val="Tahoma"/>
            <family val="2"/>
          </rPr>
          <t>A RENSIGNER LE MONTANTS NETS DE N-1</t>
        </r>
      </text>
    </comment>
  </commentList>
</comments>
</file>

<file path=xl/sharedStrings.xml><?xml version="1.0" encoding="utf-8"?>
<sst xmlns="http://schemas.openxmlformats.org/spreadsheetml/2006/main" count="543" uniqueCount="314">
  <si>
    <t xml:space="preserve"> </t>
  </si>
  <si>
    <t>ZA</t>
  </si>
  <si>
    <t>ZB</t>
  </si>
  <si>
    <t>ZC</t>
  </si>
  <si>
    <t>ZD</t>
  </si>
  <si>
    <t>ZE</t>
  </si>
  <si>
    <t>ZF</t>
  </si>
  <si>
    <t>ZG</t>
  </si>
  <si>
    <t xml:space="preserve">       </t>
  </si>
  <si>
    <t>ZH</t>
  </si>
  <si>
    <t>ZI</t>
  </si>
  <si>
    <t xml:space="preserve">      NON</t>
  </si>
  <si>
    <t>Signature</t>
  </si>
  <si>
    <t>ZK</t>
  </si>
  <si>
    <t>ZQ</t>
  </si>
  <si>
    <t>ZL</t>
  </si>
  <si>
    <t>ZR</t>
  </si>
  <si>
    <t>ZM</t>
  </si>
  <si>
    <t>ZS</t>
  </si>
  <si>
    <t>ZN</t>
  </si>
  <si>
    <t>ZU</t>
  </si>
  <si>
    <t>ZP</t>
  </si>
  <si>
    <t xml:space="preserve">    TOTAL</t>
  </si>
  <si>
    <t xml:space="preserve">                </t>
  </si>
  <si>
    <t>%</t>
  </si>
  <si>
    <t>TOTAL</t>
  </si>
  <si>
    <t>REF</t>
  </si>
  <si>
    <t>Note</t>
  </si>
  <si>
    <t>NET</t>
  </si>
  <si>
    <t>AD</t>
  </si>
  <si>
    <t>AE</t>
  </si>
  <si>
    <t>AF</t>
  </si>
  <si>
    <t>AG</t>
  </si>
  <si>
    <t>AH</t>
  </si>
  <si>
    <t>AI</t>
  </si>
  <si>
    <t>AJ</t>
  </si>
  <si>
    <t>AK</t>
  </si>
  <si>
    <t>AL</t>
  </si>
  <si>
    <t>AM</t>
  </si>
  <si>
    <t>AN</t>
  </si>
  <si>
    <t>AP</t>
  </si>
  <si>
    <t>AQ</t>
  </si>
  <si>
    <t>AR</t>
  </si>
  <si>
    <t>AS</t>
  </si>
  <si>
    <t>AZ</t>
  </si>
  <si>
    <t>BA</t>
  </si>
  <si>
    <t>BB</t>
  </si>
  <si>
    <t>BG</t>
  </si>
  <si>
    <t>BH</t>
  </si>
  <si>
    <t>BI</t>
  </si>
  <si>
    <t>BJ</t>
  </si>
  <si>
    <t>BK</t>
  </si>
  <si>
    <t>BQ</t>
  </si>
  <si>
    <t>BR</t>
  </si>
  <si>
    <t>BS</t>
  </si>
  <si>
    <t>BT</t>
  </si>
  <si>
    <t>BU</t>
  </si>
  <si>
    <t>BZ</t>
  </si>
  <si>
    <t>TOTAL GENERAL</t>
  </si>
  <si>
    <t>NOTE</t>
  </si>
  <si>
    <t>CA</t>
  </si>
  <si>
    <t>CB</t>
  </si>
  <si>
    <t>CD</t>
  </si>
  <si>
    <t>CE</t>
  </si>
  <si>
    <t>3E</t>
  </si>
  <si>
    <t>CF</t>
  </si>
  <si>
    <t>CG</t>
  </si>
  <si>
    <t>CH</t>
  </si>
  <si>
    <t>CJ</t>
  </si>
  <si>
    <t>CL</t>
  </si>
  <si>
    <t>CM</t>
  </si>
  <si>
    <t>CP</t>
  </si>
  <si>
    <t>DA</t>
  </si>
  <si>
    <t>DB</t>
  </si>
  <si>
    <t>DC</t>
  </si>
  <si>
    <t>DD</t>
  </si>
  <si>
    <t>DF</t>
  </si>
  <si>
    <t>DH</t>
  </si>
  <si>
    <t>DI</t>
  </si>
  <si>
    <t>DJ</t>
  </si>
  <si>
    <t>DK</t>
  </si>
  <si>
    <t>DM</t>
  </si>
  <si>
    <t xml:space="preserve">DN </t>
  </si>
  <si>
    <t>DP</t>
  </si>
  <si>
    <t>DQ</t>
  </si>
  <si>
    <t>DR</t>
  </si>
  <si>
    <t>DT</t>
  </si>
  <si>
    <t>DV</t>
  </si>
  <si>
    <t>DZ</t>
  </si>
  <si>
    <t>3</t>
  </si>
  <si>
    <t>DN</t>
  </si>
  <si>
    <t>TA</t>
  </si>
  <si>
    <t>A</t>
  </si>
  <si>
    <t>+</t>
  </si>
  <si>
    <t xml:space="preserve">RA </t>
  </si>
  <si>
    <t>-</t>
  </si>
  <si>
    <t xml:space="preserve">RB </t>
  </si>
  <si>
    <t>±</t>
  </si>
  <si>
    <t>XA</t>
  </si>
  <si>
    <t>TB</t>
  </si>
  <si>
    <t>B</t>
  </si>
  <si>
    <t>TC</t>
  </si>
  <si>
    <t>C</t>
  </si>
  <si>
    <t>TD</t>
  </si>
  <si>
    <t>D</t>
  </si>
  <si>
    <t>XB</t>
  </si>
  <si>
    <t>TE</t>
  </si>
  <si>
    <t>TF</t>
  </si>
  <si>
    <t>TG</t>
  </si>
  <si>
    <t>TH</t>
  </si>
  <si>
    <t>TI</t>
  </si>
  <si>
    <t>RC</t>
  </si>
  <si>
    <t>RD</t>
  </si>
  <si>
    <t>RE</t>
  </si>
  <si>
    <t>RF</t>
  </si>
  <si>
    <t>RG</t>
  </si>
  <si>
    <t>RH</t>
  </si>
  <si>
    <t>RI</t>
  </si>
  <si>
    <t>RJ</t>
  </si>
  <si>
    <t>XC</t>
  </si>
  <si>
    <t>RK</t>
  </si>
  <si>
    <t>XD</t>
  </si>
  <si>
    <t>TJ</t>
  </si>
  <si>
    <t>RL</t>
  </si>
  <si>
    <t>3C &amp; 28</t>
  </si>
  <si>
    <t>XE</t>
  </si>
  <si>
    <t>TK</t>
  </si>
  <si>
    <t>TR</t>
  </si>
  <si>
    <t>TM</t>
  </si>
  <si>
    <t>RM</t>
  </si>
  <si>
    <t>RN</t>
  </si>
  <si>
    <t>XF</t>
  </si>
  <si>
    <t>XG</t>
  </si>
  <si>
    <t>TN</t>
  </si>
  <si>
    <t>3D</t>
  </si>
  <si>
    <t>TO</t>
  </si>
  <si>
    <t>RO</t>
  </si>
  <si>
    <t>RP</t>
  </si>
  <si>
    <t>XH</t>
  </si>
  <si>
    <t>RQ</t>
  </si>
  <si>
    <t>RS</t>
  </si>
  <si>
    <t>XI</t>
  </si>
  <si>
    <t>FA</t>
  </si>
  <si>
    <t>FB</t>
  </si>
  <si>
    <t>FC</t>
  </si>
  <si>
    <t>FD</t>
  </si>
  <si>
    <t>FE</t>
  </si>
  <si>
    <t>FF</t>
  </si>
  <si>
    <t>FG</t>
  </si>
  <si>
    <t>FH</t>
  </si>
  <si>
    <t>FI</t>
  </si>
  <si>
    <t>FJ</t>
  </si>
  <si>
    <t>FK</t>
  </si>
  <si>
    <t>FL</t>
  </si>
  <si>
    <t>FM</t>
  </si>
  <si>
    <t>FN</t>
  </si>
  <si>
    <t>FO</t>
  </si>
  <si>
    <t>FP</t>
  </si>
  <si>
    <t>FQ</t>
  </si>
  <si>
    <t>E</t>
  </si>
  <si>
    <t>F</t>
  </si>
  <si>
    <t>G</t>
  </si>
  <si>
    <t>H</t>
  </si>
  <si>
    <t>NOTES</t>
  </si>
  <si>
    <t>N/A</t>
  </si>
  <si>
    <t>NOTE 1</t>
  </si>
  <si>
    <t>NOTE 2</t>
  </si>
  <si>
    <t>NOTE 3A</t>
  </si>
  <si>
    <t>NOTE 3B</t>
  </si>
  <si>
    <t>NOTE 3C</t>
  </si>
  <si>
    <t>NOTE 3D</t>
  </si>
  <si>
    <t>NOTE 3E</t>
  </si>
  <si>
    <t>NOTE 4</t>
  </si>
  <si>
    <t>NOTE 5</t>
  </si>
  <si>
    <t>NOTE 6</t>
  </si>
  <si>
    <t>NOTE 7</t>
  </si>
  <si>
    <t>NOTE 8</t>
  </si>
  <si>
    <t>NOTE 8A</t>
  </si>
  <si>
    <t>NOTE 8B</t>
  </si>
  <si>
    <t>NOTE 8C</t>
  </si>
  <si>
    <t>NOTE 9</t>
  </si>
  <si>
    <t>NOTE 10</t>
  </si>
  <si>
    <t>NOTE 11</t>
  </si>
  <si>
    <t>NOTE 12</t>
  </si>
  <si>
    <t>NOTE 13</t>
  </si>
  <si>
    <t>NOTE 14</t>
  </si>
  <si>
    <t>NOTE 15A</t>
  </si>
  <si>
    <t>NOTE 15B</t>
  </si>
  <si>
    <t>NOTE 16A</t>
  </si>
  <si>
    <t>NOTE 16B</t>
  </si>
  <si>
    <t>NOTE 16B bis</t>
  </si>
  <si>
    <t>NOTE 16C</t>
  </si>
  <si>
    <t>NOTE 17</t>
  </si>
  <si>
    <t>NOTE 18</t>
  </si>
  <si>
    <t>NOTE 19</t>
  </si>
  <si>
    <t>NOTE 20</t>
  </si>
  <si>
    <t>NOTE 21</t>
  </si>
  <si>
    <t>NOTE 22</t>
  </si>
  <si>
    <t>NOTE 23</t>
  </si>
  <si>
    <t>NOTE 24</t>
  </si>
  <si>
    <t>NOTE 25</t>
  </si>
  <si>
    <t>NOTE 26</t>
  </si>
  <si>
    <t>NOTE 27A</t>
  </si>
  <si>
    <t>NOTE 27B</t>
  </si>
  <si>
    <t>NOTE 28A</t>
  </si>
  <si>
    <t>NOTE 28B</t>
  </si>
  <si>
    <t>NOTE 28C</t>
  </si>
  <si>
    <t>NOTE 29</t>
  </si>
  <si>
    <t>NOTE 30</t>
  </si>
  <si>
    <t>NOTE 31</t>
  </si>
  <si>
    <t>NOTE 32</t>
  </si>
  <si>
    <t>NOTE 33</t>
  </si>
  <si>
    <t>NOTE 34</t>
  </si>
  <si>
    <t>NOTE 35</t>
  </si>
  <si>
    <t>X</t>
  </si>
  <si>
    <t>NOTE 36</t>
  </si>
  <si>
    <t>NOTES DGI</t>
  </si>
  <si>
    <t>PAGE DE GARDE</t>
  </si>
  <si>
    <t>FICHE R1</t>
  </si>
  <si>
    <t>FICHE R2</t>
  </si>
  <si>
    <t>dirigeants</t>
  </si>
  <si>
    <t>NOTES ANNEXES</t>
  </si>
  <si>
    <t>BILAN paysage</t>
  </si>
  <si>
    <t>ACTIF</t>
  </si>
  <si>
    <t>PASSIF</t>
  </si>
  <si>
    <t>COMPTE DE RESULTAT</t>
  </si>
  <si>
    <t>TABLEAU DE FLUX DE TRESORERIE</t>
  </si>
  <si>
    <t>NOTE 3 A</t>
  </si>
  <si>
    <t>NOTE 3 B</t>
  </si>
  <si>
    <t>NOTE 3 C</t>
  </si>
  <si>
    <t>NOTE 3 D</t>
  </si>
  <si>
    <t>NOTE 3 E</t>
  </si>
  <si>
    <t>NOTE 8 A</t>
  </si>
  <si>
    <t>NOTE 8 B</t>
  </si>
  <si>
    <t>NOTE 8 C</t>
  </si>
  <si>
    <t>NOTE 15 A</t>
  </si>
  <si>
    <t>NOTE 15 B</t>
  </si>
  <si>
    <t>NOTE 16 A</t>
  </si>
  <si>
    <t>NOTE 16 B</t>
  </si>
  <si>
    <t>NOTE 16 B bis</t>
  </si>
  <si>
    <t>NOTE 16 C</t>
  </si>
  <si>
    <t>NOTE 27 A</t>
  </si>
  <si>
    <t>NOTE 27 B</t>
  </si>
  <si>
    <t>NOTE 28 A</t>
  </si>
  <si>
    <t>NOTE 28 B</t>
  </si>
  <si>
    <t>NOTE 28 C</t>
  </si>
  <si>
    <t>DETAIL DES CHARGES</t>
  </si>
  <si>
    <t>SURETES RELLES</t>
  </si>
  <si>
    <t>TOTAL (1) + (2) + (3)</t>
  </si>
  <si>
    <t xml:space="preserve"> C</t>
  </si>
  <si>
    <t>D=A+B-C</t>
  </si>
  <si>
    <t>D = A + B - C</t>
  </si>
  <si>
    <t/>
  </si>
  <si>
    <t xml:space="preserve">                           </t>
  </si>
  <si>
    <t>E=D-C</t>
  </si>
  <si>
    <t>Liste des filiales et participations :</t>
  </si>
  <si>
    <t>les créances se composent comme suit:</t>
  </si>
  <si>
    <t>60 000 000 000 GNF créances du Ministère des l'Economie Numérique des Postes et telecommunications soit 70%</t>
  </si>
  <si>
    <t>2 459 249 689 GNF ARPT soit 3%</t>
  </si>
  <si>
    <t>1 979 293 926 GNF GUILAB soit 2%</t>
  </si>
  <si>
    <t>1 010 000 000 GNF Hotel Kaloum 1%</t>
  </si>
  <si>
    <t>941 728 815 GNF Université Gamal Adel Naser de Conakry 1%</t>
  </si>
  <si>
    <t>18 610 970 014 constituent des créances clients moins de neuf-cent millions</t>
  </si>
  <si>
    <t>6714 ------</t>
  </si>
  <si>
    <t>NOTE 9 TITRES DE PLACEMENT</t>
  </si>
  <si>
    <t>Valeur Nominale</t>
  </si>
  <si>
    <t>Ordinaires</t>
  </si>
  <si>
    <t>Préferences</t>
  </si>
  <si>
    <t xml:space="preserve">                       </t>
  </si>
  <si>
    <t>……………..</t>
  </si>
  <si>
    <t>……………</t>
  </si>
  <si>
    <t>…………..</t>
  </si>
  <si>
    <t>Année N-1</t>
  </si>
  <si>
    <t>Fournisseurs sous-traitants, avances et acomptes versés</t>
  </si>
  <si>
    <t>Fournisseurs, créances pour emballages et materiels à rendre</t>
  </si>
  <si>
    <t>Fournisseurs, Rabais, Remises, Ristournes et autres avoirs à obtenir</t>
  </si>
  <si>
    <t>rabais, remises, ristournes accordés (non ventilés)</t>
  </si>
  <si>
    <t>NOTE 24
SYSTEME NORMAL</t>
  </si>
  <si>
    <t>NOTE 27 A
SYSTEME NORMAL</t>
  </si>
  <si>
    <t>M</t>
  </si>
  <si>
    <t>YA</t>
  </si>
  <si>
    <t>YB</t>
  </si>
  <si>
    <t>YC</t>
  </si>
  <si>
    <t>YD</t>
  </si>
  <si>
    <t>YE</t>
  </si>
  <si>
    <t>TOTAL (1) (A)</t>
  </si>
  <si>
    <t>YF</t>
  </si>
  <si>
    <t>YG</t>
  </si>
  <si>
    <t>YH</t>
  </si>
  <si>
    <t>YI</t>
  </si>
  <si>
    <t>YJ</t>
  </si>
  <si>
    <t>YK</t>
  </si>
  <si>
    <t>YL</t>
  </si>
  <si>
    <t>TOTAL (2)</t>
  </si>
  <si>
    <t>YM</t>
  </si>
  <si>
    <t>YN</t>
  </si>
  <si>
    <t>YO</t>
  </si>
  <si>
    <t>TOTAL (1 + 2)</t>
  </si>
  <si>
    <t>NATURE</t>
  </si>
  <si>
    <t>NOTE 28 B : DEPRECIATIONS DES IMMOBILISATIONS</t>
  </si>
  <si>
    <t>D = A + B + C</t>
  </si>
  <si>
    <t>DIMINUTION : REPRISES</t>
  </si>
  <si>
    <t>(1)………………………..</t>
  </si>
  <si>
    <t>(1)……………………………</t>
  </si>
  <si>
    <t>(1)…………………………..</t>
  </si>
  <si>
    <t>France</t>
  </si>
  <si>
    <t>U.S.A</t>
  </si>
  <si>
    <t>Canada</t>
  </si>
  <si>
    <t>Association</t>
  </si>
  <si>
    <t>Construction</t>
  </si>
  <si>
    <t>RA</t>
  </si>
  <si>
    <t>RB</t>
  </si>
  <si>
    <t>Publications</t>
  </si>
  <si>
    <t>Missions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</si>
</sst>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quot;&quot;\-"/>
    <numFmt numFmtId="165" formatCode="#&quot;&quot;"/>
    <numFmt numFmtId="166" formatCode="_(* #,##0.00_);_(* \(#,##0.00\);_(* &quot;-&quot;??_);_(@_)"/>
    <numFmt numFmtId="167" formatCode="0#&quot;&quot;\-"/>
    <numFmt numFmtId="168" formatCode="0000"/>
    <numFmt numFmtId="169" formatCode="_(* #,##0_);_(* \(#,##0\);_(* &quot;-&quot;_);_(@_)"/>
    <numFmt numFmtId="170" formatCode="_(* #,##0_);_(* \(#,##0\);_(* &quot;-&quot;??_);_(@_)"/>
    <numFmt numFmtId="171" formatCode="#,##0\ _€"/>
    <numFmt numFmtId="172" formatCode="0.00%\ &quot;Points&quot;"/>
    <numFmt numFmtId="173" formatCode="_-* #,##0\ _F_-;\-* #,##0\ _F_-;_-* &quot;-&quot;\ _F_-;_-@_-"/>
  </numFmts>
  <fonts count="110">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b/>
      <sz val="11"/>
      <color theme="1"/>
      <name val="Arial"/>
      <family val="2"/>
    </font>
    <font>
      <sz val="12"/>
      <color theme="1"/>
      <name val="Calibri"/>
      <family val="2"/>
      <scheme val="minor"/>
    </font>
    <font>
      <sz val="12"/>
      <color theme="1"/>
      <name val="Algerian"/>
      <family val="5"/>
    </font>
    <font>
      <b/>
      <sz val="18"/>
      <color rgb="FF7030A0"/>
      <name val="Arial"/>
      <family val="2"/>
    </font>
    <font>
      <b/>
      <sz val="16"/>
      <color rgb="FF7030A0"/>
      <name val="Arial"/>
      <family val="2"/>
    </font>
    <font>
      <b/>
      <sz val="12"/>
      <color rgb="FF7030A0"/>
      <name val="Arial"/>
      <family val="2"/>
    </font>
    <font>
      <b/>
      <sz val="12"/>
      <color theme="5" tint="-0.249977111117893"/>
      <name val="Arial"/>
      <family val="2"/>
    </font>
    <font>
      <b/>
      <u/>
      <sz val="16"/>
      <color theme="5" tint="-0.249977111117893"/>
      <name val="Arial"/>
      <family val="2"/>
    </font>
    <font>
      <sz val="10"/>
      <name val="Arial"/>
      <family val="2"/>
    </font>
    <font>
      <b/>
      <sz val="11"/>
      <name val="Arial"/>
      <family val="2"/>
    </font>
    <font>
      <b/>
      <sz val="12"/>
      <name val="Arial"/>
      <family val="2"/>
    </font>
    <font>
      <b/>
      <sz val="10"/>
      <name val="Arial"/>
      <family val="2"/>
    </font>
    <font>
      <b/>
      <u/>
      <sz val="11"/>
      <name val="Arial"/>
      <family val="2"/>
    </font>
    <font>
      <sz val="10"/>
      <color theme="1"/>
      <name val="Calibri"/>
      <family val="2"/>
      <scheme val="minor"/>
    </font>
    <font>
      <b/>
      <u/>
      <sz val="11"/>
      <color theme="1"/>
      <name val="Arial"/>
      <family val="2"/>
    </font>
    <font>
      <b/>
      <sz val="10"/>
      <color theme="1"/>
      <name val="Arial"/>
      <family val="2"/>
    </font>
    <font>
      <sz val="14"/>
      <color theme="1"/>
      <name val="Arial Black"/>
      <family val="2"/>
    </font>
    <font>
      <sz val="11"/>
      <color theme="1"/>
      <name val="Arial Black"/>
      <family val="2"/>
    </font>
    <font>
      <sz val="16"/>
      <color theme="1"/>
      <name val="Arial Black"/>
      <family val="2"/>
    </font>
    <font>
      <b/>
      <sz val="10"/>
      <color theme="1"/>
      <name val="Arial Black"/>
      <family val="2"/>
    </font>
    <font>
      <sz val="11"/>
      <color theme="1"/>
      <name val="Arial"/>
      <family val="2"/>
    </font>
    <font>
      <b/>
      <u/>
      <sz val="16"/>
      <color theme="1"/>
      <name val="Arial Narrow"/>
      <family val="2"/>
    </font>
    <font>
      <b/>
      <sz val="14"/>
      <color theme="1"/>
      <name val="Calibri"/>
      <family val="2"/>
      <scheme val="minor"/>
    </font>
    <font>
      <b/>
      <sz val="12"/>
      <color theme="1"/>
      <name val="Arial"/>
      <family val="2"/>
    </font>
    <font>
      <b/>
      <sz val="16"/>
      <color theme="1"/>
      <name val="Calibri"/>
      <family val="2"/>
      <scheme val="minor"/>
    </font>
    <font>
      <sz val="10"/>
      <color theme="1"/>
      <name val="Arial"/>
      <family val="2"/>
    </font>
    <font>
      <sz val="14"/>
      <color theme="1"/>
      <name val="Calibri"/>
      <family val="2"/>
      <scheme val="minor"/>
    </font>
    <font>
      <sz val="16"/>
      <color theme="1"/>
      <name val="Calibri"/>
      <family val="2"/>
      <scheme val="minor"/>
    </font>
    <font>
      <sz val="12"/>
      <color theme="1"/>
      <name val="Arial Black"/>
      <family val="2"/>
    </font>
    <font>
      <sz val="18"/>
      <color theme="1"/>
      <name val="Calibri"/>
      <family val="2"/>
      <scheme val="minor"/>
    </font>
    <font>
      <sz val="12"/>
      <color theme="1"/>
      <name val="Arial"/>
      <family val="2"/>
    </font>
    <font>
      <sz val="11"/>
      <name val="Arial"/>
      <family val="2"/>
    </font>
    <font>
      <b/>
      <sz val="14"/>
      <name val="Arial"/>
      <family val="2"/>
    </font>
    <font>
      <sz val="10"/>
      <color indexed="8"/>
      <name val="Arial"/>
      <family val="2"/>
    </font>
    <font>
      <sz val="10"/>
      <color theme="0"/>
      <name val="Arial"/>
      <family val="2"/>
    </font>
    <font>
      <b/>
      <sz val="12"/>
      <color rgb="FF000000"/>
      <name val="Arial"/>
      <family val="2"/>
    </font>
    <font>
      <sz val="12"/>
      <color rgb="FF000000"/>
      <name val="Arial"/>
      <family val="2"/>
    </font>
    <font>
      <b/>
      <sz val="9"/>
      <color indexed="81"/>
      <name val="Tahoma"/>
      <family val="2"/>
    </font>
    <font>
      <sz val="9"/>
      <color indexed="81"/>
      <name val="Tahoma"/>
      <family val="2"/>
    </font>
    <font>
      <b/>
      <sz val="14"/>
      <color theme="1"/>
      <name val="Arial"/>
      <family val="2"/>
    </font>
    <font>
      <b/>
      <sz val="10"/>
      <color rgb="FF000000"/>
      <name val="Arial"/>
      <family val="2"/>
    </font>
    <font>
      <b/>
      <sz val="10"/>
      <name val="Arial Narrow"/>
      <family val="2"/>
    </font>
    <font>
      <b/>
      <sz val="10"/>
      <color theme="0"/>
      <name val="Arial Narrow"/>
      <family val="2"/>
    </font>
    <font>
      <b/>
      <sz val="14"/>
      <color rgb="FF000000"/>
      <name val="Calibri"/>
      <family val="2"/>
      <scheme val="minor"/>
    </font>
    <font>
      <sz val="9"/>
      <color theme="1"/>
      <name val="Arial"/>
      <family val="2"/>
    </font>
    <font>
      <sz val="14"/>
      <color rgb="FF000000"/>
      <name val="Calibri"/>
      <family val="2"/>
      <scheme val="minor"/>
    </font>
    <font>
      <sz val="8"/>
      <color theme="1"/>
      <name val="Arial"/>
      <family val="2"/>
    </font>
    <font>
      <b/>
      <sz val="9"/>
      <color theme="1"/>
      <name val="Arial"/>
      <family val="2"/>
    </font>
    <font>
      <sz val="9"/>
      <name val="Arial"/>
      <family val="2"/>
    </font>
    <font>
      <b/>
      <sz val="11"/>
      <color rgb="FF006600"/>
      <name val="Arial"/>
      <family val="2"/>
    </font>
    <font>
      <sz val="10"/>
      <color rgb="FF000000"/>
      <name val="Arial"/>
      <family val="2"/>
    </font>
    <font>
      <b/>
      <sz val="9"/>
      <color theme="1"/>
      <name val="Calibri"/>
      <family val="2"/>
      <scheme val="minor"/>
    </font>
    <font>
      <b/>
      <sz val="22"/>
      <color theme="1"/>
      <name val="Calibri"/>
      <family val="2"/>
      <scheme val="minor"/>
    </font>
    <font>
      <b/>
      <sz val="14"/>
      <color theme="1" tint="4.9989318521683403E-2"/>
      <name val="Calibri"/>
      <family val="2"/>
      <scheme val="minor"/>
    </font>
    <font>
      <sz val="9"/>
      <color theme="1"/>
      <name val="Calibri"/>
      <family val="2"/>
      <scheme val="minor"/>
    </font>
    <font>
      <sz val="9"/>
      <color theme="1" tint="4.9989318521683403E-2"/>
      <name val="Calibri"/>
      <family val="2"/>
      <scheme val="minor"/>
    </font>
    <font>
      <sz val="8"/>
      <color theme="1"/>
      <name val="Calibri"/>
      <family val="2"/>
      <scheme val="minor"/>
    </font>
    <font>
      <sz val="11"/>
      <color rgb="FF000000"/>
      <name val="Arial"/>
      <family val="2"/>
    </font>
    <font>
      <b/>
      <sz val="11"/>
      <color rgb="FF000000"/>
      <name val="Arial"/>
      <family val="2"/>
    </font>
    <font>
      <sz val="11"/>
      <name val="Calibri"/>
      <family val="2"/>
      <scheme val="minor"/>
    </font>
    <font>
      <b/>
      <sz val="12"/>
      <name val="Arial Narrow"/>
      <family val="2"/>
    </font>
    <font>
      <b/>
      <sz val="8"/>
      <color theme="1"/>
      <name val="Times New Roman"/>
      <family val="1"/>
    </font>
    <font>
      <sz val="8"/>
      <color theme="1"/>
      <name val="Times New Roman"/>
      <family val="1"/>
    </font>
    <font>
      <sz val="8"/>
      <color indexed="8"/>
      <name val="Times New Roman"/>
      <family val="1"/>
    </font>
    <font>
      <sz val="12"/>
      <color theme="1"/>
      <name val="Times New Roman"/>
      <family val="1"/>
    </font>
    <font>
      <sz val="11"/>
      <color rgb="FF000000"/>
      <name val="Calibri"/>
      <family val="2"/>
      <scheme val="minor"/>
    </font>
    <font>
      <b/>
      <u/>
      <sz val="10"/>
      <name val="Arial"/>
      <family val="2"/>
    </font>
    <font>
      <sz val="9"/>
      <color rgb="FF000000"/>
      <name val="Arial"/>
      <family val="2"/>
    </font>
    <font>
      <b/>
      <sz val="9"/>
      <color theme="1" tint="4.9989318521683403E-2"/>
      <name val="Arial"/>
      <family val="2"/>
    </font>
    <font>
      <b/>
      <sz val="9"/>
      <name val="Arial"/>
      <family val="2"/>
    </font>
    <font>
      <b/>
      <u/>
      <sz val="9"/>
      <name val="Arial"/>
      <family val="2"/>
    </font>
    <font>
      <b/>
      <i/>
      <sz val="9"/>
      <name val="Arial"/>
      <family val="2"/>
    </font>
    <font>
      <b/>
      <sz val="8"/>
      <color theme="1"/>
      <name val="Arial"/>
      <family val="2"/>
    </font>
    <font>
      <sz val="8"/>
      <name val="Arial"/>
      <family val="2"/>
    </font>
    <font>
      <b/>
      <sz val="8"/>
      <name val="Arial"/>
      <family val="2"/>
    </font>
    <font>
      <sz val="7"/>
      <color theme="1"/>
      <name val="Arial"/>
      <family val="2"/>
    </font>
    <font>
      <b/>
      <sz val="7"/>
      <color theme="1"/>
      <name val="Arial"/>
      <family val="2"/>
    </font>
    <font>
      <sz val="7"/>
      <color theme="1"/>
      <name val="Calibri"/>
      <family val="2"/>
      <scheme val="minor"/>
    </font>
    <font>
      <i/>
      <sz val="9"/>
      <color theme="1"/>
      <name val="Times New Roman"/>
      <family val="1"/>
    </font>
    <font>
      <sz val="12"/>
      <color theme="1"/>
      <name val="Symbol"/>
      <family val="1"/>
      <charset val="2"/>
    </font>
    <font>
      <b/>
      <i/>
      <sz val="8"/>
      <name val="Arial"/>
      <family val="2"/>
    </font>
    <font>
      <b/>
      <sz val="11"/>
      <color theme="1" tint="4.9989318521683403E-2"/>
      <name val="Arial"/>
      <family val="2"/>
    </font>
    <font>
      <b/>
      <sz val="9"/>
      <color rgb="FF000000"/>
      <name val="Arial"/>
      <family val="2"/>
    </font>
    <font>
      <sz val="8"/>
      <color rgb="FF000000"/>
      <name val="Arial"/>
      <family val="2"/>
    </font>
    <font>
      <sz val="21"/>
      <color rgb="FF222222"/>
      <name val="Inherit"/>
    </font>
    <font>
      <b/>
      <i/>
      <sz val="10"/>
      <name val="Arial"/>
      <family val="2"/>
    </font>
    <font>
      <sz val="11"/>
      <color rgb="FFFF0000"/>
      <name val="Arial"/>
      <family val="2"/>
    </font>
    <font>
      <b/>
      <i/>
      <sz val="11"/>
      <name val="Arial"/>
      <family val="2"/>
    </font>
    <font>
      <i/>
      <sz val="11"/>
      <name val="Arial"/>
      <family val="2"/>
    </font>
    <font>
      <b/>
      <sz val="10"/>
      <color theme="1"/>
      <name val="Calibri"/>
      <family val="2"/>
      <scheme val="minor"/>
    </font>
    <font>
      <sz val="12"/>
      <name val="Arial"/>
      <family val="2"/>
    </font>
    <font>
      <b/>
      <sz val="12"/>
      <color theme="1" tint="4.9989318521683403E-2"/>
      <name val="Arial"/>
      <family val="2"/>
    </font>
    <font>
      <i/>
      <sz val="11"/>
      <color theme="1"/>
      <name val="Times New Roman"/>
      <family val="1"/>
    </font>
    <font>
      <sz val="11"/>
      <color theme="1"/>
      <name val="Symbol"/>
      <family val="1"/>
      <charset val="2"/>
    </font>
    <font>
      <sz val="12"/>
      <color theme="0"/>
      <name val="Calibri"/>
      <family val="2"/>
      <scheme val="minor"/>
    </font>
    <font>
      <b/>
      <u/>
      <sz val="12"/>
      <name val="Arial"/>
      <family val="2"/>
    </font>
    <font>
      <i/>
      <sz val="10"/>
      <color theme="1"/>
      <name val="Arial"/>
      <family val="2"/>
    </font>
    <font>
      <i/>
      <sz val="10"/>
      <color indexed="8"/>
      <name val="Arial"/>
      <family val="2"/>
    </font>
    <font>
      <sz val="12"/>
      <color rgb="FFFF0000"/>
      <name val="Calibri"/>
      <family val="2"/>
      <scheme val="minor"/>
    </font>
    <font>
      <sz val="12"/>
      <color rgb="FF000000"/>
      <name val="Calibri"/>
      <family val="2"/>
      <scheme val="minor"/>
    </font>
    <font>
      <sz val="8"/>
      <color rgb="FF000000"/>
      <name val="Segoe UI"/>
      <family val="2"/>
    </font>
    <font>
      <b/>
      <sz val="28"/>
      <color rgb="FF000000"/>
      <name val="Calibri"/>
      <family val="2"/>
    </font>
    <font>
      <b/>
      <i/>
      <sz val="18"/>
      <color rgb="FFFF0000"/>
      <name val="Times New Roman"/>
      <family val="1"/>
    </font>
    <font>
      <b/>
      <i/>
      <sz val="20"/>
      <color rgb="FF993366"/>
      <name val="Calibri"/>
      <family val="2"/>
    </font>
  </fonts>
  <fills count="20">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FFFF"/>
        <bgColor indexed="64"/>
      </patternFill>
    </fill>
    <fill>
      <patternFill patternType="solid">
        <fgColor theme="4" tint="0.79998168889431442"/>
        <bgColor indexed="64"/>
      </patternFill>
    </fill>
    <fill>
      <patternFill patternType="lightUp">
        <bgColor theme="0" tint="-0.249977111117893"/>
      </patternFill>
    </fill>
    <fill>
      <patternFill patternType="lightUp">
        <bgColor theme="0" tint="-4.9989318521683403E-2"/>
      </patternFill>
    </fill>
    <fill>
      <patternFill patternType="darkGray">
        <bgColor theme="0"/>
      </patternFill>
    </fill>
    <fill>
      <patternFill patternType="solid">
        <fgColor theme="2"/>
        <bgColor indexed="64"/>
      </patternFill>
    </fill>
    <fill>
      <patternFill patternType="lightTrellis">
        <bgColor theme="0"/>
      </patternFill>
    </fill>
    <fill>
      <patternFill patternType="lightTrellis">
        <fgColor auto="1"/>
        <bgColor auto="1"/>
      </patternFill>
    </fill>
    <fill>
      <patternFill patternType="solid">
        <fgColor theme="4" tint="0.59999389629810485"/>
        <bgColor indexed="64"/>
      </patternFill>
    </fill>
    <fill>
      <patternFill patternType="solid">
        <fgColor theme="8" tint="0.59999389629810485"/>
        <bgColor indexed="64"/>
      </patternFill>
    </fill>
    <fill>
      <patternFill patternType="solid">
        <fgColor theme="4" tint="0.39997558519241921"/>
        <bgColor indexed="64"/>
      </patternFill>
    </fill>
    <fill>
      <patternFill patternType="solid">
        <fgColor rgb="FF00B050"/>
        <bgColor indexed="64"/>
      </patternFill>
    </fill>
    <fill>
      <patternFill patternType="solid">
        <fgColor rgb="FFFFFFFF"/>
        <bgColor rgb="FF000000"/>
      </patternFill>
    </fill>
  </fills>
  <borders count="167">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dashDotDot">
        <color indexed="64"/>
      </bottom>
      <diagonal/>
    </border>
    <border>
      <left/>
      <right style="thin">
        <color indexed="64"/>
      </right>
      <top style="thin">
        <color indexed="64"/>
      </top>
      <bottom style="dashDotDot">
        <color indexed="64"/>
      </bottom>
      <diagonal/>
    </border>
    <border>
      <left/>
      <right/>
      <top style="dashDotDot">
        <color indexed="64"/>
      </top>
      <bottom style="dashDotDot">
        <color indexed="64"/>
      </bottom>
      <diagonal/>
    </border>
    <border>
      <left/>
      <right/>
      <top/>
      <bottom style="dashDotDot">
        <color indexed="64"/>
      </bottom>
      <diagonal/>
    </border>
    <border>
      <left/>
      <right style="thin">
        <color indexed="64"/>
      </right>
      <top/>
      <bottom style="dashDotDot">
        <color indexed="64"/>
      </bottom>
      <diagonal/>
    </border>
    <border>
      <left/>
      <right/>
      <top style="dashDotDot">
        <color indexed="64"/>
      </top>
      <bottom/>
      <diagonal/>
    </border>
    <border>
      <left/>
      <right style="thin">
        <color indexed="64"/>
      </right>
      <top style="dashDotDot">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top style="medium">
        <color indexed="64"/>
      </top>
      <bottom/>
      <diagonal/>
    </border>
    <border>
      <left style="thin">
        <color indexed="64"/>
      </left>
      <right style="thin">
        <color indexed="64"/>
      </right>
      <top style="thin">
        <color indexed="64"/>
      </top>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indexed="64"/>
      </top>
      <bottom style="hair">
        <color indexed="64"/>
      </bottom>
      <diagonal/>
    </border>
    <border>
      <left style="thin">
        <color indexed="64"/>
      </left>
      <right/>
      <top/>
      <bottom style="hair">
        <color indexed="64"/>
      </bottom>
      <diagonal/>
    </border>
    <border>
      <left style="thin">
        <color indexed="64"/>
      </left>
      <right style="thin">
        <color indexed="64"/>
      </right>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right/>
      <top/>
      <bottom style="dashDot">
        <color indexed="64"/>
      </bottom>
      <diagonal/>
    </border>
    <border>
      <left/>
      <right/>
      <top style="dashDot">
        <color indexed="64"/>
      </top>
      <bottom style="dashDot">
        <color indexed="64"/>
      </bottom>
      <diagonal/>
    </border>
    <border>
      <left style="thin">
        <color theme="0" tint="-0.499984740745262"/>
      </left>
      <right/>
      <top style="thin">
        <color indexed="64"/>
      </top>
      <bottom/>
      <diagonal/>
    </border>
    <border>
      <left style="thin">
        <color indexed="64"/>
      </left>
      <right style="thin">
        <color theme="0" tint="-0.499984740745262"/>
      </right>
      <top style="thin">
        <color indexed="64"/>
      </top>
      <bottom style="thin">
        <color theme="0" tint="-0.499984740745262"/>
      </bottom>
      <diagonal/>
    </border>
    <border>
      <left style="thin">
        <color theme="0" tint="-0.499984740745262"/>
      </left>
      <right style="thin">
        <color indexed="64"/>
      </right>
      <top style="thin">
        <color indexed="64"/>
      </top>
      <bottom style="thin">
        <color theme="0" tint="-0.499984740745262"/>
      </bottom>
      <diagonal/>
    </border>
    <border>
      <left style="thin">
        <color theme="0" tint="-0.499984740745262"/>
      </left>
      <right/>
      <top/>
      <bottom/>
      <diagonal/>
    </border>
    <border>
      <left style="thin">
        <color indexed="64"/>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top/>
      <bottom style="thin">
        <color indexed="64"/>
      </bottom>
      <diagonal/>
    </border>
    <border>
      <left style="thin">
        <color indexed="64"/>
      </left>
      <right style="thin">
        <color theme="0" tint="-0.499984740745262"/>
      </right>
      <top style="thin">
        <color theme="0" tint="-0.499984740745262"/>
      </top>
      <bottom style="thin">
        <color indexed="64"/>
      </bottom>
      <diagonal/>
    </border>
    <border>
      <left style="thin">
        <color theme="0" tint="-0.499984740745262"/>
      </left>
      <right style="thin">
        <color indexed="64"/>
      </right>
      <top style="thin">
        <color theme="0" tint="-0.499984740745262"/>
      </top>
      <bottom style="thin">
        <color indexed="64"/>
      </bottom>
      <diagonal/>
    </border>
    <border>
      <left style="thin">
        <color theme="0" tint="-0.499984740745262"/>
      </left>
      <right/>
      <top style="thin">
        <color indexed="64"/>
      </top>
      <bottom style="thin">
        <color indexed="64"/>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right/>
      <top style="dashed">
        <color indexed="64"/>
      </top>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dashed">
        <color theme="0" tint="-0.499984740745262"/>
      </bottom>
      <diagonal/>
    </border>
    <border>
      <left style="thin">
        <color theme="0" tint="-0.499984740745262"/>
      </left>
      <right style="thin">
        <color theme="0" tint="-0.499984740745262"/>
      </right>
      <top/>
      <bottom style="dashed">
        <color theme="0" tint="-0.499984740745262"/>
      </bottom>
      <diagonal/>
    </border>
    <border>
      <left style="thin">
        <color theme="0" tint="-0.499984740745262"/>
      </left>
      <right style="thin">
        <color theme="0" tint="-0.499984740745262"/>
      </right>
      <top style="dashed">
        <color theme="0" tint="-0.499984740745262"/>
      </top>
      <bottom style="dashed">
        <color theme="0" tint="-0.499984740745262"/>
      </bottom>
      <diagonal/>
    </border>
    <border>
      <left/>
      <right/>
      <top/>
      <bottom style="dashed">
        <color indexed="64"/>
      </bottom>
      <diagonal/>
    </border>
    <border>
      <left/>
      <right/>
      <top style="dashed">
        <color indexed="64"/>
      </top>
      <bottom style="dashed">
        <color indexed="64"/>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style="thin">
        <color theme="1" tint="0.499984740745262"/>
      </bottom>
      <diagonal/>
    </border>
    <border>
      <left/>
      <right style="thin">
        <color theme="1" tint="0.499984740745262"/>
      </right>
      <top/>
      <bottom style="thin">
        <color theme="1" tint="0.499984740745262"/>
      </bottom>
      <diagonal/>
    </border>
    <border>
      <left style="thin">
        <color indexed="64"/>
      </left>
      <right style="thin">
        <color theme="1" tint="0.499984740745262"/>
      </right>
      <top style="thin">
        <color indexed="64"/>
      </top>
      <bottom/>
      <diagonal/>
    </border>
    <border>
      <left style="thin">
        <color indexed="64"/>
      </left>
      <right style="thin">
        <color indexed="64"/>
      </right>
      <top/>
      <bottom style="thin">
        <color theme="1" tint="0.499984740745262"/>
      </bottom>
      <diagonal/>
    </border>
    <border>
      <left style="thin">
        <color indexed="64"/>
      </left>
      <right style="thin">
        <color theme="1" tint="0.499984740745262"/>
      </right>
      <top/>
      <bottom style="thin">
        <color theme="1" tint="0.499984740745262"/>
      </bottom>
      <diagonal/>
    </border>
    <border>
      <left/>
      <right/>
      <top style="thin">
        <color theme="0" tint="-0.14996795556505021"/>
      </top>
      <bottom style="thin">
        <color theme="0" tint="-0.14996795556505021"/>
      </bottom>
      <diagonal/>
    </border>
    <border>
      <left/>
      <right/>
      <top/>
      <bottom style="hair">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theme="0" tint="-0.24994659260841701"/>
      </bottom>
      <diagonal/>
    </border>
    <border>
      <left/>
      <right/>
      <top/>
      <bottom style="thin">
        <color theme="0" tint="-0.24994659260841701"/>
      </bottom>
      <diagonal/>
    </border>
    <border>
      <left/>
      <right style="medium">
        <color indexed="64"/>
      </right>
      <top/>
      <bottom style="thin">
        <color theme="0" tint="-0.24994659260841701"/>
      </bottom>
      <diagonal/>
    </border>
    <border>
      <left style="medium">
        <color indexed="64"/>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medium">
        <color indexed="64"/>
      </right>
      <top style="thin">
        <color theme="0" tint="-0.24994659260841701"/>
      </top>
      <bottom style="thin">
        <color theme="0" tint="-0.24994659260841701"/>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top/>
      <bottom style="dashed">
        <color theme="0" tint="-0.499984740745262"/>
      </bottom>
      <diagonal/>
    </border>
    <border>
      <left style="thin">
        <color theme="1" tint="0.499984740745262"/>
      </left>
      <right style="thin">
        <color indexed="64"/>
      </right>
      <top style="thin">
        <color theme="1" tint="0.499984740745262"/>
      </top>
      <bottom/>
      <diagonal/>
    </border>
    <border>
      <left style="thin">
        <color indexed="64"/>
      </left>
      <right style="thin">
        <color indexed="64"/>
      </right>
      <top style="thin">
        <color theme="1" tint="0.499984740745262"/>
      </top>
      <bottom/>
      <diagonal/>
    </border>
    <border>
      <left style="thin">
        <color indexed="64"/>
      </left>
      <right/>
      <top style="thin">
        <color theme="1" tint="0.499984740745262"/>
      </top>
      <bottom/>
      <diagonal/>
    </border>
    <border>
      <left style="thin">
        <color theme="1" tint="0.499984740745262"/>
      </left>
      <right style="thin">
        <color indexed="64"/>
      </right>
      <top/>
      <bottom/>
      <diagonal/>
    </border>
    <border>
      <left style="thin">
        <color indexed="64"/>
      </left>
      <right style="thin">
        <color theme="1" tint="0.499984740745262"/>
      </right>
      <top/>
      <bottom/>
      <diagonal/>
    </border>
    <border>
      <left style="thin">
        <color theme="1" tint="0.499984740745262"/>
      </left>
      <right style="thin">
        <color indexed="64"/>
      </right>
      <top/>
      <bottom style="thin">
        <color theme="1" tint="0.499984740745262"/>
      </bottom>
      <diagonal/>
    </border>
    <border>
      <left style="thin">
        <color indexed="64"/>
      </left>
      <right/>
      <top/>
      <bottom style="thin">
        <color theme="1" tint="0.499984740745262"/>
      </bottom>
      <diagonal/>
    </border>
    <border>
      <left/>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style="thin">
        <color indexed="64"/>
      </right>
      <top style="thin">
        <color theme="1" tint="0.499984740745262"/>
      </top>
      <bottom style="thin">
        <color theme="1" tint="0.499984740745262"/>
      </bottom>
      <diagonal/>
    </border>
    <border>
      <left style="thin">
        <color indexed="64"/>
      </left>
      <right style="thin">
        <color indexed="64"/>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right/>
      <top/>
      <bottom style="thin">
        <color theme="0" tint="-0.14996795556505021"/>
      </bottom>
      <diagonal/>
    </border>
    <border>
      <left/>
      <right/>
      <top style="dashDotDot">
        <color indexed="64"/>
      </top>
      <bottom style="dashDot">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thin">
        <color theme="2"/>
      </top>
      <bottom style="thin">
        <color theme="2"/>
      </bottom>
      <diagonal/>
    </border>
    <border>
      <left style="thin">
        <color indexed="64"/>
      </left>
      <right style="thin">
        <color indexed="64"/>
      </right>
      <top style="thin">
        <color theme="1" tint="0.499984740745262"/>
      </top>
      <bottom style="thin">
        <color indexed="64"/>
      </bottom>
      <diagonal/>
    </border>
    <border>
      <left/>
      <right/>
      <top/>
      <bottom style="dashDotDot">
        <color theme="1" tint="0.499984740745262"/>
      </bottom>
      <diagonal/>
    </border>
    <border>
      <left/>
      <right/>
      <top style="dashDotDot">
        <color theme="1" tint="0.499984740745262"/>
      </top>
      <bottom style="dashDotDot">
        <color theme="1" tint="0.499984740745262"/>
      </bottom>
      <diagonal/>
    </border>
    <border>
      <left/>
      <right/>
      <top/>
      <bottom style="thin">
        <color theme="1" tint="0.499984740745262"/>
      </bottom>
      <diagonal/>
    </border>
    <border>
      <left/>
      <right/>
      <top style="dashDotDot">
        <color theme="1" tint="0.499984740745262"/>
      </top>
      <bottom/>
      <diagonal/>
    </border>
    <border>
      <left/>
      <right/>
      <top style="dotted">
        <color indexed="64"/>
      </top>
      <bottom style="dotted">
        <color indexed="64"/>
      </bottom>
      <diagonal/>
    </border>
    <border>
      <left/>
      <right/>
      <top style="dotted">
        <color indexed="64"/>
      </top>
      <bottom/>
      <diagonal/>
    </border>
    <border>
      <left/>
      <right/>
      <top/>
      <bottom style="dotted">
        <color indexed="64"/>
      </bottom>
      <diagonal/>
    </border>
    <border>
      <left/>
      <right/>
      <top style="dashDot">
        <color indexed="64"/>
      </top>
      <bottom/>
      <diagonal/>
    </border>
    <border>
      <left/>
      <right/>
      <top style="thin">
        <color indexed="64"/>
      </top>
      <bottom style="thin">
        <color theme="0" tint="-0.14996795556505021"/>
      </bottom>
      <diagonal/>
    </border>
    <border>
      <left/>
      <right/>
      <top style="dashDot">
        <color indexed="64"/>
      </top>
      <bottom style="dashDotDot">
        <color indexed="64"/>
      </bottom>
      <diagonal/>
    </border>
    <border>
      <left style="thin">
        <color rgb="FF808080"/>
      </left>
      <right/>
      <top style="thin">
        <color theme="1" tint="0.499984740745262"/>
      </top>
      <bottom style="thin">
        <color rgb="FF808080"/>
      </bottom>
      <diagonal/>
    </border>
    <border>
      <left style="thin">
        <color rgb="FF808080"/>
      </left>
      <right/>
      <top style="thin">
        <color rgb="FF808080"/>
      </top>
      <bottom style="thin">
        <color rgb="FF808080"/>
      </bottom>
      <diagonal/>
    </border>
    <border>
      <left style="thin">
        <color rgb="FF808080"/>
      </left>
      <right/>
      <top style="thin">
        <color rgb="FF808080"/>
      </top>
      <bottom style="thin">
        <color theme="1" tint="0.499984740745262"/>
      </bottom>
      <diagonal/>
    </border>
    <border>
      <left/>
      <right/>
      <top/>
      <bottom style="thin">
        <color theme="0" tint="-0.1499374370555742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indexed="64"/>
      </right>
      <top style="thin">
        <color indexed="64"/>
      </top>
      <bottom/>
      <diagonal/>
    </border>
    <border>
      <left/>
      <right/>
      <top/>
      <bottom style="dashed">
        <color theme="1" tint="0.499984740745262"/>
      </bottom>
      <diagonal/>
    </border>
    <border>
      <left style="thin">
        <color indexed="64"/>
      </left>
      <right style="thin">
        <color indexed="64"/>
      </right>
      <top style="hair">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thin">
        <color indexed="64"/>
      </right>
      <top style="hair">
        <color indexed="64"/>
      </top>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double">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theme="1" tint="0.499984740745262"/>
      </top>
      <bottom style="thin">
        <color theme="1" tint="0.499984740745262"/>
      </bottom>
      <diagonal/>
    </border>
    <border>
      <left style="thin">
        <color rgb="FF808080"/>
      </left>
      <right/>
      <top/>
      <bottom/>
      <diagonal/>
    </border>
    <border>
      <left/>
      <right/>
      <top style="thin">
        <color rgb="FFD9D9D9"/>
      </top>
      <bottom style="thin">
        <color rgb="FFD9D9D9"/>
      </bottom>
      <diagonal/>
    </border>
  </borders>
  <cellStyleXfs count="5">
    <xf numFmtId="0" fontId="0" fillId="0" borderId="0"/>
    <xf numFmtId="166" fontId="1" fillId="0" borderId="0" applyFont="0" applyFill="0" applyBorder="0" applyAlignment="0" applyProtection="0"/>
    <xf numFmtId="9" fontId="1" fillId="0" borderId="0" applyFont="0" applyFill="0" applyBorder="0" applyAlignment="0" applyProtection="0"/>
    <xf numFmtId="0" fontId="14" fillId="0" borderId="0"/>
    <xf numFmtId="0" fontId="14" fillId="0" borderId="0"/>
  </cellStyleXfs>
  <cellXfs count="2180">
    <xf numFmtId="0" fontId="0" fillId="0" borderId="0" xfId="0"/>
    <xf numFmtId="0" fontId="4" fillId="2" borderId="0" xfId="0" applyFont="1" applyFill="1"/>
    <xf numFmtId="0" fontId="0" fillId="2" borderId="0" xfId="0" applyFill="1"/>
    <xf numFmtId="0" fontId="6" fillId="2" borderId="1" xfId="0" applyFont="1" applyFill="1" applyBorder="1"/>
    <xf numFmtId="0" fontId="6" fillId="2" borderId="2" xfId="0" applyFont="1" applyFill="1" applyBorder="1"/>
    <xf numFmtId="0" fontId="5" fillId="2" borderId="2" xfId="0" applyFont="1" applyFill="1" applyBorder="1"/>
    <xf numFmtId="0" fontId="0" fillId="2" borderId="2" xfId="0" applyFill="1" applyBorder="1"/>
    <xf numFmtId="0" fontId="0" fillId="2" borderId="3" xfId="0" applyFill="1" applyBorder="1"/>
    <xf numFmtId="0" fontId="7" fillId="2" borderId="4" xfId="0" applyFont="1" applyFill="1" applyBorder="1"/>
    <xf numFmtId="0" fontId="7" fillId="2" borderId="0" xfId="0" applyFont="1" applyFill="1"/>
    <xf numFmtId="0" fontId="7" fillId="2" borderId="0" xfId="0" applyFont="1" applyFill="1" applyAlignment="1">
      <alignment horizontal="center"/>
    </xf>
    <xf numFmtId="0" fontId="0" fillId="2" borderId="5" xfId="0" applyFill="1" applyBorder="1"/>
    <xf numFmtId="0" fontId="8" fillId="2" borderId="0" xfId="0" applyFont="1" applyFill="1"/>
    <xf numFmtId="0" fontId="0" fillId="2" borderId="4" xfId="0" applyFill="1" applyBorder="1"/>
    <xf numFmtId="0" fontId="5" fillId="2" borderId="0" xfId="0" applyFont="1" applyFill="1"/>
    <xf numFmtId="164" fontId="7" fillId="2" borderId="0" xfId="0" applyNumberFormat="1" applyFont="1" applyFill="1" applyAlignment="1">
      <alignment horizontal="center"/>
    </xf>
    <xf numFmtId="164" fontId="7" fillId="2" borderId="0" xfId="0" applyNumberFormat="1" applyFont="1" applyFill="1"/>
    <xf numFmtId="165" fontId="7" fillId="2" borderId="0" xfId="0" applyNumberFormat="1" applyFont="1" applyFill="1"/>
    <xf numFmtId="0" fontId="11" fillId="2" borderId="4" xfId="0" applyFont="1" applyFill="1" applyBorder="1" applyAlignment="1">
      <alignment horizontal="left" vertical="center"/>
    </xf>
    <xf numFmtId="0" fontId="12" fillId="2" borderId="4" xfId="0" applyFont="1" applyFill="1" applyBorder="1" applyAlignment="1">
      <alignment vertical="center"/>
    </xf>
    <xf numFmtId="0" fontId="7" fillId="2" borderId="9" xfId="0" applyFont="1" applyFill="1" applyBorder="1"/>
    <xf numFmtId="0" fontId="7" fillId="2" borderId="10" xfId="0" applyFont="1" applyFill="1" applyBorder="1"/>
    <xf numFmtId="0" fontId="7" fillId="2" borderId="10" xfId="0" applyFont="1" applyFill="1" applyBorder="1" applyAlignment="1">
      <alignment horizontal="center"/>
    </xf>
    <xf numFmtId="0" fontId="0" fillId="2" borderId="10" xfId="0" applyFill="1" applyBorder="1"/>
    <xf numFmtId="0" fontId="0" fillId="2" borderId="11" xfId="0" applyFill="1" applyBorder="1"/>
    <xf numFmtId="0" fontId="7" fillId="2" borderId="2" xfId="0" applyFont="1" applyFill="1" applyBorder="1"/>
    <xf numFmtId="0" fontId="7" fillId="2" borderId="2" xfId="0" applyFont="1" applyFill="1" applyBorder="1" applyAlignment="1">
      <alignment horizontal="center"/>
    </xf>
    <xf numFmtId="0" fontId="16" fillId="2" borderId="4" xfId="3" applyFont="1" applyFill="1" applyBorder="1"/>
    <xf numFmtId="0" fontId="16" fillId="2" borderId="0" xfId="3" applyFont="1" applyFill="1"/>
    <xf numFmtId="0" fontId="17" fillId="2" borderId="0" xfId="3" applyFont="1" applyFill="1"/>
    <xf numFmtId="0" fontId="18" fillId="2" borderId="0" xfId="3" applyFont="1" applyFill="1"/>
    <xf numFmtId="0" fontId="18" fillId="2" borderId="0" xfId="3" applyFont="1" applyFill="1" applyAlignment="1">
      <alignment horizontal="left"/>
    </xf>
    <xf numFmtId="0" fontId="19" fillId="2" borderId="0" xfId="0" applyFont="1" applyFill="1"/>
    <xf numFmtId="0" fontId="20" fillId="2" borderId="0" xfId="0" applyFont="1" applyFill="1"/>
    <xf numFmtId="0" fontId="21" fillId="2" borderId="0" xfId="0" applyFont="1" applyFill="1"/>
    <xf numFmtId="0" fontId="0" fillId="2" borderId="9" xfId="0" applyFill="1" applyBorder="1"/>
    <xf numFmtId="0" fontId="6" fillId="2" borderId="10" xfId="0" applyFont="1" applyFill="1" applyBorder="1"/>
    <xf numFmtId="0" fontId="7" fillId="2" borderId="12" xfId="0" applyFont="1" applyFill="1" applyBorder="1"/>
    <xf numFmtId="0" fontId="7" fillId="2" borderId="13" xfId="0" applyFont="1" applyFill="1" applyBorder="1"/>
    <xf numFmtId="0" fontId="6" fillId="2" borderId="4" xfId="0" applyFont="1" applyFill="1" applyBorder="1"/>
    <xf numFmtId="0" fontId="7" fillId="2" borderId="15" xfId="0" applyFont="1" applyFill="1" applyBorder="1"/>
    <xf numFmtId="0" fontId="7" fillId="2" borderId="16" xfId="0" applyFont="1" applyFill="1" applyBorder="1"/>
    <xf numFmtId="0" fontId="7" fillId="2" borderId="5" xfId="0" applyFont="1" applyFill="1" applyBorder="1"/>
    <xf numFmtId="0" fontId="6" fillId="2" borderId="0" xfId="0" applyFont="1" applyFill="1"/>
    <xf numFmtId="0" fontId="7" fillId="2" borderId="17" xfId="0" applyFont="1" applyFill="1" applyBorder="1"/>
    <xf numFmtId="0" fontId="7" fillId="2" borderId="17" xfId="0" applyFont="1" applyFill="1" applyBorder="1" applyAlignment="1">
      <alignment horizontal="center"/>
    </xf>
    <xf numFmtId="0" fontId="7" fillId="2" borderId="18" xfId="0" applyFont="1" applyFill="1" applyBorder="1"/>
    <xf numFmtId="0" fontId="23" fillId="2" borderId="0" xfId="0" applyFont="1" applyFill="1"/>
    <xf numFmtId="164" fontId="21" fillId="2" borderId="19" xfId="0" applyNumberFormat="1" applyFont="1" applyFill="1" applyBorder="1" applyAlignment="1">
      <alignment horizontal="center"/>
    </xf>
    <xf numFmtId="165" fontId="21" fillId="2" borderId="19" xfId="0" applyNumberFormat="1" applyFont="1" applyFill="1" applyBorder="1" applyAlignment="1">
      <alignment horizontal="center"/>
    </xf>
    <xf numFmtId="0" fontId="23" fillId="2" borderId="4" xfId="0" applyFont="1" applyFill="1" applyBorder="1"/>
    <xf numFmtId="0" fontId="7" fillId="2" borderId="11" xfId="0" applyFont="1" applyFill="1" applyBorder="1"/>
    <xf numFmtId="0" fontId="25" fillId="2" borderId="4" xfId="0" applyFont="1" applyFill="1" applyBorder="1"/>
    <xf numFmtId="0" fontId="7" fillId="2" borderId="3" xfId="0" applyFont="1" applyFill="1" applyBorder="1"/>
    <xf numFmtId="0" fontId="7" fillId="2" borderId="20" xfId="0" applyFont="1" applyFill="1" applyBorder="1"/>
    <xf numFmtId="0" fontId="6" fillId="2" borderId="21" xfId="0" applyFont="1" applyFill="1" applyBorder="1" applyAlignment="1">
      <alignment vertical="center"/>
    </xf>
    <xf numFmtId="0" fontId="0" fillId="2" borderId="22" xfId="0" applyFill="1" applyBorder="1"/>
    <xf numFmtId="0" fontId="29" fillId="2" borderId="22" xfId="0" applyFont="1" applyFill="1" applyBorder="1"/>
    <xf numFmtId="0" fontId="5" fillId="2" borderId="22" xfId="0" applyFont="1" applyFill="1" applyBorder="1"/>
    <xf numFmtId="0" fontId="5" fillId="2" borderId="23" xfId="0" applyFont="1" applyFill="1" applyBorder="1"/>
    <xf numFmtId="0" fontId="6" fillId="2" borderId="22" xfId="0" applyFont="1" applyFill="1" applyBorder="1"/>
    <xf numFmtId="0" fontId="29" fillId="2" borderId="22" xfId="0" applyFont="1" applyFill="1" applyBorder="1" applyAlignment="1">
      <alignment horizontal="right"/>
    </xf>
    <xf numFmtId="0" fontId="21" fillId="2" borderId="21" xfId="0" applyFont="1" applyFill="1" applyBorder="1" applyAlignment="1">
      <alignment vertical="center"/>
    </xf>
    <xf numFmtId="166" fontId="6" fillId="2" borderId="22" xfId="1" applyFont="1" applyFill="1" applyBorder="1" applyAlignment="1"/>
    <xf numFmtId="0" fontId="21" fillId="2" borderId="21" xfId="0" applyFont="1" applyFill="1" applyBorder="1"/>
    <xf numFmtId="0" fontId="28" fillId="2" borderId="22" xfId="0" applyFont="1" applyFill="1" applyBorder="1" applyAlignment="1">
      <alignment horizontal="left"/>
    </xf>
    <xf numFmtId="0" fontId="21" fillId="2" borderId="22" xfId="0" applyFont="1" applyFill="1" applyBorder="1"/>
    <xf numFmtId="0" fontId="26" fillId="2" borderId="22" xfId="0" applyFont="1" applyFill="1" applyBorder="1"/>
    <xf numFmtId="167" fontId="6" fillId="2" borderId="10" xfId="0" applyNumberFormat="1" applyFont="1" applyFill="1" applyBorder="1"/>
    <xf numFmtId="167" fontId="6" fillId="2" borderId="10" xfId="0" applyNumberFormat="1" applyFont="1" applyFill="1" applyBorder="1" applyAlignment="1">
      <alignment horizontal="center"/>
    </xf>
    <xf numFmtId="168" fontId="6" fillId="2" borderId="10" xfId="0" applyNumberFormat="1" applyFont="1" applyFill="1" applyBorder="1" applyAlignment="1">
      <alignment horizontal="left"/>
    </xf>
    <xf numFmtId="0" fontId="6" fillId="2" borderId="22" xfId="0" applyFont="1" applyFill="1" applyBorder="1" applyAlignment="1">
      <alignment horizontal="right"/>
    </xf>
    <xf numFmtId="0" fontId="6" fillId="2" borderId="22" xfId="0" applyFont="1" applyFill="1" applyBorder="1" applyAlignment="1">
      <alignment horizontal="left"/>
    </xf>
    <xf numFmtId="0" fontId="0" fillId="2" borderId="23" xfId="0" applyFill="1" applyBorder="1"/>
    <xf numFmtId="0" fontId="29" fillId="2" borderId="9" xfId="0" applyFont="1" applyFill="1" applyBorder="1"/>
    <xf numFmtId="0" fontId="6" fillId="2" borderId="2" xfId="0" applyFont="1" applyFill="1" applyBorder="1" applyAlignment="1">
      <alignment horizontal="left"/>
    </xf>
    <xf numFmtId="0" fontId="28" fillId="2" borderId="2" xfId="0" applyFont="1" applyFill="1" applyBorder="1" applyAlignment="1">
      <alignment horizontal="left"/>
    </xf>
    <xf numFmtId="0" fontId="29" fillId="2" borderId="2" xfId="0" applyFont="1" applyFill="1" applyBorder="1"/>
    <xf numFmtId="167" fontId="6" fillId="2" borderId="2" xfId="0" applyNumberFormat="1" applyFont="1" applyFill="1" applyBorder="1"/>
    <xf numFmtId="168" fontId="6" fillId="2" borderId="2" xfId="0" applyNumberFormat="1" applyFont="1" applyFill="1" applyBorder="1" applyAlignment="1">
      <alignment horizontal="left"/>
    </xf>
    <xf numFmtId="0" fontId="25" fillId="3" borderId="19" xfId="0" applyFont="1" applyFill="1" applyBorder="1" applyAlignment="1">
      <alignment horizontal="center"/>
    </xf>
    <xf numFmtId="0" fontId="31" fillId="2" borderId="0" xfId="0" applyFont="1" applyFill="1"/>
    <xf numFmtId="0" fontId="32" fillId="2" borderId="0" xfId="0" applyFont="1" applyFill="1"/>
    <xf numFmtId="0" fontId="31" fillId="2" borderId="0" xfId="0" applyFont="1" applyFill="1" applyAlignment="1">
      <alignment horizontal="right"/>
    </xf>
    <xf numFmtId="167" fontId="21" fillId="2" borderId="19" xfId="0" applyNumberFormat="1" applyFont="1" applyFill="1" applyBorder="1" applyAlignment="1">
      <alignment horizontal="center"/>
    </xf>
    <xf numFmtId="0" fontId="21" fillId="2" borderId="19" xfId="0" applyFont="1" applyFill="1" applyBorder="1" applyAlignment="1">
      <alignment horizontal="center"/>
    </xf>
    <xf numFmtId="168" fontId="21" fillId="2" borderId="19" xfId="0" applyNumberFormat="1" applyFont="1" applyFill="1" applyBorder="1" applyAlignment="1">
      <alignment horizontal="center"/>
    </xf>
    <xf numFmtId="0" fontId="31" fillId="2" borderId="5" xfId="0" applyFont="1" applyFill="1" applyBorder="1"/>
    <xf numFmtId="0" fontId="0" fillId="2" borderId="21" xfId="0" applyFill="1" applyBorder="1" applyAlignment="1">
      <alignment horizontal="center"/>
    </xf>
    <xf numFmtId="0" fontId="31" fillId="2" borderId="0" xfId="0" applyFont="1" applyFill="1" applyAlignment="1">
      <alignment horizontal="center"/>
    </xf>
    <xf numFmtId="0" fontId="33" fillId="2" borderId="0" xfId="0" applyFont="1" applyFill="1"/>
    <xf numFmtId="0" fontId="21" fillId="2" borderId="22" xfId="0" applyFont="1" applyFill="1" applyBorder="1" applyAlignment="1">
      <alignment horizontal="left"/>
    </xf>
    <xf numFmtId="0" fontId="31" fillId="2" borderId="2" xfId="0" applyFont="1" applyFill="1" applyBorder="1"/>
    <xf numFmtId="0" fontId="21" fillId="2" borderId="9" xfId="0" applyFont="1" applyFill="1" applyBorder="1" applyAlignment="1">
      <alignment horizontal="center"/>
    </xf>
    <xf numFmtId="0" fontId="31" fillId="2" borderId="4" xfId="0" applyFont="1" applyFill="1" applyBorder="1"/>
    <xf numFmtId="0" fontId="32" fillId="2" borderId="1" xfId="0" applyFont="1" applyFill="1" applyBorder="1" applyAlignment="1">
      <alignment horizontal="center"/>
    </xf>
    <xf numFmtId="0" fontId="31" fillId="2" borderId="0" xfId="0" applyFont="1" applyFill="1" applyAlignment="1">
      <alignment vertical="top"/>
    </xf>
    <xf numFmtId="0" fontId="0" fillId="2" borderId="9" xfId="0" applyFill="1" applyBorder="1" applyAlignment="1">
      <alignment horizontal="center"/>
    </xf>
    <xf numFmtId="0" fontId="0" fillId="2" borderId="4" xfId="0" applyFill="1" applyBorder="1" applyAlignment="1">
      <alignment horizontal="center"/>
    </xf>
    <xf numFmtId="0" fontId="32" fillId="2" borderId="1" xfId="0" applyFont="1" applyFill="1" applyBorder="1"/>
    <xf numFmtId="0" fontId="32" fillId="2" borderId="4" xfId="0" applyFont="1" applyFill="1" applyBorder="1"/>
    <xf numFmtId="0" fontId="31" fillId="2" borderId="3" xfId="0" applyFont="1" applyFill="1" applyBorder="1"/>
    <xf numFmtId="0" fontId="31" fillId="2" borderId="10" xfId="0" applyFont="1" applyFill="1" applyBorder="1"/>
    <xf numFmtId="0" fontId="31" fillId="2" borderId="10" xfId="0" applyFont="1" applyFill="1" applyBorder="1" applyAlignment="1">
      <alignment horizontal="center" vertical="center"/>
    </xf>
    <xf numFmtId="0" fontId="31" fillId="2" borderId="11" xfId="0" applyFont="1" applyFill="1" applyBorder="1"/>
    <xf numFmtId="0" fontId="14" fillId="2" borderId="0" xfId="4" applyFill="1" applyAlignment="1" applyProtection="1">
      <alignment vertical="top"/>
      <protection hidden="1"/>
    </xf>
    <xf numFmtId="0" fontId="21" fillId="2" borderId="1" xfId="0" applyFont="1" applyFill="1" applyBorder="1"/>
    <xf numFmtId="0" fontId="21" fillId="2" borderId="2" xfId="0" applyFont="1" applyFill="1" applyBorder="1"/>
    <xf numFmtId="0" fontId="21" fillId="2" borderId="3" xfId="0" applyFont="1" applyFill="1" applyBorder="1"/>
    <xf numFmtId="0" fontId="21" fillId="2" borderId="4" xfId="0" applyFont="1" applyFill="1" applyBorder="1"/>
    <xf numFmtId="0" fontId="21" fillId="2" borderId="5" xfId="0" applyFont="1" applyFill="1" applyBorder="1"/>
    <xf numFmtId="0" fontId="21" fillId="2" borderId="25" xfId="0" applyFont="1" applyFill="1" applyBorder="1"/>
    <xf numFmtId="0" fontId="21" fillId="2" borderId="26" xfId="0" applyFont="1" applyFill="1" applyBorder="1"/>
    <xf numFmtId="0" fontId="21" fillId="2" borderId="27" xfId="0" applyFont="1" applyFill="1" applyBorder="1"/>
    <xf numFmtId="0" fontId="32" fillId="2" borderId="9" xfId="0" applyFont="1" applyFill="1" applyBorder="1"/>
    <xf numFmtId="0" fontId="29" fillId="2" borderId="0" xfId="0" applyFont="1" applyFill="1"/>
    <xf numFmtId="0" fontId="29" fillId="2" borderId="15" xfId="0" applyFont="1" applyFill="1" applyBorder="1"/>
    <xf numFmtId="0" fontId="35" fillId="2" borderId="0" xfId="0" applyFont="1" applyFill="1"/>
    <xf numFmtId="0" fontId="36" fillId="2" borderId="0" xfId="0" applyFont="1" applyFill="1"/>
    <xf numFmtId="169" fontId="16" fillId="2" borderId="14" xfId="0" applyNumberFormat="1" applyFont="1" applyFill="1" applyBorder="1" applyProtection="1">
      <protection hidden="1"/>
    </xf>
    <xf numFmtId="0" fontId="29" fillId="2" borderId="14" xfId="0" applyFont="1" applyFill="1" applyBorder="1"/>
    <xf numFmtId="0" fontId="29" fillId="2" borderId="14" xfId="0" applyFont="1" applyFill="1" applyBorder="1" applyAlignment="1">
      <alignment horizontal="left"/>
    </xf>
    <xf numFmtId="166" fontId="21" fillId="2" borderId="15" xfId="1" applyFont="1" applyFill="1" applyBorder="1" applyAlignment="1" applyProtection="1">
      <alignment horizontal="left"/>
    </xf>
    <xf numFmtId="0" fontId="36" fillId="2" borderId="14" xfId="0" applyFont="1" applyFill="1" applyBorder="1"/>
    <xf numFmtId="169" fontId="16" fillId="2" borderId="0" xfId="0" applyNumberFormat="1" applyFont="1" applyFill="1" applyAlignment="1" applyProtection="1">
      <alignment horizontal="right"/>
      <protection hidden="1"/>
    </xf>
    <xf numFmtId="0" fontId="35" fillId="2" borderId="14" xfId="0" applyFont="1" applyFill="1" applyBorder="1"/>
    <xf numFmtId="0" fontId="29" fillId="2" borderId="0" xfId="0" applyFont="1" applyFill="1" applyAlignment="1">
      <alignment horizontal="right"/>
    </xf>
    <xf numFmtId="0" fontId="29" fillId="2" borderId="0" xfId="0" applyFont="1" applyFill="1" applyAlignment="1">
      <alignment horizontal="left"/>
    </xf>
    <xf numFmtId="0" fontId="29" fillId="2" borderId="10" xfId="0" applyFont="1" applyFill="1" applyBorder="1" applyAlignment="1">
      <alignment horizontal="center"/>
    </xf>
    <xf numFmtId="0" fontId="29" fillId="2" borderId="1" xfId="0" applyFont="1" applyFill="1" applyBorder="1" applyAlignment="1">
      <alignment horizontal="center"/>
    </xf>
    <xf numFmtId="0" fontId="29" fillId="2" borderId="2" xfId="0" applyFont="1" applyFill="1" applyBorder="1" applyAlignment="1">
      <alignment horizontal="center"/>
    </xf>
    <xf numFmtId="0" fontId="29" fillId="2" borderId="22" xfId="0" applyFont="1" applyFill="1" applyBorder="1" applyAlignment="1">
      <alignment horizontal="center"/>
    </xf>
    <xf numFmtId="0" fontId="29" fillId="2" borderId="23" xfId="0" applyFont="1" applyFill="1" applyBorder="1" applyAlignment="1">
      <alignment horizontal="center"/>
    </xf>
    <xf numFmtId="0" fontId="14" fillId="2" borderId="0" xfId="4" applyFill="1" applyProtection="1">
      <protection hidden="1"/>
    </xf>
    <xf numFmtId="0" fontId="31" fillId="2" borderId="9" xfId="0" applyFont="1" applyFill="1" applyBorder="1"/>
    <xf numFmtId="0" fontId="31" fillId="2" borderId="21" xfId="0" applyFont="1" applyFill="1" applyBorder="1"/>
    <xf numFmtId="0" fontId="14" fillId="2" borderId="0" xfId="4" applyFill="1" applyAlignment="1" applyProtection="1">
      <alignment horizontal="center"/>
      <protection hidden="1"/>
    </xf>
    <xf numFmtId="0" fontId="31" fillId="2" borderId="1" xfId="0" applyFont="1" applyFill="1" applyBorder="1"/>
    <xf numFmtId="0" fontId="21" fillId="3" borderId="24" xfId="0" applyFont="1" applyFill="1" applyBorder="1" applyAlignment="1">
      <alignment horizontal="center" vertical="center"/>
    </xf>
    <xf numFmtId="0" fontId="26" fillId="2" borderId="0" xfId="0" applyFont="1" applyFill="1" applyAlignment="1">
      <alignment vertical="center"/>
    </xf>
    <xf numFmtId="0" fontId="21" fillId="2" borderId="19" xfId="0" applyFont="1" applyFill="1" applyBorder="1" applyAlignment="1">
      <alignment horizontal="center" vertical="center"/>
    </xf>
    <xf numFmtId="0" fontId="21" fillId="3" borderId="24" xfId="0" applyFont="1" applyFill="1" applyBorder="1"/>
    <xf numFmtId="0" fontId="37" fillId="2" borderId="0" xfId="4" applyFont="1" applyFill="1" applyAlignment="1" applyProtection="1">
      <alignment vertical="center"/>
      <protection hidden="1"/>
    </xf>
    <xf numFmtId="0" fontId="31" fillId="2" borderId="21" xfId="0" applyFont="1" applyFill="1" applyBorder="1" applyAlignment="1">
      <alignment horizontal="center"/>
    </xf>
    <xf numFmtId="0" fontId="26" fillId="2" borderId="0" xfId="0" applyFont="1" applyFill="1"/>
    <xf numFmtId="0" fontId="37" fillId="2" borderId="0" xfId="4" applyFont="1" applyFill="1" applyProtection="1">
      <protection hidden="1"/>
    </xf>
    <xf numFmtId="0" fontId="21" fillId="2" borderId="11" xfId="0" applyFont="1" applyFill="1" applyBorder="1" applyAlignment="1">
      <alignment horizontal="center" vertical="center"/>
    </xf>
    <xf numFmtId="0" fontId="21" fillId="2" borderId="21" xfId="0" applyFont="1" applyFill="1" applyBorder="1" applyAlignment="1">
      <alignment horizontal="center"/>
    </xf>
    <xf numFmtId="0" fontId="21" fillId="2" borderId="1" xfId="0" applyFont="1" applyFill="1" applyBorder="1" applyAlignment="1">
      <alignment horizontal="center"/>
    </xf>
    <xf numFmtId="0" fontId="26" fillId="2" borderId="4" xfId="0" applyFont="1" applyFill="1" applyBorder="1"/>
    <xf numFmtId="0" fontId="26" fillId="2" borderId="5" xfId="0" applyFont="1" applyFill="1" applyBorder="1"/>
    <xf numFmtId="0" fontId="26" fillId="2" borderId="9" xfId="0" applyFont="1" applyFill="1" applyBorder="1"/>
    <xf numFmtId="0" fontId="26" fillId="2" borderId="10" xfId="0" applyFont="1" applyFill="1" applyBorder="1"/>
    <xf numFmtId="0" fontId="26" fillId="2" borderId="11" xfId="0" applyFont="1" applyFill="1" applyBorder="1"/>
    <xf numFmtId="10" fontId="6" fillId="2" borderId="0" xfId="2" applyNumberFormat="1" applyFont="1" applyFill="1" applyBorder="1"/>
    <xf numFmtId="10" fontId="6" fillId="2" borderId="5" xfId="2" applyNumberFormat="1" applyFont="1" applyFill="1" applyBorder="1"/>
    <xf numFmtId="0" fontId="26" fillId="2" borderId="20" xfId="0" applyFont="1" applyFill="1" applyBorder="1"/>
    <xf numFmtId="0" fontId="6" fillId="2" borderId="19" xfId="0" applyFont="1" applyFill="1" applyBorder="1" applyAlignment="1">
      <alignment horizontal="center"/>
    </xf>
    <xf numFmtId="0" fontId="26" fillId="2" borderId="10" xfId="0" applyFont="1" applyFill="1" applyBorder="1" applyAlignment="1">
      <alignment horizontal="center"/>
    </xf>
    <xf numFmtId="10" fontId="6" fillId="2" borderId="10" xfId="2" applyNumberFormat="1" applyFont="1" applyFill="1" applyBorder="1"/>
    <xf numFmtId="10" fontId="6" fillId="2" borderId="11" xfId="2" applyNumberFormat="1" applyFont="1" applyFill="1" applyBorder="1"/>
    <xf numFmtId="0" fontId="26" fillId="2" borderId="0" xfId="0" applyFont="1" applyFill="1" applyAlignment="1">
      <alignment horizontal="center"/>
    </xf>
    <xf numFmtId="10" fontId="6" fillId="2" borderId="0" xfId="2" applyNumberFormat="1" applyFont="1" applyFill="1"/>
    <xf numFmtId="0" fontId="26" fillId="2" borderId="22" xfId="0" applyFont="1" applyFill="1" applyBorder="1" applyAlignment="1">
      <alignment horizontal="center"/>
    </xf>
    <xf numFmtId="0" fontId="6" fillId="2" borderId="11" xfId="0" applyFont="1" applyFill="1" applyBorder="1" applyAlignment="1">
      <alignment horizontal="center"/>
    </xf>
    <xf numFmtId="0" fontId="26" fillId="2" borderId="23" xfId="0" applyFont="1" applyFill="1" applyBorder="1"/>
    <xf numFmtId="0" fontId="26" fillId="2" borderId="2" xfId="0" applyFont="1" applyFill="1" applyBorder="1"/>
    <xf numFmtId="0" fontId="26" fillId="2" borderId="3" xfId="0" applyFont="1" applyFill="1" applyBorder="1"/>
    <xf numFmtId="49" fontId="38" fillId="2" borderId="0" xfId="3" applyNumberFormat="1" applyFont="1" applyFill="1"/>
    <xf numFmtId="0" fontId="38" fillId="2" borderId="0" xfId="3" applyFont="1" applyFill="1"/>
    <xf numFmtId="0" fontId="14" fillId="2" borderId="0" xfId="3" applyFill="1"/>
    <xf numFmtId="0" fontId="21" fillId="2" borderId="15" xfId="0" applyFont="1" applyFill="1" applyBorder="1" applyAlignment="1">
      <alignment horizontal="left"/>
    </xf>
    <xf numFmtId="0" fontId="0" fillId="2" borderId="15" xfId="0" applyFill="1" applyBorder="1"/>
    <xf numFmtId="1" fontId="17" fillId="2" borderId="0" xfId="0" applyNumberFormat="1" applyFont="1" applyFill="1" applyAlignment="1" applyProtection="1">
      <alignment horizontal="left"/>
      <protection hidden="1"/>
    </xf>
    <xf numFmtId="0" fontId="21" fillId="2" borderId="14" xfId="0" applyFont="1" applyFill="1" applyBorder="1"/>
    <xf numFmtId="0" fontId="0" fillId="2" borderId="14" xfId="0" applyFill="1" applyBorder="1"/>
    <xf numFmtId="169" fontId="17" fillId="2" borderId="14" xfId="0" applyNumberFormat="1" applyFont="1" applyFill="1" applyBorder="1" applyProtection="1">
      <protection hidden="1"/>
    </xf>
    <xf numFmtId="169" fontId="17" fillId="2" borderId="17" xfId="0" applyNumberFormat="1" applyFont="1" applyFill="1" applyBorder="1" applyProtection="1">
      <protection hidden="1"/>
    </xf>
    <xf numFmtId="0" fontId="31" fillId="2" borderId="14" xfId="0" applyFont="1" applyFill="1" applyBorder="1"/>
    <xf numFmtId="0" fontId="21" fillId="2" borderId="14" xfId="0" applyFont="1" applyFill="1" applyBorder="1" applyAlignment="1">
      <alignment horizontal="left"/>
    </xf>
    <xf numFmtId="169" fontId="17" fillId="2" borderId="0" xfId="0" applyNumberFormat="1" applyFont="1" applyFill="1" applyProtection="1">
      <protection hidden="1"/>
    </xf>
    <xf numFmtId="169" fontId="17" fillId="2" borderId="17" xfId="0" applyNumberFormat="1" applyFont="1" applyFill="1" applyBorder="1" applyAlignment="1" applyProtection="1">
      <alignment horizontal="right"/>
      <protection hidden="1"/>
    </xf>
    <xf numFmtId="0" fontId="21" fillId="2" borderId="0" xfId="0" applyFont="1" applyFill="1" applyAlignment="1">
      <alignment horizontal="right"/>
    </xf>
    <xf numFmtId="0" fontId="31" fillId="2" borderId="17" xfId="0" applyFont="1" applyFill="1" applyBorder="1"/>
    <xf numFmtId="0" fontId="21" fillId="2" borderId="0" xfId="0" applyFont="1" applyFill="1" applyAlignment="1">
      <alignment horizontal="left"/>
    </xf>
    <xf numFmtId="2" fontId="14" fillId="2" borderId="32" xfId="3" applyNumberFormat="1" applyFill="1" applyBorder="1" applyAlignment="1" applyProtection="1">
      <alignment horizontal="center"/>
      <protection locked="0"/>
    </xf>
    <xf numFmtId="0" fontId="14" fillId="2" borderId="0" xfId="3" applyFill="1" applyProtection="1">
      <protection hidden="1"/>
    </xf>
    <xf numFmtId="0" fontId="17" fillId="4" borderId="9" xfId="3" applyFont="1" applyFill="1" applyBorder="1" applyAlignment="1" applyProtection="1">
      <alignment horizontal="center"/>
      <protection hidden="1"/>
    </xf>
    <xf numFmtId="0" fontId="17" fillId="4" borderId="24" xfId="3" applyFont="1" applyFill="1" applyBorder="1" applyAlignment="1" applyProtection="1">
      <alignment horizontal="center"/>
      <protection hidden="1"/>
    </xf>
    <xf numFmtId="3" fontId="17" fillId="2" borderId="36" xfId="3" applyNumberFormat="1" applyFont="1" applyFill="1" applyBorder="1" applyProtection="1">
      <protection locked="0"/>
    </xf>
    <xf numFmtId="9" fontId="17" fillId="2" borderId="37" xfId="2" applyFont="1" applyFill="1" applyBorder="1" applyProtection="1"/>
    <xf numFmtId="9" fontId="17" fillId="2" borderId="32" xfId="2" applyFont="1" applyFill="1" applyBorder="1" applyProtection="1"/>
    <xf numFmtId="0" fontId="14" fillId="2" borderId="21" xfId="3" applyFill="1" applyBorder="1" applyProtection="1">
      <protection hidden="1"/>
    </xf>
    <xf numFmtId="0" fontId="14" fillId="2" borderId="22" xfId="3" applyFill="1" applyBorder="1" applyProtection="1">
      <protection hidden="1"/>
    </xf>
    <xf numFmtId="0" fontId="17" fillId="2" borderId="22" xfId="3" applyFont="1" applyFill="1" applyBorder="1" applyAlignment="1" applyProtection="1">
      <alignment horizontal="center"/>
      <protection hidden="1"/>
    </xf>
    <xf numFmtId="3" fontId="17" fillId="2" borderId="24" xfId="3" applyNumberFormat="1" applyFont="1" applyFill="1" applyBorder="1" applyProtection="1">
      <protection hidden="1"/>
    </xf>
    <xf numFmtId="9" fontId="17" fillId="2" borderId="24" xfId="2" applyFont="1" applyFill="1" applyBorder="1" applyProtection="1">
      <protection hidden="1"/>
    </xf>
    <xf numFmtId="0" fontId="30" fillId="2" borderId="0" xfId="0" applyFont="1" applyFill="1"/>
    <xf numFmtId="0" fontId="21" fillId="2" borderId="0" xfId="0" applyFont="1" applyFill="1" applyAlignment="1">
      <alignment horizontal="center"/>
    </xf>
    <xf numFmtId="1" fontId="21" fillId="2" borderId="0" xfId="0" applyNumberFormat="1" applyFont="1" applyFill="1"/>
    <xf numFmtId="169" fontId="17" fillId="2" borderId="0" xfId="0" applyNumberFormat="1" applyFont="1" applyFill="1" applyAlignment="1" applyProtection="1">
      <alignment horizontal="right"/>
      <protection hidden="1"/>
    </xf>
    <xf numFmtId="0" fontId="31" fillId="2" borderId="15" xfId="0" applyFont="1" applyFill="1" applyBorder="1"/>
    <xf numFmtId="0" fontId="21" fillId="2" borderId="17" xfId="0" applyFont="1" applyFill="1" applyBorder="1"/>
    <xf numFmtId="0" fontId="40" fillId="2" borderId="0" xfId="0" applyFont="1" applyFill="1"/>
    <xf numFmtId="0" fontId="6" fillId="4" borderId="24" xfId="0" applyFont="1" applyFill="1" applyBorder="1" applyAlignment="1">
      <alignment horizontal="center"/>
    </xf>
    <xf numFmtId="0" fontId="29" fillId="2" borderId="21" xfId="0" applyFont="1" applyFill="1" applyBorder="1" applyAlignment="1">
      <alignment horizontal="center" vertical="center"/>
    </xf>
    <xf numFmtId="0" fontId="41" fillId="2" borderId="21" xfId="0" applyFont="1" applyFill="1" applyBorder="1" applyAlignment="1">
      <alignment vertical="center"/>
    </xf>
    <xf numFmtId="0" fontId="41" fillId="2" borderId="22" xfId="0" applyFont="1" applyFill="1" applyBorder="1" applyAlignment="1">
      <alignment vertical="center"/>
    </xf>
    <xf numFmtId="0" fontId="41" fillId="2" borderId="23" xfId="0" applyFont="1" applyFill="1" applyBorder="1" applyAlignment="1">
      <alignment vertical="center"/>
    </xf>
    <xf numFmtId="0" fontId="36" fillId="2" borderId="23" xfId="0" applyFont="1" applyFill="1" applyBorder="1" applyAlignment="1">
      <alignment horizontal="center"/>
    </xf>
    <xf numFmtId="3" fontId="29" fillId="2" borderId="24" xfId="0" applyNumberFormat="1" applyFont="1" applyFill="1" applyBorder="1" applyAlignment="1">
      <alignment vertical="center"/>
    </xf>
    <xf numFmtId="3" fontId="7" fillId="2" borderId="0" xfId="0" applyNumberFormat="1" applyFont="1" applyFill="1"/>
    <xf numFmtId="166" fontId="7" fillId="2" borderId="0" xfId="1" applyFont="1" applyFill="1"/>
    <xf numFmtId="0" fontId="42" fillId="2" borderId="21" xfId="0" applyFont="1" applyFill="1" applyBorder="1" applyAlignment="1">
      <alignment vertical="center"/>
    </xf>
    <xf numFmtId="0" fontId="42" fillId="2" borderId="22" xfId="0" applyFont="1" applyFill="1" applyBorder="1" applyAlignment="1">
      <alignment vertical="center"/>
    </xf>
    <xf numFmtId="0" fontId="42" fillId="2" borderId="23" xfId="0" applyFont="1" applyFill="1" applyBorder="1" applyAlignment="1">
      <alignment vertical="center"/>
    </xf>
    <xf numFmtId="3" fontId="36" fillId="2" borderId="24" xfId="0" applyNumberFormat="1" applyFont="1" applyFill="1" applyBorder="1" applyAlignment="1">
      <alignment vertical="center"/>
    </xf>
    <xf numFmtId="3" fontId="41" fillId="2" borderId="24" xfId="0" applyNumberFormat="1" applyFont="1" applyFill="1" applyBorder="1" applyAlignment="1" applyProtection="1">
      <alignment vertical="center"/>
      <protection locked="0"/>
    </xf>
    <xf numFmtId="3" fontId="42" fillId="2" borderId="22" xfId="0" applyNumberFormat="1" applyFont="1" applyFill="1" applyBorder="1" applyAlignment="1">
      <alignment vertical="center"/>
    </xf>
    <xf numFmtId="3" fontId="42" fillId="2" borderId="23" xfId="0" applyNumberFormat="1" applyFont="1" applyFill="1" applyBorder="1" applyAlignment="1">
      <alignment vertical="center"/>
    </xf>
    <xf numFmtId="3" fontId="0" fillId="2" borderId="0" xfId="0" applyNumberFormat="1" applyFill="1"/>
    <xf numFmtId="0" fontId="45" fillId="2" borderId="0" xfId="0" applyFont="1" applyFill="1"/>
    <xf numFmtId="0" fontId="46" fillId="2" borderId="0" xfId="0" applyFont="1" applyFill="1" applyAlignment="1">
      <alignment vertical="center"/>
    </xf>
    <xf numFmtId="0" fontId="46" fillId="2" borderId="15" xfId="0" applyFont="1" applyFill="1" applyBorder="1" applyAlignment="1">
      <alignment vertical="center"/>
    </xf>
    <xf numFmtId="0" fontId="45" fillId="2" borderId="15" xfId="0" applyFont="1" applyFill="1" applyBorder="1"/>
    <xf numFmtId="1" fontId="46" fillId="2" borderId="0" xfId="0" applyNumberFormat="1" applyFont="1" applyFill="1" applyAlignment="1">
      <alignment vertical="center"/>
    </xf>
    <xf numFmtId="0" fontId="46" fillId="2" borderId="14" xfId="0" applyFont="1" applyFill="1" applyBorder="1" applyAlignment="1">
      <alignment vertical="center"/>
    </xf>
    <xf numFmtId="0" fontId="46" fillId="2" borderId="0" xfId="0" applyFont="1" applyFill="1" applyAlignment="1">
      <alignment horizontal="left" vertical="center"/>
    </xf>
    <xf numFmtId="0" fontId="46" fillId="2" borderId="46" xfId="0" applyFont="1" applyFill="1" applyBorder="1" applyAlignment="1">
      <alignment vertical="center"/>
    </xf>
    <xf numFmtId="0" fontId="46" fillId="2" borderId="0" xfId="0" applyFont="1" applyFill="1" applyAlignment="1">
      <alignment horizontal="right" vertical="center"/>
    </xf>
    <xf numFmtId="0" fontId="46" fillId="2" borderId="14" xfId="0" applyFont="1" applyFill="1" applyBorder="1" applyAlignment="1">
      <alignment horizontal="left" vertical="center"/>
    </xf>
    <xf numFmtId="169" fontId="48" fillId="2" borderId="0" xfId="0" applyNumberFormat="1" applyFont="1" applyFill="1" applyProtection="1">
      <protection hidden="1"/>
    </xf>
    <xf numFmtId="169" fontId="47" fillId="2" borderId="0" xfId="0" applyNumberFormat="1" applyFont="1" applyFill="1" applyProtection="1">
      <protection hidden="1"/>
    </xf>
    <xf numFmtId="0" fontId="46" fillId="2" borderId="47" xfId="0" applyFont="1" applyFill="1" applyBorder="1" applyAlignment="1">
      <alignment horizontal="left" vertical="center"/>
    </xf>
    <xf numFmtId="0" fontId="46" fillId="2" borderId="15" xfId="0" applyFont="1" applyFill="1" applyBorder="1" applyAlignment="1">
      <alignment horizontal="left" vertical="center"/>
    </xf>
    <xf numFmtId="0" fontId="0" fillId="2" borderId="0" xfId="0" applyFill="1" applyAlignment="1">
      <alignment horizontal="left"/>
    </xf>
    <xf numFmtId="0" fontId="45" fillId="2" borderId="0" xfId="0" applyFont="1" applyFill="1" applyAlignment="1">
      <alignment horizontal="left"/>
    </xf>
    <xf numFmtId="0" fontId="21" fillId="2" borderId="21" xfId="0" applyFont="1" applyFill="1" applyBorder="1" applyAlignment="1">
      <alignment horizontal="center" vertical="center"/>
    </xf>
    <xf numFmtId="0" fontId="46" fillId="2" borderId="21" xfId="0" applyFont="1" applyFill="1" applyBorder="1" applyAlignment="1">
      <alignment vertical="center"/>
    </xf>
    <xf numFmtId="0" fontId="49" fillId="2" borderId="22" xfId="0" applyFont="1" applyFill="1" applyBorder="1" applyAlignment="1">
      <alignment vertical="center"/>
    </xf>
    <xf numFmtId="0" fontId="49" fillId="2" borderId="23" xfId="0" applyFont="1" applyFill="1" applyBorder="1" applyAlignment="1">
      <alignment vertical="center"/>
    </xf>
    <xf numFmtId="0" fontId="32" fillId="2" borderId="23" xfId="0" applyFont="1" applyFill="1" applyBorder="1" applyAlignment="1">
      <alignment horizontal="center"/>
    </xf>
    <xf numFmtId="3" fontId="31" fillId="2" borderId="24" xfId="0" applyNumberFormat="1" applyFont="1" applyFill="1" applyBorder="1" applyAlignment="1">
      <alignment vertical="center"/>
    </xf>
    <xf numFmtId="166" fontId="0" fillId="2" borderId="0" xfId="1" applyFont="1" applyFill="1"/>
    <xf numFmtId="0" fontId="50" fillId="2" borderId="2" xfId="0" applyFont="1" applyFill="1" applyBorder="1" applyAlignment="1">
      <alignment horizontal="left" vertical="center" indent="1"/>
    </xf>
    <xf numFmtId="0" fontId="51" fillId="2" borderId="2" xfId="0" applyFont="1" applyFill="1" applyBorder="1" applyAlignment="1">
      <alignment vertical="center"/>
    </xf>
    <xf numFmtId="0" fontId="51" fillId="2" borderId="3" xfId="0" applyFont="1" applyFill="1" applyBorder="1" applyAlignment="1">
      <alignment vertical="center"/>
    </xf>
    <xf numFmtId="170" fontId="31" fillId="2" borderId="49" xfId="0" applyNumberFormat="1" applyFont="1" applyFill="1" applyBorder="1" applyAlignment="1">
      <alignment vertical="center"/>
    </xf>
    <xf numFmtId="170" fontId="31" fillId="2" borderId="50" xfId="0" applyNumberFormat="1" applyFont="1" applyFill="1" applyBorder="1" applyAlignment="1">
      <alignment vertical="center"/>
    </xf>
    <xf numFmtId="0" fontId="50" fillId="2" borderId="0" xfId="0" applyFont="1" applyFill="1" applyAlignment="1">
      <alignment horizontal="left" vertical="center" indent="1"/>
    </xf>
    <xf numFmtId="0" fontId="51" fillId="2" borderId="0" xfId="0" applyFont="1" applyFill="1" applyAlignment="1">
      <alignment vertical="center"/>
    </xf>
    <xf numFmtId="0" fontId="51" fillId="2" borderId="5" xfId="0" applyFont="1" applyFill="1" applyBorder="1" applyAlignment="1">
      <alignment vertical="center"/>
    </xf>
    <xf numFmtId="3" fontId="31" fillId="2" borderId="52" xfId="0" applyNumberFormat="1" applyFont="1" applyFill="1" applyBorder="1" applyAlignment="1">
      <alignment vertical="center"/>
    </xf>
    <xf numFmtId="3" fontId="31" fillId="2" borderId="53" xfId="0" applyNumberFormat="1" applyFont="1" applyFill="1" applyBorder="1" applyAlignment="1">
      <alignment vertical="center"/>
    </xf>
    <xf numFmtId="170" fontId="31" fillId="2" borderId="52" xfId="0" applyNumberFormat="1" applyFont="1" applyFill="1" applyBorder="1" applyAlignment="1">
      <alignment vertical="center"/>
    </xf>
    <xf numFmtId="170" fontId="31" fillId="2" borderId="53" xfId="0" applyNumberFormat="1" applyFont="1" applyFill="1" applyBorder="1" applyAlignment="1">
      <alignment vertical="center"/>
    </xf>
    <xf numFmtId="169" fontId="0" fillId="2" borderId="0" xfId="0" applyNumberFormat="1" applyFill="1"/>
    <xf numFmtId="0" fontId="50" fillId="2" borderId="10" xfId="0" applyFont="1" applyFill="1" applyBorder="1" applyAlignment="1">
      <alignment horizontal="left" vertical="center" indent="1"/>
    </xf>
    <xf numFmtId="0" fontId="51" fillId="2" borderId="10" xfId="0" applyFont="1" applyFill="1" applyBorder="1" applyAlignment="1">
      <alignment vertical="center"/>
    </xf>
    <xf numFmtId="0" fontId="51" fillId="2" borderId="11" xfId="0" applyFont="1" applyFill="1" applyBorder="1" applyAlignment="1">
      <alignment vertical="center"/>
    </xf>
    <xf numFmtId="3" fontId="31" fillId="2" borderId="55" xfId="0" applyNumberFormat="1" applyFont="1" applyFill="1" applyBorder="1" applyAlignment="1">
      <alignment vertical="center"/>
    </xf>
    <xf numFmtId="3" fontId="31" fillId="2" borderId="56" xfId="0" applyNumberFormat="1" applyFont="1" applyFill="1" applyBorder="1" applyAlignment="1">
      <alignment vertical="center"/>
    </xf>
    <xf numFmtId="0" fontId="46" fillId="2" borderId="22" xfId="0" applyFont="1" applyFill="1" applyBorder="1" applyAlignment="1">
      <alignment vertical="center"/>
    </xf>
    <xf numFmtId="0" fontId="28" fillId="2" borderId="3" xfId="0" applyFont="1" applyFill="1" applyBorder="1" applyAlignment="1">
      <alignment horizontal="center"/>
    </xf>
    <xf numFmtId="170" fontId="21" fillId="2" borderId="24" xfId="0" applyNumberFormat="1" applyFont="1" applyFill="1" applyBorder="1" applyAlignment="1">
      <alignment vertical="center"/>
    </xf>
    <xf numFmtId="0" fontId="32" fillId="2" borderId="3" xfId="0" applyFont="1" applyFill="1" applyBorder="1" applyAlignment="1">
      <alignment horizontal="center"/>
    </xf>
    <xf numFmtId="0" fontId="28" fillId="2" borderId="23" xfId="0" applyFont="1" applyFill="1" applyBorder="1" applyAlignment="1">
      <alignment horizontal="center"/>
    </xf>
    <xf numFmtId="0" fontId="50" fillId="2" borderId="2" xfId="0" applyFont="1" applyFill="1" applyBorder="1" applyAlignment="1">
      <alignment horizontal="left" vertical="center" wrapText="1" indent="1"/>
    </xf>
    <xf numFmtId="0" fontId="50" fillId="2" borderId="10" xfId="0" applyFont="1" applyFill="1" applyBorder="1" applyAlignment="1">
      <alignment horizontal="left" vertical="center" wrapText="1" indent="1"/>
    </xf>
    <xf numFmtId="0" fontId="50" fillId="2" borderId="22" xfId="0" applyFont="1" applyFill="1" applyBorder="1" applyAlignment="1">
      <alignment horizontal="left" vertical="center" wrapText="1" indent="1"/>
    </xf>
    <xf numFmtId="0" fontId="51" fillId="2" borderId="22" xfId="0" applyFont="1" applyFill="1" applyBorder="1" applyAlignment="1">
      <alignment vertical="center"/>
    </xf>
    <xf numFmtId="0" fontId="51" fillId="2" borderId="23" xfId="0" applyFont="1" applyFill="1" applyBorder="1" applyAlignment="1">
      <alignment vertical="center"/>
    </xf>
    <xf numFmtId="49" fontId="52" fillId="0" borderId="0" xfId="0" applyNumberFormat="1" applyFont="1" applyAlignment="1">
      <alignment vertical="center" wrapText="1"/>
    </xf>
    <xf numFmtId="0" fontId="31" fillId="2" borderId="60" xfId="0" applyFont="1" applyFill="1" applyBorder="1"/>
    <xf numFmtId="0" fontId="50" fillId="2" borderId="0" xfId="0" applyFont="1" applyFill="1"/>
    <xf numFmtId="0" fontId="53" fillId="4" borderId="71" xfId="0" applyFont="1" applyFill="1" applyBorder="1" applyAlignment="1">
      <alignment horizontal="center" vertical="center" wrapText="1"/>
    </xf>
    <xf numFmtId="0" fontId="53" fillId="0" borderId="71" xfId="0" applyFont="1" applyBorder="1" applyAlignment="1">
      <alignment horizontal="center" vertical="center" wrapText="1"/>
    </xf>
    <xf numFmtId="49" fontId="50" fillId="6" borderId="74" xfId="0" applyNumberFormat="1" applyFont="1" applyFill="1" applyBorder="1" applyAlignment="1">
      <alignment horizontal="center" vertical="center" wrapText="1"/>
    </xf>
    <xf numFmtId="3" fontId="53" fillId="6" borderId="71" xfId="0" applyNumberFormat="1" applyFont="1" applyFill="1" applyBorder="1" applyAlignment="1">
      <alignment vertical="center" wrapText="1"/>
    </xf>
    <xf numFmtId="0" fontId="50" fillId="0" borderId="62" xfId="0" applyFont="1" applyBorder="1" applyAlignment="1">
      <alignment horizontal="center" vertical="center" wrapText="1"/>
    </xf>
    <xf numFmtId="0" fontId="50" fillId="0" borderId="62" xfId="0" applyFont="1" applyBorder="1" applyAlignment="1">
      <alignment horizontal="left" vertical="center" wrapText="1" indent="1"/>
    </xf>
    <xf numFmtId="0" fontId="50" fillId="0" borderId="74" xfId="0" applyFont="1" applyBorder="1" applyAlignment="1">
      <alignment horizontal="center" vertical="center" wrapText="1"/>
    </xf>
    <xf numFmtId="3" fontId="50" fillId="0" borderId="62" xfId="0" applyNumberFormat="1" applyFont="1" applyBorder="1" applyAlignment="1">
      <alignment vertical="center" wrapText="1"/>
    </xf>
    <xf numFmtId="0" fontId="50" fillId="0" borderId="66" xfId="0" applyFont="1" applyBorder="1" applyAlignment="1">
      <alignment horizontal="center" vertical="center" wrapText="1"/>
    </xf>
    <xf numFmtId="49" fontId="50" fillId="0" borderId="74" xfId="0" applyNumberFormat="1" applyFont="1" applyBorder="1" applyAlignment="1">
      <alignment horizontal="center" vertical="center" wrapText="1"/>
    </xf>
    <xf numFmtId="3" fontId="50" fillId="0" borderId="71" xfId="0" applyNumberFormat="1" applyFont="1" applyBorder="1" applyAlignment="1">
      <alignment vertical="center" wrapText="1"/>
    </xf>
    <xf numFmtId="3" fontId="50" fillId="0" borderId="72" xfId="0" applyNumberFormat="1" applyFont="1" applyBorder="1" applyAlignment="1">
      <alignment vertical="center" wrapText="1"/>
    </xf>
    <xf numFmtId="0" fontId="50" fillId="0" borderId="70" xfId="0" applyFont="1" applyBorder="1" applyAlignment="1">
      <alignment horizontal="center" vertical="center" wrapText="1"/>
    </xf>
    <xf numFmtId="3" fontId="50" fillId="0" borderId="71" xfId="0" applyNumberFormat="1" applyFont="1" applyBorder="1" applyAlignment="1">
      <alignment horizontal="right" vertical="center" wrapText="1"/>
    </xf>
    <xf numFmtId="3" fontId="50" fillId="0" borderId="72" xfId="0" applyNumberFormat="1" applyFont="1" applyBorder="1" applyAlignment="1">
      <alignment horizontal="right" vertical="center" wrapText="1"/>
    </xf>
    <xf numFmtId="0" fontId="53" fillId="6" borderId="71" xfId="0" applyFont="1" applyFill="1" applyBorder="1" applyAlignment="1">
      <alignment horizontal="left" vertical="center" wrapText="1" indent="1"/>
    </xf>
    <xf numFmtId="0" fontId="50" fillId="6" borderId="74" xfId="0" applyFont="1" applyFill="1" applyBorder="1" applyAlignment="1">
      <alignment horizontal="center" vertical="center" wrapText="1"/>
    </xf>
    <xf numFmtId="170" fontId="53" fillId="6" borderId="71" xfId="0" applyNumberFormat="1" applyFont="1" applyFill="1" applyBorder="1" applyAlignment="1">
      <alignment vertical="center" wrapText="1"/>
    </xf>
    <xf numFmtId="0" fontId="53" fillId="0" borderId="66" xfId="0" applyFont="1" applyBorder="1" applyAlignment="1">
      <alignment horizontal="center" vertical="center" wrapText="1"/>
    </xf>
    <xf numFmtId="3" fontId="53" fillId="0" borderId="71" xfId="0" applyNumberFormat="1" applyFont="1" applyBorder="1" applyAlignment="1">
      <alignment vertical="center" wrapText="1"/>
    </xf>
    <xf numFmtId="3" fontId="53" fillId="0" borderId="72" xfId="0" applyNumberFormat="1" applyFont="1" applyBorder="1" applyAlignment="1">
      <alignment vertical="center" wrapText="1"/>
    </xf>
    <xf numFmtId="0" fontId="53" fillId="0" borderId="62" xfId="0" applyFont="1" applyBorder="1" applyAlignment="1">
      <alignment horizontal="center" vertical="center" wrapText="1"/>
    </xf>
    <xf numFmtId="0" fontId="53" fillId="6" borderId="62" xfId="0" applyFont="1" applyFill="1" applyBorder="1" applyAlignment="1">
      <alignment horizontal="left" vertical="center" wrapText="1" indent="1"/>
    </xf>
    <xf numFmtId="0" fontId="53" fillId="0" borderId="62" xfId="0" applyFont="1" applyBorder="1" applyAlignment="1">
      <alignment horizontal="left" vertical="center" wrapText="1" indent="1"/>
    </xf>
    <xf numFmtId="0" fontId="53" fillId="0" borderId="74" xfId="0" applyFont="1" applyBorder="1" applyAlignment="1">
      <alignment horizontal="center" vertical="center" wrapText="1"/>
    </xf>
    <xf numFmtId="3" fontId="53" fillId="0" borderId="62" xfId="0" applyNumberFormat="1" applyFont="1" applyBorder="1" applyAlignment="1">
      <alignment vertical="center" wrapText="1"/>
    </xf>
    <xf numFmtId="170" fontId="53" fillId="2" borderId="71" xfId="0" applyNumberFormat="1" applyFont="1" applyFill="1" applyBorder="1" applyAlignment="1">
      <alignment vertical="center"/>
    </xf>
    <xf numFmtId="0" fontId="50" fillId="0" borderId="71" xfId="0" applyFont="1" applyBorder="1" applyAlignment="1">
      <alignment horizontal="center" vertical="center" wrapText="1"/>
    </xf>
    <xf numFmtId="0" fontId="53" fillId="6" borderId="74" xfId="0" applyFont="1" applyFill="1" applyBorder="1" applyAlignment="1">
      <alignment horizontal="left" vertical="center" wrapText="1"/>
    </xf>
    <xf numFmtId="0" fontId="52" fillId="2" borderId="0" xfId="0" applyFont="1" applyFill="1" applyAlignment="1">
      <alignment horizontal="center" vertical="center"/>
    </xf>
    <xf numFmtId="0" fontId="52" fillId="2" borderId="0" xfId="0" applyFont="1" applyFill="1" applyAlignment="1">
      <alignment vertical="center"/>
    </xf>
    <xf numFmtId="0" fontId="50" fillId="2" borderId="0" xfId="0" applyFont="1" applyFill="1" applyAlignment="1">
      <alignment vertical="center"/>
    </xf>
    <xf numFmtId="0" fontId="50" fillId="2" borderId="0" xfId="0" applyFont="1" applyFill="1" applyAlignment="1">
      <alignment horizontal="center" vertical="center"/>
    </xf>
    <xf numFmtId="3" fontId="50" fillId="2" borderId="0" xfId="0" applyNumberFormat="1" applyFont="1" applyFill="1" applyAlignment="1">
      <alignment vertical="center"/>
    </xf>
    <xf numFmtId="0" fontId="52" fillId="2" borderId="0" xfId="0" applyFont="1" applyFill="1"/>
    <xf numFmtId="3" fontId="50" fillId="2" borderId="0" xfId="0" applyNumberFormat="1" applyFont="1" applyFill="1"/>
    <xf numFmtId="170" fontId="50" fillId="2" borderId="0" xfId="0" applyNumberFormat="1" applyFont="1" applyFill="1"/>
    <xf numFmtId="0" fontId="6" fillId="2" borderId="0" xfId="0" applyFont="1" applyFill="1" applyAlignment="1">
      <alignment horizontal="center"/>
    </xf>
    <xf numFmtId="0" fontId="6" fillId="2" borderId="15" xfId="0" applyFont="1" applyFill="1" applyBorder="1" applyAlignment="1">
      <alignment horizontal="left"/>
    </xf>
    <xf numFmtId="0" fontId="26" fillId="2" borderId="15" xfId="0" applyFont="1" applyFill="1" applyBorder="1"/>
    <xf numFmtId="1" fontId="6" fillId="2" borderId="0" xfId="0" applyNumberFormat="1" applyFont="1" applyFill="1"/>
    <xf numFmtId="0" fontId="26" fillId="2" borderId="14" xfId="0" applyFont="1" applyFill="1" applyBorder="1"/>
    <xf numFmtId="169" fontId="15" fillId="2" borderId="0" xfId="0" applyNumberFormat="1" applyFont="1" applyFill="1" applyAlignment="1" applyProtection="1">
      <alignment horizontal="right"/>
      <protection hidden="1"/>
    </xf>
    <xf numFmtId="0" fontId="6" fillId="2" borderId="0" xfId="0" applyFont="1" applyFill="1" applyAlignment="1">
      <alignment horizontal="right"/>
    </xf>
    <xf numFmtId="0" fontId="6" fillId="2" borderId="0" xfId="0" applyFont="1" applyFill="1" applyAlignment="1">
      <alignment horizontal="left"/>
    </xf>
    <xf numFmtId="0" fontId="55" fillId="2" borderId="0" xfId="0" applyFont="1" applyFill="1" applyAlignment="1">
      <alignment horizontal="center"/>
    </xf>
    <xf numFmtId="0" fontId="21" fillId="4" borderId="24" xfId="0" applyFont="1" applyFill="1" applyBorder="1" applyAlignment="1">
      <alignment horizontal="center" vertical="center"/>
    </xf>
    <xf numFmtId="0" fontId="0" fillId="2" borderId="29" xfId="0" applyFill="1" applyBorder="1" applyAlignment="1">
      <alignment horizontal="center"/>
    </xf>
    <xf numFmtId="0" fontId="3" fillId="2" borderId="4" xfId="0" applyFont="1" applyFill="1" applyBorder="1" applyAlignment="1">
      <alignment horizontal="center" vertical="center"/>
    </xf>
    <xf numFmtId="0" fontId="3" fillId="2" borderId="0" xfId="0" applyFont="1" applyFill="1" applyAlignment="1">
      <alignment horizontal="center" vertical="center"/>
    </xf>
    <xf numFmtId="0" fontId="3" fillId="2" borderId="29" xfId="0" applyFont="1" applyFill="1" applyBorder="1" applyAlignment="1">
      <alignment horizontal="center" vertical="center"/>
    </xf>
    <xf numFmtId="0" fontId="28" fillId="2" borderId="29" xfId="0" applyFont="1" applyFill="1" applyBorder="1" applyAlignment="1">
      <alignment horizontal="center" vertical="center"/>
    </xf>
    <xf numFmtId="0" fontId="0" fillId="2" borderId="29" xfId="0" applyFill="1" applyBorder="1" applyAlignment="1">
      <alignment horizontal="center" vertical="center"/>
    </xf>
    <xf numFmtId="169" fontId="0" fillId="2" borderId="3" xfId="0" applyNumberFormat="1" applyFill="1" applyBorder="1" applyAlignment="1">
      <alignment horizontal="center"/>
    </xf>
    <xf numFmtId="169" fontId="0" fillId="2" borderId="29" xfId="0" applyNumberFormat="1" applyFill="1" applyBorder="1" applyAlignment="1">
      <alignment horizontal="center"/>
    </xf>
    <xf numFmtId="0" fontId="31" fillId="2" borderId="20" xfId="0" applyFont="1" applyFill="1" applyBorder="1" applyAlignment="1">
      <alignment horizontal="center"/>
    </xf>
    <xf numFmtId="0" fontId="46" fillId="2" borderId="4" xfId="0" applyFont="1" applyFill="1" applyBorder="1" applyAlignment="1">
      <alignment vertical="center"/>
    </xf>
    <xf numFmtId="0" fontId="21" fillId="2" borderId="20" xfId="0" applyFont="1" applyFill="1" applyBorder="1" applyAlignment="1">
      <alignment horizontal="center"/>
    </xf>
    <xf numFmtId="3" fontId="31" fillId="2" borderId="5" xfId="0" applyNumberFormat="1" applyFont="1" applyFill="1" applyBorder="1"/>
    <xf numFmtId="3" fontId="31" fillId="2" borderId="20" xfId="0" applyNumberFormat="1" applyFont="1" applyFill="1" applyBorder="1"/>
    <xf numFmtId="0" fontId="31" fillId="2" borderId="9" xfId="0" applyFont="1" applyFill="1" applyBorder="1" applyAlignment="1">
      <alignment horizontal="center"/>
    </xf>
    <xf numFmtId="0" fontId="46" fillId="2" borderId="9" xfId="0" applyFont="1" applyFill="1" applyBorder="1" applyAlignment="1">
      <alignment vertical="center"/>
    </xf>
    <xf numFmtId="0" fontId="46" fillId="2" borderId="10" xfId="0" applyFont="1" applyFill="1" applyBorder="1" applyAlignment="1">
      <alignment vertical="center"/>
    </xf>
    <xf numFmtId="0" fontId="31" fillId="2" borderId="19" xfId="0" applyFont="1" applyFill="1" applyBorder="1" applyAlignment="1">
      <alignment horizontal="center"/>
    </xf>
    <xf numFmtId="169" fontId="31" fillId="2" borderId="11" xfId="0" applyNumberFormat="1" applyFont="1" applyFill="1" applyBorder="1"/>
    <xf numFmtId="169" fontId="31" fillId="2" borderId="19" xfId="0" applyNumberFormat="1" applyFont="1" applyFill="1" applyBorder="1"/>
    <xf numFmtId="0" fontId="31" fillId="2" borderId="29" xfId="0" applyFont="1" applyFill="1" applyBorder="1" applyAlignment="1">
      <alignment horizontal="center"/>
    </xf>
    <xf numFmtId="0" fontId="46" fillId="2" borderId="1" xfId="0" applyFont="1" applyFill="1" applyBorder="1" applyAlignment="1">
      <alignment vertical="center"/>
    </xf>
    <xf numFmtId="0" fontId="46" fillId="2" borderId="2" xfId="0" applyFont="1" applyFill="1" applyBorder="1" applyAlignment="1">
      <alignment vertical="center"/>
    </xf>
    <xf numFmtId="0" fontId="21" fillId="2" borderId="29" xfId="0" applyFont="1" applyFill="1" applyBorder="1" applyAlignment="1">
      <alignment horizontal="center"/>
    </xf>
    <xf numFmtId="169" fontId="31" fillId="2" borderId="3" xfId="0" applyNumberFormat="1" applyFont="1" applyFill="1" applyBorder="1"/>
    <xf numFmtId="169" fontId="31" fillId="2" borderId="29" xfId="0" applyNumberFormat="1" applyFont="1" applyFill="1" applyBorder="1"/>
    <xf numFmtId="0" fontId="31" fillId="2" borderId="4" xfId="0" applyFont="1" applyFill="1" applyBorder="1" applyAlignment="1">
      <alignment horizontal="center"/>
    </xf>
    <xf numFmtId="0" fontId="56" fillId="2" borderId="4" xfId="0" applyFont="1" applyFill="1" applyBorder="1" applyAlignment="1">
      <alignment vertical="center"/>
    </xf>
    <xf numFmtId="0" fontId="56" fillId="2" borderId="0" xfId="0" applyFont="1" applyFill="1" applyAlignment="1">
      <alignment vertical="center"/>
    </xf>
    <xf numFmtId="0" fontId="31" fillId="2" borderId="20" xfId="0" applyFont="1" applyFill="1" applyBorder="1"/>
    <xf numFmtId="169" fontId="31" fillId="2" borderId="5" xfId="0" applyNumberFormat="1" applyFont="1" applyFill="1" applyBorder="1"/>
    <xf numFmtId="169" fontId="31" fillId="2" borderId="20" xfId="0" applyNumberFormat="1" applyFont="1" applyFill="1" applyBorder="1"/>
    <xf numFmtId="0" fontId="56" fillId="2" borderId="9" xfId="0" applyFont="1" applyFill="1" applyBorder="1" applyAlignment="1">
      <alignment vertical="center"/>
    </xf>
    <xf numFmtId="0" fontId="56" fillId="2" borderId="10" xfId="0" applyFont="1" applyFill="1" applyBorder="1" applyAlignment="1">
      <alignment vertical="center"/>
    </xf>
    <xf numFmtId="0" fontId="31" fillId="2" borderId="19" xfId="0" applyFont="1" applyFill="1" applyBorder="1"/>
    <xf numFmtId="0" fontId="21" fillId="2" borderId="4" xfId="0" applyFont="1" applyFill="1" applyBorder="1" applyAlignment="1">
      <alignment horizontal="center"/>
    </xf>
    <xf numFmtId="0" fontId="21" fillId="2" borderId="20" xfId="0" applyFont="1" applyFill="1" applyBorder="1" applyAlignment="1">
      <alignment horizontal="right"/>
    </xf>
    <xf numFmtId="169" fontId="21" fillId="2" borderId="5" xfId="0" applyNumberFormat="1" applyFont="1" applyFill="1" applyBorder="1"/>
    <xf numFmtId="169" fontId="21" fillId="2" borderId="20" xfId="0" applyNumberFormat="1" applyFont="1" applyFill="1" applyBorder="1"/>
    <xf numFmtId="0" fontId="21" fillId="2" borderId="19" xfId="0" applyFont="1" applyFill="1" applyBorder="1" applyAlignment="1">
      <alignment horizontal="right"/>
    </xf>
    <xf numFmtId="169" fontId="21" fillId="2" borderId="11" xfId="0" applyNumberFormat="1" applyFont="1" applyFill="1" applyBorder="1"/>
    <xf numFmtId="169" fontId="21" fillId="2" borderId="19" xfId="0" applyNumberFormat="1" applyFont="1" applyFill="1" applyBorder="1"/>
    <xf numFmtId="3" fontId="31" fillId="2" borderId="11" xfId="0" applyNumberFormat="1" applyFont="1" applyFill="1" applyBorder="1"/>
    <xf numFmtId="3" fontId="31" fillId="2" borderId="19" xfId="0" applyNumberFormat="1" applyFont="1" applyFill="1" applyBorder="1"/>
    <xf numFmtId="171" fontId="31" fillId="2" borderId="5" xfId="0" applyNumberFormat="1" applyFont="1" applyFill="1" applyBorder="1"/>
    <xf numFmtId="171" fontId="31" fillId="2" borderId="20" xfId="0" applyNumberFormat="1" applyFont="1" applyFill="1" applyBorder="1"/>
    <xf numFmtId="171" fontId="31" fillId="2" borderId="11" xfId="0" applyNumberFormat="1" applyFont="1" applyFill="1" applyBorder="1"/>
    <xf numFmtId="171" fontId="31" fillId="2" borderId="19" xfId="0" applyNumberFormat="1" applyFont="1" applyFill="1" applyBorder="1"/>
    <xf numFmtId="0" fontId="21" fillId="2" borderId="20" xfId="0" applyFont="1" applyFill="1" applyBorder="1"/>
    <xf numFmtId="0" fontId="21" fillId="2" borderId="19" xfId="0" applyFont="1" applyFill="1" applyBorder="1"/>
    <xf numFmtId="0" fontId="0" fillId="7" borderId="0" xfId="0" applyFill="1"/>
    <xf numFmtId="3" fontId="21" fillId="2" borderId="19" xfId="0" applyNumberFormat="1" applyFont="1" applyFill="1" applyBorder="1"/>
    <xf numFmtId="0" fontId="6" fillId="2" borderId="78" xfId="0" applyFont="1" applyFill="1" applyBorder="1" applyAlignment="1">
      <alignment horizontal="left"/>
    </xf>
    <xf numFmtId="0" fontId="26" fillId="2" borderId="78" xfId="0" applyFont="1" applyFill="1" applyBorder="1"/>
    <xf numFmtId="0" fontId="6" fillId="2" borderId="79" xfId="0" applyFont="1" applyFill="1" applyBorder="1"/>
    <xf numFmtId="0" fontId="6" fillId="2" borderId="60" xfId="0" applyFont="1" applyFill="1" applyBorder="1"/>
    <xf numFmtId="0" fontId="26" fillId="2" borderId="79" xfId="0" applyFont="1" applyFill="1" applyBorder="1"/>
    <xf numFmtId="169" fontId="15" fillId="2" borderId="79" xfId="0" applyNumberFormat="1" applyFont="1" applyFill="1" applyBorder="1" applyProtection="1">
      <protection hidden="1"/>
    </xf>
    <xf numFmtId="0" fontId="0" fillId="2" borderId="79" xfId="0" applyFill="1" applyBorder="1"/>
    <xf numFmtId="0" fontId="6" fillId="2" borderId="79" xfId="0" applyFont="1" applyFill="1" applyBorder="1" applyAlignment="1">
      <alignment horizontal="left"/>
    </xf>
    <xf numFmtId="0" fontId="26" fillId="2" borderId="60" xfId="0" applyFont="1" applyFill="1" applyBorder="1"/>
    <xf numFmtId="0" fontId="21" fillId="2" borderId="4" xfId="0" applyFont="1" applyFill="1" applyBorder="1" applyAlignment="1">
      <alignment horizontal="center" vertical="center"/>
    </xf>
    <xf numFmtId="0" fontId="21" fillId="2" borderId="5" xfId="0" applyFont="1" applyFill="1" applyBorder="1" applyAlignment="1">
      <alignment horizontal="center"/>
    </xf>
    <xf numFmtId="0" fontId="21" fillId="2" borderId="5" xfId="0" applyFont="1" applyFill="1" applyBorder="1" applyAlignment="1">
      <alignment horizontal="center" vertical="center"/>
    </xf>
    <xf numFmtId="0" fontId="21" fillId="2" borderId="9" xfId="0" applyFont="1" applyFill="1" applyBorder="1" applyAlignment="1">
      <alignment horizontal="center" vertical="center"/>
    </xf>
    <xf numFmtId="0" fontId="56" fillId="2" borderId="10" xfId="0" applyFont="1" applyFill="1" applyBorder="1" applyAlignment="1">
      <alignment vertical="center" wrapText="1"/>
    </xf>
    <xf numFmtId="0" fontId="31" fillId="2" borderId="11" xfId="0" applyFont="1" applyFill="1" applyBorder="1" applyAlignment="1">
      <alignment horizontal="center"/>
    </xf>
    <xf numFmtId="0" fontId="56" fillId="2" borderId="0" xfId="0" applyFont="1" applyFill="1" applyAlignment="1">
      <alignment vertical="center" wrapText="1"/>
    </xf>
    <xf numFmtId="0" fontId="31" fillId="2" borderId="5" xfId="0" applyFont="1" applyFill="1" applyBorder="1" applyAlignment="1">
      <alignment horizontal="center"/>
    </xf>
    <xf numFmtId="0" fontId="21" fillId="2" borderId="11" xfId="0" applyFont="1" applyFill="1" applyBorder="1" applyAlignment="1">
      <alignment horizontal="center"/>
    </xf>
    <xf numFmtId="0" fontId="46" fillId="2" borderId="10" xfId="0" applyFont="1" applyFill="1" applyBorder="1" applyAlignment="1">
      <alignment vertical="center" wrapText="1"/>
    </xf>
    <xf numFmtId="0" fontId="46" fillId="2" borderId="0" xfId="0" applyFont="1" applyFill="1" applyAlignment="1">
      <alignment vertical="center" wrapText="1"/>
    </xf>
    <xf numFmtId="169" fontId="21" fillId="2" borderId="9" xfId="0" applyNumberFormat="1" applyFont="1" applyFill="1" applyBorder="1"/>
    <xf numFmtId="0" fontId="15" fillId="2" borderId="0" xfId="0" applyFont="1" applyFill="1" applyProtection="1">
      <protection hidden="1"/>
    </xf>
    <xf numFmtId="3" fontId="15" fillId="2" borderId="15" xfId="0" applyNumberFormat="1" applyFont="1" applyFill="1" applyBorder="1" applyAlignment="1" applyProtection="1">
      <alignment horizontal="left"/>
      <protection hidden="1"/>
    </xf>
    <xf numFmtId="3" fontId="15" fillId="2" borderId="15" xfId="0" applyNumberFormat="1" applyFont="1" applyFill="1" applyBorder="1" applyProtection="1">
      <protection hidden="1"/>
    </xf>
    <xf numFmtId="0" fontId="37" fillId="2" borderId="15" xfId="0" applyFont="1" applyFill="1" applyBorder="1" applyProtection="1">
      <protection hidden="1"/>
    </xf>
    <xf numFmtId="0" fontId="37" fillId="2" borderId="15" xfId="0" applyFont="1" applyFill="1" applyBorder="1"/>
    <xf numFmtId="0" fontId="37" fillId="2" borderId="0" xfId="0" applyFont="1" applyFill="1"/>
    <xf numFmtId="1" fontId="15" fillId="2" borderId="0" xfId="0" applyNumberFormat="1" applyFont="1" applyFill="1" applyAlignment="1" applyProtection="1">
      <alignment horizontal="left"/>
      <protection hidden="1"/>
    </xf>
    <xf numFmtId="0" fontId="15" fillId="2" borderId="14" xfId="0" applyFont="1" applyFill="1" applyBorder="1" applyAlignment="1" applyProtection="1">
      <alignment horizontal="left"/>
      <protection hidden="1"/>
    </xf>
    <xf numFmtId="0" fontId="6" fillId="2" borderId="14" xfId="0" applyFont="1" applyFill="1" applyBorder="1" applyAlignment="1">
      <alignment horizontal="left"/>
    </xf>
    <xf numFmtId="0" fontId="37" fillId="2" borderId="14" xfId="0" applyFont="1" applyFill="1" applyBorder="1"/>
    <xf numFmtId="3" fontId="15" fillId="2" borderId="14" xfId="0" applyNumberFormat="1" applyFont="1" applyFill="1" applyBorder="1" applyProtection="1">
      <protection hidden="1"/>
    </xf>
    <xf numFmtId="0" fontId="15" fillId="2" borderId="0" xfId="0" applyFont="1" applyFill="1" applyAlignment="1" applyProtection="1">
      <alignment horizontal="left"/>
      <protection hidden="1"/>
    </xf>
    <xf numFmtId="2" fontId="15" fillId="2" borderId="14" xfId="0" applyNumberFormat="1" applyFont="1" applyFill="1" applyBorder="1" applyAlignment="1" applyProtection="1">
      <alignment horizontal="left"/>
      <protection hidden="1"/>
    </xf>
    <xf numFmtId="2" fontId="15" fillId="2" borderId="14" xfId="0" applyNumberFormat="1" applyFont="1" applyFill="1" applyBorder="1" applyAlignment="1" applyProtection="1">
      <alignment horizontal="center"/>
      <protection hidden="1"/>
    </xf>
    <xf numFmtId="3" fontId="15" fillId="2" borderId="0" xfId="0" applyNumberFormat="1" applyFont="1" applyFill="1" applyAlignment="1" applyProtection="1">
      <alignment horizontal="right"/>
      <protection hidden="1"/>
    </xf>
    <xf numFmtId="1" fontId="15" fillId="2" borderId="14" xfId="0" applyNumberFormat="1" applyFont="1" applyFill="1" applyBorder="1" applyAlignment="1" applyProtection="1">
      <alignment horizontal="left"/>
      <protection hidden="1"/>
    </xf>
    <xf numFmtId="2" fontId="15" fillId="2" borderId="0" xfId="0" applyNumberFormat="1" applyFont="1" applyFill="1" applyAlignment="1" applyProtection="1">
      <alignment horizontal="left"/>
      <protection hidden="1"/>
    </xf>
    <xf numFmtId="0" fontId="15" fillId="2" borderId="0" xfId="0" applyFont="1" applyFill="1" applyAlignment="1" applyProtection="1">
      <alignment horizontal="right"/>
      <protection hidden="1"/>
    </xf>
    <xf numFmtId="0" fontId="45" fillId="8" borderId="80" xfId="0" applyFont="1" applyFill="1" applyBorder="1" applyAlignment="1">
      <alignment horizontal="center" vertical="center"/>
    </xf>
    <xf numFmtId="0" fontId="57" fillId="8" borderId="82" xfId="0" applyFont="1" applyFill="1" applyBorder="1" applyAlignment="1">
      <alignment horizontal="center" vertical="center"/>
    </xf>
    <xf numFmtId="0" fontId="57" fillId="8" borderId="83" xfId="0" applyFont="1" applyFill="1" applyBorder="1" applyAlignment="1">
      <alignment horizontal="center" vertical="center"/>
    </xf>
    <xf numFmtId="0" fontId="28" fillId="0" borderId="83" xfId="0" applyFont="1" applyBorder="1" applyAlignment="1">
      <alignment vertical="center"/>
    </xf>
    <xf numFmtId="0" fontId="58" fillId="0" borderId="83" xfId="0" applyFont="1" applyBorder="1" applyAlignment="1" applyProtection="1">
      <alignment horizontal="center" vertical="center"/>
      <protection locked="0"/>
    </xf>
    <xf numFmtId="0" fontId="59" fillId="0" borderId="83" xfId="0" applyFont="1" applyBorder="1" applyAlignment="1">
      <alignment vertical="center"/>
    </xf>
    <xf numFmtId="0" fontId="59" fillId="0" borderId="80" xfId="0" applyFont="1" applyBorder="1" applyAlignment="1">
      <alignment horizontal="left" vertical="center"/>
    </xf>
    <xf numFmtId="0" fontId="59" fillId="0" borderId="81" xfId="0" applyFont="1" applyBorder="1" applyAlignment="1">
      <alignment horizontal="left" vertical="center"/>
    </xf>
    <xf numFmtId="0" fontId="59" fillId="2" borderId="81" xfId="0" applyFont="1" applyFill="1" applyBorder="1" applyAlignment="1">
      <alignment horizontal="left" vertical="center"/>
    </xf>
    <xf numFmtId="0" fontId="59" fillId="2" borderId="82" xfId="0" applyFont="1" applyFill="1" applyBorder="1" applyAlignment="1">
      <alignment horizontal="left" vertical="center"/>
    </xf>
    <xf numFmtId="0" fontId="59" fillId="2" borderId="80" xfId="0" applyFont="1" applyFill="1" applyBorder="1" applyAlignment="1">
      <alignment horizontal="left" vertical="center"/>
    </xf>
    <xf numFmtId="0" fontId="28" fillId="0" borderId="83" xfId="0" applyFont="1" applyBorder="1" applyAlignment="1">
      <alignment vertical="center" wrapText="1"/>
    </xf>
    <xf numFmtId="0" fontId="0" fillId="2" borderId="0" xfId="0" applyFill="1" applyAlignment="1">
      <alignment vertical="top"/>
    </xf>
    <xf numFmtId="0" fontId="62" fillId="2" borderId="0" xfId="0" applyFont="1" applyFill="1" applyAlignment="1">
      <alignment horizontal="left" vertical="top"/>
    </xf>
    <xf numFmtId="0" fontId="60" fillId="2" borderId="0" xfId="0" applyFont="1" applyFill="1" applyAlignment="1">
      <alignment vertical="top"/>
    </xf>
    <xf numFmtId="0" fontId="62" fillId="2" borderId="0" xfId="0" applyFont="1" applyFill="1" applyAlignment="1">
      <alignment vertical="top"/>
    </xf>
    <xf numFmtId="0" fontId="6" fillId="2" borderId="15" xfId="0" applyFont="1" applyFill="1" applyBorder="1"/>
    <xf numFmtId="1" fontId="6" fillId="2" borderId="0" xfId="0" applyNumberFormat="1" applyFont="1" applyFill="1" applyAlignment="1">
      <alignment horizontal="left"/>
    </xf>
    <xf numFmtId="0" fontId="6" fillId="2" borderId="14" xfId="0" applyFont="1" applyFill="1" applyBorder="1"/>
    <xf numFmtId="0" fontId="56" fillId="4" borderId="24" xfId="0" applyFont="1" applyFill="1" applyBorder="1" applyAlignment="1">
      <alignment horizontal="center" vertical="center"/>
    </xf>
    <xf numFmtId="0" fontId="63" fillId="7" borderId="21" xfId="0" applyFont="1" applyFill="1" applyBorder="1" applyAlignment="1">
      <alignment vertical="center"/>
    </xf>
    <xf numFmtId="0" fontId="56" fillId="2" borderId="23" xfId="0" applyFont="1" applyFill="1" applyBorder="1" applyAlignment="1">
      <alignment vertical="center"/>
    </xf>
    <xf numFmtId="0" fontId="56" fillId="2" borderId="24" xfId="0" applyFont="1" applyFill="1" applyBorder="1" applyAlignment="1">
      <alignment vertical="center"/>
    </xf>
    <xf numFmtId="3" fontId="56" fillId="2" borderId="24" xfId="0" applyNumberFormat="1" applyFont="1" applyFill="1" applyBorder="1" applyAlignment="1">
      <alignment vertical="center"/>
    </xf>
    <xf numFmtId="3" fontId="56" fillId="2" borderId="23" xfId="0" applyNumberFormat="1" applyFont="1" applyFill="1" applyBorder="1" applyAlignment="1">
      <alignment vertical="center"/>
    </xf>
    <xf numFmtId="0" fontId="64" fillId="7" borderId="21" xfId="0" applyFont="1" applyFill="1" applyBorder="1" applyAlignment="1">
      <alignment vertical="center"/>
    </xf>
    <xf numFmtId="3" fontId="46" fillId="2" borderId="23" xfId="0" applyNumberFormat="1" applyFont="1" applyFill="1" applyBorder="1" applyAlignment="1">
      <alignment vertical="center"/>
    </xf>
    <xf numFmtId="3" fontId="46" fillId="2" borderId="24" xfId="0" applyNumberFormat="1" applyFont="1" applyFill="1" applyBorder="1" applyAlignment="1">
      <alignment vertical="center"/>
    </xf>
    <xf numFmtId="3" fontId="63" fillId="2" borderId="21" xfId="0" applyNumberFormat="1" applyFont="1" applyFill="1" applyBorder="1" applyAlignment="1" applyProtection="1">
      <alignment horizontal="left" vertical="center"/>
      <protection locked="0"/>
    </xf>
    <xf numFmtId="3" fontId="63" fillId="2" borderId="23" xfId="0" applyNumberFormat="1" applyFont="1" applyFill="1" applyBorder="1" applyAlignment="1" applyProtection="1">
      <alignment horizontal="left" vertical="center"/>
      <protection locked="0"/>
    </xf>
    <xf numFmtId="3" fontId="46" fillId="2" borderId="21" xfId="0" applyNumberFormat="1" applyFont="1" applyFill="1" applyBorder="1" applyAlignment="1">
      <alignment vertical="center"/>
    </xf>
    <xf numFmtId="3" fontId="65" fillId="2" borderId="2" xfId="0" applyNumberFormat="1" applyFont="1" applyFill="1" applyBorder="1" applyAlignment="1" applyProtection="1">
      <alignment vertical="top"/>
      <protection locked="0"/>
    </xf>
    <xf numFmtId="0" fontId="65" fillId="2" borderId="0" xfId="0" applyFont="1" applyFill="1"/>
    <xf numFmtId="0" fontId="6" fillId="2" borderId="92" xfId="0" applyFont="1" applyFill="1" applyBorder="1" applyAlignment="1">
      <alignment horizontal="left"/>
    </xf>
    <xf numFmtId="0" fontId="6" fillId="2" borderId="92" xfId="0" applyFont="1" applyFill="1" applyBorder="1"/>
    <xf numFmtId="0" fontId="6" fillId="2" borderId="38" xfId="0" applyFont="1" applyFill="1" applyBorder="1" applyAlignment="1">
      <alignment horizontal="left"/>
    </xf>
    <xf numFmtId="0" fontId="0" fillId="2" borderId="38" xfId="0" applyFill="1" applyBorder="1"/>
    <xf numFmtId="169" fontId="15" fillId="2" borderId="38" xfId="0" applyNumberFormat="1" applyFont="1" applyFill="1" applyBorder="1" applyProtection="1">
      <protection hidden="1"/>
    </xf>
    <xf numFmtId="169" fontId="15" fillId="2" borderId="92" xfId="0" applyNumberFormat="1" applyFont="1" applyFill="1" applyBorder="1" applyProtection="1">
      <protection hidden="1"/>
    </xf>
    <xf numFmtId="169" fontId="66" fillId="2" borderId="0" xfId="0" applyNumberFormat="1" applyFont="1" applyFill="1" applyProtection="1">
      <protection hidden="1"/>
    </xf>
    <xf numFmtId="1" fontId="15" fillId="2" borderId="38" xfId="0" applyNumberFormat="1" applyFont="1" applyFill="1" applyBorder="1" applyAlignment="1" applyProtection="1">
      <alignment horizontal="left"/>
      <protection hidden="1"/>
    </xf>
    <xf numFmtId="169" fontId="15" fillId="2" borderId="0" xfId="0" applyNumberFormat="1" applyFont="1" applyFill="1" applyAlignment="1" applyProtection="1">
      <alignment horizontal="center"/>
      <protection hidden="1"/>
    </xf>
    <xf numFmtId="0" fontId="26" fillId="2" borderId="0" xfId="0" applyFont="1" applyFill="1" applyAlignment="1">
      <alignment horizontal="left"/>
    </xf>
    <xf numFmtId="169" fontId="15" fillId="2" borderId="14" xfId="0" applyNumberFormat="1" applyFont="1" applyFill="1" applyBorder="1" applyProtection="1">
      <protection hidden="1"/>
    </xf>
    <xf numFmtId="0" fontId="6" fillId="2" borderId="14" xfId="1" applyNumberFormat="1" applyFont="1" applyFill="1" applyBorder="1" applyAlignment="1" applyProtection="1">
      <alignment horizontal="left"/>
    </xf>
    <xf numFmtId="170" fontId="26" fillId="2" borderId="0" xfId="0" applyNumberFormat="1" applyFont="1" applyFill="1"/>
    <xf numFmtId="0" fontId="31" fillId="4" borderId="1" xfId="0" applyFont="1" applyFill="1" applyBorder="1" applyAlignment="1">
      <alignment horizontal="center"/>
    </xf>
    <xf numFmtId="0" fontId="21" fillId="4" borderId="3" xfId="0" applyFont="1" applyFill="1" applyBorder="1" applyAlignment="1">
      <alignment horizontal="right"/>
    </xf>
    <xf numFmtId="0" fontId="46" fillId="2" borderId="23" xfId="0" applyFont="1" applyFill="1" applyBorder="1" applyAlignment="1">
      <alignment vertical="center"/>
    </xf>
    <xf numFmtId="3" fontId="3" fillId="2" borderId="4" xfId="0" applyNumberFormat="1" applyFont="1" applyFill="1" applyBorder="1"/>
    <xf numFmtId="0" fontId="6" fillId="2" borderId="78" xfId="0" applyFont="1" applyFill="1" applyBorder="1"/>
    <xf numFmtId="169" fontId="15" fillId="2" borderId="0" xfId="0" applyNumberFormat="1" applyFont="1" applyFill="1" applyProtection="1">
      <protection hidden="1"/>
    </xf>
    <xf numFmtId="169" fontId="15" fillId="2" borderId="60" xfId="0" applyNumberFormat="1" applyFont="1" applyFill="1" applyBorder="1" applyProtection="1">
      <protection hidden="1"/>
    </xf>
    <xf numFmtId="0" fontId="21" fillId="4" borderId="1" xfId="0" applyFont="1" applyFill="1" applyBorder="1"/>
    <xf numFmtId="0" fontId="21" fillId="4" borderId="24" xfId="0" applyFont="1" applyFill="1" applyBorder="1"/>
    <xf numFmtId="0" fontId="31" fillId="4" borderId="24" xfId="0" applyFont="1" applyFill="1" applyBorder="1" applyAlignment="1">
      <alignment horizontal="center"/>
    </xf>
    <xf numFmtId="3" fontId="46" fillId="4" borderId="24" xfId="0" applyNumberFormat="1" applyFont="1" applyFill="1" applyBorder="1" applyAlignment="1">
      <alignment horizontal="center" vertical="center" wrapText="1"/>
    </xf>
    <xf numFmtId="0" fontId="46" fillId="4" borderId="24" xfId="0" applyFont="1" applyFill="1" applyBorder="1" applyAlignment="1">
      <alignment horizontal="center" vertical="center" wrapText="1"/>
    </xf>
    <xf numFmtId="0" fontId="31" fillId="2" borderId="24" xfId="0" applyFont="1" applyFill="1" applyBorder="1" applyProtection="1">
      <protection locked="0"/>
    </xf>
    <xf numFmtId="3" fontId="31" fillId="2" borderId="24" xfId="0" applyNumberFormat="1" applyFont="1" applyFill="1" applyBorder="1" applyProtection="1">
      <protection locked="0"/>
    </xf>
    <xf numFmtId="0" fontId="31" fillId="2" borderId="24" xfId="0" applyFont="1" applyFill="1" applyBorder="1"/>
    <xf numFmtId="3" fontId="31" fillId="2" borderId="24" xfId="0" applyNumberFormat="1" applyFont="1" applyFill="1" applyBorder="1"/>
    <xf numFmtId="3" fontId="26" fillId="2" borderId="0" xfId="0" applyNumberFormat="1" applyFont="1" applyFill="1"/>
    <xf numFmtId="3" fontId="6" fillId="2" borderId="0" xfId="0" applyNumberFormat="1" applyFont="1" applyFill="1" applyAlignment="1">
      <alignment horizontal="center"/>
    </xf>
    <xf numFmtId="3" fontId="6" fillId="2" borderId="0" xfId="0" applyNumberFormat="1" applyFont="1" applyFill="1"/>
    <xf numFmtId="3" fontId="6" fillId="2" borderId="78" xfId="0" applyNumberFormat="1" applyFont="1" applyFill="1" applyBorder="1" applyAlignment="1">
      <alignment horizontal="left"/>
    </xf>
    <xf numFmtId="3" fontId="15" fillId="2" borderId="0" xfId="0" applyNumberFormat="1" applyFont="1" applyFill="1" applyAlignment="1" applyProtection="1">
      <alignment horizontal="left"/>
      <protection hidden="1"/>
    </xf>
    <xf numFmtId="3" fontId="66" fillId="2" borderId="0" xfId="0" applyNumberFormat="1" applyFont="1" applyFill="1" applyAlignment="1" applyProtection="1">
      <alignment horizontal="left"/>
      <protection hidden="1"/>
    </xf>
    <xf numFmtId="3" fontId="66" fillId="2" borderId="0" xfId="0" applyNumberFormat="1" applyFont="1" applyFill="1" applyProtection="1">
      <protection hidden="1"/>
    </xf>
    <xf numFmtId="3" fontId="6" fillId="2" borderId="0" xfId="0" applyNumberFormat="1" applyFont="1" applyFill="1" applyAlignment="1">
      <alignment horizontal="right"/>
    </xf>
    <xf numFmtId="3" fontId="50" fillId="2" borderId="23" xfId="0" applyNumberFormat="1" applyFont="1" applyFill="1" applyBorder="1" applyAlignment="1">
      <alignment vertical="center"/>
    </xf>
    <xf numFmtId="3" fontId="53" fillId="2" borderId="24" xfId="0" applyNumberFormat="1" applyFont="1" applyFill="1" applyBorder="1" applyAlignment="1">
      <alignment vertical="center"/>
    </xf>
    <xf numFmtId="3" fontId="50" fillId="2" borderId="24" xfId="0" applyNumberFormat="1" applyFont="1" applyFill="1" applyBorder="1" applyAlignment="1">
      <alignment vertical="center"/>
    </xf>
    <xf numFmtId="3" fontId="50" fillId="6" borderId="24" xfId="0" applyNumberFormat="1" applyFont="1" applyFill="1" applyBorder="1" applyAlignment="1" applyProtection="1">
      <alignment vertical="center"/>
      <protection locked="0"/>
    </xf>
    <xf numFmtId="3" fontId="56" fillId="2" borderId="21" xfId="0" applyNumberFormat="1" applyFont="1" applyFill="1" applyBorder="1" applyAlignment="1">
      <alignment vertical="center"/>
    </xf>
    <xf numFmtId="3" fontId="31" fillId="2" borderId="0" xfId="0" applyNumberFormat="1" applyFont="1" applyFill="1"/>
    <xf numFmtId="49" fontId="31" fillId="0" borderId="0" xfId="0" applyNumberFormat="1" applyFont="1" applyAlignment="1">
      <alignment vertical="center"/>
    </xf>
    <xf numFmtId="49" fontId="31" fillId="0" borderId="0" xfId="0" applyNumberFormat="1" applyFont="1" applyAlignment="1">
      <alignment horizontal="center" vertical="center"/>
    </xf>
    <xf numFmtId="0" fontId="26" fillId="0" borderId="0" xfId="0" applyFont="1"/>
    <xf numFmtId="3" fontId="6" fillId="2" borderId="0" xfId="0" applyNumberFormat="1" applyFont="1" applyFill="1" applyAlignment="1">
      <alignment horizontal="left"/>
    </xf>
    <xf numFmtId="0" fontId="50" fillId="0" borderId="0" xfId="0" applyFont="1" applyAlignment="1">
      <alignment vertical="center"/>
    </xf>
    <xf numFmtId="3" fontId="6" fillId="2" borderId="79" xfId="0" applyNumberFormat="1" applyFont="1" applyFill="1" applyBorder="1" applyAlignment="1">
      <alignment horizontal="left"/>
    </xf>
    <xf numFmtId="0" fontId="0" fillId="0" borderId="79" xfId="0" applyBorder="1"/>
    <xf numFmtId="0" fontId="0" fillId="0" borderId="78" xfId="0" applyBorder="1"/>
    <xf numFmtId="0" fontId="53" fillId="0" borderId="78" xfId="0" applyFont="1" applyBorder="1" applyAlignment="1">
      <alignment vertical="center"/>
    </xf>
    <xf numFmtId="0" fontId="53" fillId="0" borderId="60" xfId="0" applyFont="1" applyBorder="1" applyAlignment="1">
      <alignment vertical="center"/>
    </xf>
    <xf numFmtId="0" fontId="15" fillId="2" borderId="79" xfId="0" applyFont="1" applyFill="1" applyBorder="1" applyAlignment="1" applyProtection="1">
      <alignment horizontal="left"/>
      <protection hidden="1"/>
    </xf>
    <xf numFmtId="0" fontId="50" fillId="0" borderId="108" xfId="0" applyFont="1" applyBorder="1" applyAlignment="1">
      <alignment horizontal="right" vertical="center"/>
    </xf>
    <xf numFmtId="0" fontId="67" fillId="0" borderId="0" xfId="0" applyFont="1" applyAlignment="1">
      <alignment horizontal="left" vertical="center"/>
    </xf>
    <xf numFmtId="0" fontId="68" fillId="0" borderId="0" xfId="0" applyFont="1"/>
    <xf numFmtId="0" fontId="62" fillId="0" borderId="0" xfId="0" applyFont="1"/>
    <xf numFmtId="0" fontId="69" fillId="0" borderId="0" xfId="0" applyFont="1" applyAlignment="1">
      <alignment horizontal="left" vertical="center"/>
    </xf>
    <xf numFmtId="3" fontId="0" fillId="0" borderId="0" xfId="0" applyNumberFormat="1"/>
    <xf numFmtId="0" fontId="70" fillId="0" borderId="0" xfId="0" applyFont="1" applyAlignment="1" applyProtection="1">
      <alignment vertical="top"/>
      <protection locked="0"/>
    </xf>
    <xf numFmtId="3" fontId="4" fillId="2" borderId="0" xfId="0" applyNumberFormat="1" applyFont="1" applyFill="1"/>
    <xf numFmtId="169" fontId="15" fillId="2" borderId="14" xfId="0" applyNumberFormat="1" applyFont="1" applyFill="1" applyBorder="1" applyAlignment="1" applyProtection="1">
      <alignment horizontal="center"/>
      <protection hidden="1"/>
    </xf>
    <xf numFmtId="169" fontId="15" fillId="2" borderId="15" xfId="0" applyNumberFormat="1" applyFont="1" applyFill="1" applyBorder="1" applyProtection="1">
      <protection hidden="1"/>
    </xf>
    <xf numFmtId="0" fontId="0" fillId="2" borderId="46" xfId="0" applyFill="1" applyBorder="1"/>
    <xf numFmtId="0" fontId="6" fillId="2" borderId="123" xfId="0" applyFont="1" applyFill="1" applyBorder="1" applyAlignment="1">
      <alignment horizontal="left"/>
    </xf>
    <xf numFmtId="0" fontId="6" fillId="2" borderId="123" xfId="0" applyFont="1" applyFill="1" applyBorder="1"/>
    <xf numFmtId="0" fontId="6" fillId="2" borderId="47" xfId="0" applyFont="1" applyFill="1" applyBorder="1" applyAlignment="1">
      <alignment horizontal="left"/>
    </xf>
    <xf numFmtId="0" fontId="21" fillId="4" borderId="24" xfId="0" applyFont="1" applyFill="1" applyBorder="1" applyAlignment="1">
      <alignment horizontal="center"/>
    </xf>
    <xf numFmtId="3" fontId="21" fillId="4" borderId="24" xfId="0" applyNumberFormat="1" applyFont="1" applyFill="1" applyBorder="1" applyAlignment="1">
      <alignment horizontal="center"/>
    </xf>
    <xf numFmtId="0" fontId="21" fillId="4" borderId="24" xfId="0" applyFont="1" applyFill="1" applyBorder="1" applyAlignment="1">
      <alignment horizontal="center" vertical="center" wrapText="1"/>
    </xf>
    <xf numFmtId="3" fontId="21" fillId="4" borderId="24" xfId="0" applyNumberFormat="1" applyFont="1" applyFill="1" applyBorder="1" applyAlignment="1">
      <alignment horizontal="center" vertical="center" wrapText="1"/>
    </xf>
    <xf numFmtId="0" fontId="50" fillId="2" borderId="24" xfId="0" applyFont="1" applyFill="1" applyBorder="1" applyProtection="1">
      <protection locked="0"/>
    </xf>
    <xf numFmtId="3" fontId="21" fillId="2" borderId="0" xfId="0" applyNumberFormat="1" applyFont="1" applyFill="1"/>
    <xf numFmtId="169" fontId="66" fillId="2" borderId="0" xfId="0" applyNumberFormat="1" applyFont="1" applyFill="1" applyAlignment="1" applyProtection="1">
      <alignment horizontal="center"/>
      <protection hidden="1"/>
    </xf>
    <xf numFmtId="169" fontId="15" fillId="2" borderId="15" xfId="0" applyNumberFormat="1" applyFont="1" applyFill="1" applyBorder="1" applyAlignment="1" applyProtection="1">
      <alignment horizontal="right"/>
      <protection hidden="1"/>
    </xf>
    <xf numFmtId="0" fontId="3" fillId="2" borderId="0" xfId="0" applyFont="1" applyFill="1" applyAlignment="1">
      <alignment horizontal="center"/>
    </xf>
    <xf numFmtId="0" fontId="0" fillId="2" borderId="0" xfId="0" applyFill="1" applyAlignment="1">
      <alignment vertical="center"/>
    </xf>
    <xf numFmtId="0" fontId="21" fillId="2" borderId="124" xfId="0" applyFont="1" applyFill="1" applyBorder="1"/>
    <xf numFmtId="0" fontId="21" fillId="2" borderId="28" xfId="0" applyFont="1" applyFill="1" applyBorder="1"/>
    <xf numFmtId="0" fontId="31" fillId="2" borderId="28" xfId="0" applyFont="1" applyFill="1" applyBorder="1"/>
    <xf numFmtId="0" fontId="31" fillId="2" borderId="125" xfId="0" applyFont="1" applyFill="1" applyBorder="1"/>
    <xf numFmtId="0" fontId="31" fillId="4" borderId="24" xfId="0" applyFont="1" applyFill="1" applyBorder="1" applyProtection="1">
      <protection locked="0"/>
    </xf>
    <xf numFmtId="0" fontId="17" fillId="4" borderId="21" xfId="0" applyFont="1" applyFill="1" applyBorder="1" applyAlignment="1" applyProtection="1">
      <alignment horizontal="center" vertical="center" wrapText="1"/>
      <protection locked="0"/>
    </xf>
    <xf numFmtId="0" fontId="17" fillId="4" borderId="128" xfId="0" applyFont="1" applyFill="1" applyBorder="1" applyAlignment="1" applyProtection="1">
      <alignment horizontal="center" vertical="center" wrapText="1"/>
      <protection locked="0"/>
    </xf>
    <xf numFmtId="0" fontId="31" fillId="2" borderId="19" xfId="0" applyFont="1" applyFill="1" applyBorder="1" applyProtection="1">
      <protection locked="0"/>
    </xf>
    <xf numFmtId="0" fontId="31" fillId="2" borderId="129" xfId="0" applyFont="1" applyFill="1" applyBorder="1"/>
    <xf numFmtId="0" fontId="17" fillId="2" borderId="126" xfId="0" applyFont="1" applyFill="1" applyBorder="1" applyAlignment="1" applyProtection="1">
      <alignment vertical="center"/>
      <protection locked="0"/>
    </xf>
    <xf numFmtId="0" fontId="31" fillId="2" borderId="0" xfId="0" applyFont="1" applyFill="1" applyProtection="1">
      <protection locked="0"/>
    </xf>
    <xf numFmtId="0" fontId="31" fillId="2" borderId="127" xfId="0" applyFont="1" applyFill="1" applyBorder="1" applyProtection="1">
      <protection locked="0"/>
    </xf>
    <xf numFmtId="0" fontId="17" fillId="2" borderId="104" xfId="0" applyFont="1" applyFill="1" applyBorder="1" applyAlignment="1" applyProtection="1">
      <alignment vertical="center"/>
      <protection locked="0"/>
    </xf>
    <xf numFmtId="0" fontId="21" fillId="2" borderId="2" xfId="0" applyFont="1" applyFill="1" applyBorder="1" applyProtection="1">
      <protection locked="0"/>
    </xf>
    <xf numFmtId="0" fontId="31" fillId="2" borderId="2" xfId="0" applyFont="1" applyFill="1" applyBorder="1" applyProtection="1">
      <protection locked="0"/>
    </xf>
    <xf numFmtId="0" fontId="31" fillId="2" borderId="105" xfId="0" applyFont="1" applyFill="1" applyBorder="1" applyProtection="1">
      <protection locked="0"/>
    </xf>
    <xf numFmtId="0" fontId="21" fillId="2" borderId="6" xfId="0" applyFont="1" applyFill="1" applyBorder="1"/>
    <xf numFmtId="0" fontId="21" fillId="2" borderId="7" xfId="0" applyFont="1" applyFill="1" applyBorder="1"/>
    <xf numFmtId="0" fontId="31" fillId="2" borderId="7" xfId="0" applyFont="1" applyFill="1" applyBorder="1"/>
    <xf numFmtId="0" fontId="31" fillId="2" borderId="8" xfId="0" applyFont="1" applyFill="1" applyBorder="1"/>
    <xf numFmtId="3" fontId="31" fillId="2" borderId="129" xfId="0" applyNumberFormat="1" applyFont="1" applyFill="1" applyBorder="1"/>
    <xf numFmtId="2" fontId="15" fillId="2" borderId="14" xfId="0" applyNumberFormat="1" applyFont="1" applyFill="1" applyBorder="1" applyProtection="1">
      <protection hidden="1"/>
    </xf>
    <xf numFmtId="0" fontId="5" fillId="2" borderId="0" xfId="0" applyFont="1" applyFill="1" applyAlignment="1">
      <alignment horizontal="center"/>
    </xf>
    <xf numFmtId="0" fontId="5" fillId="2" borderId="0" xfId="0" applyFont="1" applyFill="1" applyAlignment="1">
      <alignment horizontal="center" vertical="center"/>
    </xf>
    <xf numFmtId="0" fontId="21" fillId="4" borderId="5" xfId="0" applyFont="1" applyFill="1" applyBorder="1" applyAlignment="1">
      <alignment horizontal="center" vertical="center" wrapText="1"/>
    </xf>
    <xf numFmtId="0" fontId="21" fillId="4" borderId="20" xfId="0" applyFont="1" applyFill="1" applyBorder="1" applyAlignment="1">
      <alignment horizontal="center" vertical="center" wrapText="1"/>
    </xf>
    <xf numFmtId="0" fontId="5" fillId="2" borderId="0" xfId="0" applyFont="1" applyFill="1" applyAlignment="1">
      <alignment horizontal="center" wrapText="1"/>
    </xf>
    <xf numFmtId="0" fontId="0" fillId="2" borderId="0" xfId="0" applyFill="1" applyAlignment="1">
      <alignment wrapText="1"/>
    </xf>
    <xf numFmtId="3" fontId="50" fillId="2" borderId="24" xfId="0" applyNumberFormat="1" applyFont="1" applyFill="1" applyBorder="1" applyAlignment="1" applyProtection="1">
      <alignment vertical="center"/>
      <protection locked="0"/>
    </xf>
    <xf numFmtId="10" fontId="71" fillId="2" borderId="23" xfId="2" applyNumberFormat="1" applyFont="1" applyFill="1" applyBorder="1" applyAlignment="1" applyProtection="1">
      <alignment vertical="center"/>
    </xf>
    <xf numFmtId="3" fontId="71" fillId="2" borderId="24" xfId="0" applyNumberFormat="1" applyFont="1" applyFill="1" applyBorder="1" applyAlignment="1">
      <alignment vertical="center"/>
    </xf>
    <xf numFmtId="10" fontId="71" fillId="2" borderId="24" xfId="0" applyNumberFormat="1" applyFont="1" applyFill="1" applyBorder="1" applyAlignment="1">
      <alignment vertical="center"/>
    </xf>
    <xf numFmtId="3" fontId="53" fillId="2" borderId="23" xfId="0" applyNumberFormat="1" applyFont="1" applyFill="1" applyBorder="1" applyAlignment="1">
      <alignment vertical="center"/>
    </xf>
    <xf numFmtId="0" fontId="21" fillId="4" borderId="29" xfId="0" applyFont="1" applyFill="1" applyBorder="1" applyAlignment="1">
      <alignment horizontal="center" vertical="center" wrapText="1"/>
    </xf>
    <xf numFmtId="0" fontId="5" fillId="2" borderId="0" xfId="0" applyFont="1" applyFill="1" applyAlignment="1">
      <alignment wrapText="1"/>
    </xf>
    <xf numFmtId="3" fontId="17" fillId="2" borderId="0" xfId="0" applyNumberFormat="1" applyFont="1" applyFill="1" applyAlignment="1">
      <alignment horizontal="right" vertical="center"/>
    </xf>
    <xf numFmtId="0" fontId="7" fillId="2" borderId="0" xfId="0" applyFont="1" applyFill="1" applyAlignment="1">
      <alignment vertical="center"/>
    </xf>
    <xf numFmtId="0" fontId="14" fillId="2" borderId="0" xfId="0" applyFont="1" applyFill="1" applyAlignment="1">
      <alignment vertical="center"/>
    </xf>
    <xf numFmtId="0" fontId="31" fillId="2" borderId="0" xfId="0" applyFont="1" applyFill="1" applyAlignment="1">
      <alignment vertical="center"/>
    </xf>
    <xf numFmtId="0" fontId="31" fillId="4" borderId="24" xfId="0" applyFont="1" applyFill="1" applyBorder="1" applyAlignment="1">
      <alignment horizontal="center" vertical="center" wrapText="1"/>
    </xf>
    <xf numFmtId="0" fontId="31" fillId="2" borderId="9" xfId="0" applyFont="1" applyFill="1" applyBorder="1" applyAlignment="1">
      <alignment vertical="center"/>
    </xf>
    <xf numFmtId="0" fontId="31" fillId="2" borderId="10" xfId="0" applyFont="1" applyFill="1" applyBorder="1" applyAlignment="1">
      <alignment vertical="center"/>
    </xf>
    <xf numFmtId="3" fontId="50" fillId="2" borderId="9" xfId="0" applyNumberFormat="1" applyFont="1" applyFill="1" applyBorder="1" applyAlignment="1">
      <alignment vertical="center"/>
    </xf>
    <xf numFmtId="10" fontId="50" fillId="2" borderId="19" xfId="2" applyNumberFormat="1" applyFont="1" applyFill="1" applyBorder="1" applyAlignment="1">
      <alignment vertical="center"/>
    </xf>
    <xf numFmtId="0" fontId="31" fillId="2" borderId="21" xfId="0" applyFont="1" applyFill="1" applyBorder="1" applyAlignment="1">
      <alignment vertical="center"/>
    </xf>
    <xf numFmtId="0" fontId="31" fillId="2" borderId="22" xfId="0" applyFont="1" applyFill="1" applyBorder="1" applyAlignment="1">
      <alignment vertical="center"/>
    </xf>
    <xf numFmtId="3" fontId="50" fillId="2" borderId="21" xfId="0" applyNumberFormat="1" applyFont="1" applyFill="1" applyBorder="1" applyAlignment="1">
      <alignment vertical="center"/>
    </xf>
    <xf numFmtId="10" fontId="50" fillId="2" borderId="24" xfId="2" applyNumberFormat="1" applyFont="1" applyFill="1" applyBorder="1" applyAlignment="1">
      <alignment vertical="center"/>
    </xf>
    <xf numFmtId="0" fontId="21" fillId="2" borderId="21" xfId="0" applyFont="1" applyFill="1" applyBorder="1" applyAlignment="1">
      <alignment horizontal="left" vertical="center"/>
    </xf>
    <xf numFmtId="3" fontId="53" fillId="2" borderId="21" xfId="0" applyNumberFormat="1" applyFont="1" applyFill="1" applyBorder="1" applyAlignment="1">
      <alignment vertical="center"/>
    </xf>
    <xf numFmtId="0" fontId="21" fillId="2" borderId="22" xfId="0" applyFont="1" applyFill="1" applyBorder="1" applyAlignment="1">
      <alignment vertical="center"/>
    </xf>
    <xf numFmtId="0" fontId="31" fillId="2" borderId="2" xfId="0" applyFont="1" applyFill="1" applyBorder="1" applyAlignment="1">
      <alignment horizontal="left" vertical="center" wrapText="1"/>
    </xf>
    <xf numFmtId="3" fontId="50" fillId="2" borderId="1" xfId="0" applyNumberFormat="1" applyFont="1" applyFill="1" applyBorder="1" applyAlignment="1">
      <alignment horizontal="right" vertical="center"/>
    </xf>
    <xf numFmtId="0" fontId="21" fillId="2" borderId="22" xfId="0" applyFont="1" applyFill="1" applyBorder="1" applyAlignment="1">
      <alignment horizontal="center" vertical="center"/>
    </xf>
    <xf numFmtId="0" fontId="14" fillId="2" borderId="0" xfId="0" applyFont="1" applyFill="1" applyAlignment="1">
      <alignment horizontal="right" vertical="center"/>
    </xf>
    <xf numFmtId="0" fontId="21" fillId="4" borderId="2" xfId="0" applyFont="1" applyFill="1" applyBorder="1" applyAlignment="1">
      <alignment horizontal="center" vertical="center"/>
    </xf>
    <xf numFmtId="0" fontId="21" fillId="4" borderId="1" xfId="0" applyFont="1" applyFill="1" applyBorder="1" applyAlignment="1">
      <alignment horizontal="center" vertical="center"/>
    </xf>
    <xf numFmtId="3" fontId="0" fillId="2" borderId="0" xfId="0" applyNumberFormat="1" applyFill="1" applyAlignment="1">
      <alignment vertical="center"/>
    </xf>
    <xf numFmtId="0" fontId="14" fillId="2" borderId="0" xfId="0" applyFont="1" applyFill="1" applyAlignment="1">
      <alignment horizontal="left" vertical="center"/>
    </xf>
    <xf numFmtId="0" fontId="72" fillId="2" borderId="0" xfId="0" applyFont="1" applyFill="1" applyAlignment="1">
      <alignment vertical="center"/>
    </xf>
    <xf numFmtId="0" fontId="31" fillId="2" borderId="23" xfId="0" applyFont="1" applyFill="1" applyBorder="1"/>
    <xf numFmtId="3" fontId="50" fillId="2" borderId="24" xfId="0" applyNumberFormat="1" applyFont="1" applyFill="1" applyBorder="1"/>
    <xf numFmtId="0" fontId="21" fillId="2" borderId="23" xfId="0" applyFont="1" applyFill="1" applyBorder="1"/>
    <xf numFmtId="3" fontId="53" fillId="2" borderId="24" xfId="0" applyNumberFormat="1" applyFont="1" applyFill="1" applyBorder="1"/>
    <xf numFmtId="0" fontId="3" fillId="2" borderId="14" xfId="0" applyFont="1" applyFill="1" applyBorder="1"/>
    <xf numFmtId="169" fontId="15" fillId="2" borderId="17" xfId="0" applyNumberFormat="1" applyFont="1" applyFill="1" applyBorder="1" applyAlignment="1" applyProtection="1">
      <alignment horizontal="center"/>
      <protection hidden="1"/>
    </xf>
    <xf numFmtId="0" fontId="6" fillId="2" borderId="17" xfId="0" applyFont="1" applyFill="1" applyBorder="1"/>
    <xf numFmtId="0" fontId="31" fillId="2" borderId="24" xfId="0" applyFont="1" applyFill="1" applyBorder="1" applyAlignment="1">
      <alignment horizontal="center"/>
    </xf>
    <xf numFmtId="0" fontId="31" fillId="2" borderId="24" xfId="0" applyFont="1" applyFill="1" applyBorder="1" applyAlignment="1" applyProtection="1">
      <alignment horizontal="left"/>
      <protection locked="0"/>
    </xf>
    <xf numFmtId="0" fontId="53" fillId="9" borderId="83" xfId="0" applyFont="1" applyFill="1" applyBorder="1" applyAlignment="1">
      <alignment vertical="center" wrapText="1"/>
    </xf>
    <xf numFmtId="0" fontId="53" fillId="9" borderId="131" xfId="0" applyFont="1" applyFill="1" applyBorder="1" applyAlignment="1">
      <alignment vertical="center" wrapText="1"/>
    </xf>
    <xf numFmtId="0" fontId="21" fillId="2" borderId="24" xfId="0" applyFont="1" applyFill="1" applyBorder="1"/>
    <xf numFmtId="0" fontId="53" fillId="0" borderId="14" xfId="0" applyFont="1" applyBorder="1" applyAlignment="1">
      <alignment vertical="center"/>
    </xf>
    <xf numFmtId="0" fontId="53" fillId="0" borderId="0" xfId="0" applyFont="1" applyAlignment="1">
      <alignment vertical="center"/>
    </xf>
    <xf numFmtId="0" fontId="0" fillId="0" borderId="132" xfId="0" applyBorder="1"/>
    <xf numFmtId="0" fontId="53" fillId="0" borderId="14" xfId="0" applyFont="1" applyBorder="1" applyAlignment="1">
      <alignment horizontal="right" vertical="center"/>
    </xf>
    <xf numFmtId="0" fontId="53" fillId="0" borderId="14" xfId="0" applyFont="1" applyBorder="1" applyAlignment="1">
      <alignment horizontal="left" vertical="center"/>
    </xf>
    <xf numFmtId="0" fontId="53" fillId="0" borderId="0" xfId="0" applyFont="1" applyAlignment="1">
      <alignment horizontal="right" vertical="center"/>
    </xf>
    <xf numFmtId="0" fontId="53" fillId="0" borderId="133" xfId="0" applyFont="1" applyBorder="1" applyAlignment="1">
      <alignment horizontal="left" vertical="center"/>
    </xf>
    <xf numFmtId="0" fontId="0" fillId="0" borderId="14" xfId="0" applyBorder="1"/>
    <xf numFmtId="3" fontId="53" fillId="0" borderId="0" xfId="0" applyNumberFormat="1" applyFont="1" applyAlignment="1">
      <alignment horizontal="right" vertical="center"/>
    </xf>
    <xf numFmtId="0" fontId="73" fillId="0" borderId="0" xfId="0" applyFont="1"/>
    <xf numFmtId="0" fontId="53" fillId="0" borderId="0" xfId="0" applyFont="1" applyAlignment="1">
      <alignment horizontal="center" vertical="center"/>
    </xf>
    <xf numFmtId="0" fontId="50" fillId="0" borderId="0" xfId="0" applyFont="1" applyAlignment="1">
      <alignment horizontal="center" vertical="center"/>
    </xf>
    <xf numFmtId="14" fontId="53" fillId="0" borderId="0" xfId="0" applyNumberFormat="1" applyFont="1" applyAlignment="1">
      <alignment horizontal="center" vertical="center"/>
    </xf>
    <xf numFmtId="0" fontId="50" fillId="0" borderId="0" xfId="0" applyFont="1" applyAlignment="1">
      <alignment horizontal="right" vertical="center"/>
    </xf>
    <xf numFmtId="0" fontId="53" fillId="0" borderId="84" xfId="0" applyFont="1" applyBorder="1" applyAlignment="1">
      <alignment vertical="center" wrapText="1"/>
    </xf>
    <xf numFmtId="0" fontId="53" fillId="0" borderId="116" xfId="0" applyFont="1" applyBorder="1" applyAlignment="1">
      <alignment vertical="center" wrapText="1"/>
    </xf>
    <xf numFmtId="0" fontId="53" fillId="0" borderId="85" xfId="0" applyFont="1" applyBorder="1" applyAlignment="1">
      <alignment vertical="center" wrapText="1"/>
    </xf>
    <xf numFmtId="0" fontId="53" fillId="0" borderId="117" xfId="0" applyFont="1" applyBorder="1" applyAlignment="1">
      <alignment vertical="center" wrapText="1"/>
    </xf>
    <xf numFmtId="0" fontId="53" fillId="0" borderId="0" xfId="0" applyFont="1" applyAlignment="1">
      <alignment vertical="center" wrapText="1"/>
    </xf>
    <xf numFmtId="0" fontId="53" fillId="0" borderId="118" xfId="0" applyFont="1" applyBorder="1" applyAlignment="1">
      <alignment vertical="center" wrapText="1"/>
    </xf>
    <xf numFmtId="0" fontId="53" fillId="0" borderId="132" xfId="0" applyFont="1" applyBorder="1" applyAlignment="1">
      <alignment vertical="center"/>
    </xf>
    <xf numFmtId="3" fontId="53" fillId="0" borderId="0" xfId="0" applyNumberFormat="1" applyFont="1" applyAlignment="1">
      <alignment vertical="center"/>
    </xf>
    <xf numFmtId="0" fontId="53" fillId="0" borderId="133" xfId="0" applyFont="1" applyBorder="1" applyAlignment="1">
      <alignment vertical="center"/>
    </xf>
    <xf numFmtId="0" fontId="0" fillId="0" borderId="133" xfId="0" applyBorder="1"/>
    <xf numFmtId="0" fontId="26" fillId="2" borderId="17" xfId="0" applyFont="1" applyFill="1" applyBorder="1"/>
    <xf numFmtId="0" fontId="31" fillId="2" borderId="23" xfId="0" applyFont="1" applyFill="1" applyBorder="1" applyAlignment="1">
      <alignment vertical="center"/>
    </xf>
    <xf numFmtId="0" fontId="21" fillId="2" borderId="23" xfId="0" applyFont="1" applyFill="1" applyBorder="1" applyAlignment="1">
      <alignment vertical="center"/>
    </xf>
    <xf numFmtId="0" fontId="21" fillId="2" borderId="23" xfId="0" applyFont="1" applyFill="1" applyBorder="1" applyAlignment="1">
      <alignment horizontal="center" vertical="center"/>
    </xf>
    <xf numFmtId="0" fontId="21" fillId="4" borderId="29" xfId="0" applyFont="1" applyFill="1" applyBorder="1" applyAlignment="1">
      <alignment horizontal="center" vertical="center"/>
    </xf>
    <xf numFmtId="169" fontId="15" fillId="2" borderId="79" xfId="0" applyNumberFormat="1" applyFont="1" applyFill="1" applyBorder="1" applyAlignment="1" applyProtection="1">
      <alignment horizontal="center"/>
      <protection hidden="1"/>
    </xf>
    <xf numFmtId="169" fontId="15" fillId="2" borderId="60" xfId="0" applyNumberFormat="1" applyFont="1" applyFill="1" applyBorder="1" applyAlignment="1" applyProtection="1">
      <alignment horizontal="center"/>
      <protection hidden="1"/>
    </xf>
    <xf numFmtId="0" fontId="6" fillId="2" borderId="60" xfId="0" applyFont="1" applyFill="1" applyBorder="1" applyAlignment="1">
      <alignment horizontal="right"/>
    </xf>
    <xf numFmtId="0" fontId="31" fillId="4" borderId="24" xfId="0" applyFont="1" applyFill="1" applyBorder="1" applyAlignment="1">
      <alignment horizontal="center" vertical="center"/>
    </xf>
    <xf numFmtId="0" fontId="0" fillId="2" borderId="24" xfId="0" applyFill="1" applyBorder="1"/>
    <xf numFmtId="0" fontId="6" fillId="2" borderId="60" xfId="0" applyFont="1" applyFill="1" applyBorder="1" applyAlignment="1">
      <alignment horizontal="left"/>
    </xf>
    <xf numFmtId="169" fontId="15" fillId="2" borderId="60" xfId="0" applyNumberFormat="1" applyFont="1" applyFill="1" applyBorder="1" applyAlignment="1" applyProtection="1">
      <alignment horizontal="right"/>
      <protection hidden="1"/>
    </xf>
    <xf numFmtId="0" fontId="31" fillId="4" borderId="29" xfId="0" applyFont="1" applyFill="1" applyBorder="1" applyAlignment="1">
      <alignment horizontal="center" vertical="center" wrapText="1"/>
    </xf>
    <xf numFmtId="170" fontId="31" fillId="2" borderId="24" xfId="1" applyNumberFormat="1" applyFont="1" applyFill="1" applyBorder="1" applyAlignment="1" applyProtection="1">
      <protection locked="0"/>
    </xf>
    <xf numFmtId="0" fontId="31" fillId="2" borderId="24" xfId="0" applyFont="1" applyFill="1" applyBorder="1" applyAlignment="1" applyProtection="1">
      <alignment horizontal="center"/>
      <protection locked="0"/>
    </xf>
    <xf numFmtId="0" fontId="31" fillId="2" borderId="2" xfId="0" applyFont="1" applyFill="1" applyBorder="1" applyAlignment="1" applyProtection="1">
      <alignment horizontal="center"/>
      <protection locked="0"/>
    </xf>
    <xf numFmtId="3" fontId="31" fillId="2" borderId="2" xfId="0" applyNumberFormat="1" applyFont="1" applyFill="1" applyBorder="1" applyProtection="1">
      <protection locked="0"/>
    </xf>
    <xf numFmtId="3" fontId="31" fillId="2" borderId="0" xfId="0" applyNumberFormat="1" applyFont="1" applyFill="1" applyProtection="1">
      <protection locked="0"/>
    </xf>
    <xf numFmtId="3" fontId="31" fillId="2" borderId="0" xfId="0" applyNumberFormat="1" applyFont="1" applyFill="1" applyAlignment="1" applyProtection="1">
      <alignment horizontal="center"/>
      <protection locked="0"/>
    </xf>
    <xf numFmtId="3" fontId="31" fillId="2" borderId="0" xfId="0" applyNumberFormat="1" applyFont="1" applyFill="1" applyAlignment="1">
      <alignment horizontal="center"/>
    </xf>
    <xf numFmtId="0" fontId="31" fillId="4" borderId="29" xfId="0" applyFont="1" applyFill="1" applyBorder="1" applyAlignment="1">
      <alignment horizontal="center"/>
    </xf>
    <xf numFmtId="3" fontId="31" fillId="2" borderId="29" xfId="0" applyNumberFormat="1" applyFont="1" applyFill="1" applyBorder="1" applyAlignment="1">
      <alignment horizontal="center"/>
    </xf>
    <xf numFmtId="10" fontId="31" fillId="2" borderId="24" xfId="2" applyNumberFormat="1" applyFont="1" applyFill="1" applyBorder="1" applyProtection="1">
      <protection locked="0"/>
    </xf>
    <xf numFmtId="0" fontId="6" fillId="2" borderId="136" xfId="0" applyFont="1" applyFill="1" applyBorder="1"/>
    <xf numFmtId="0" fontId="6" fillId="2" borderId="137" xfId="0" applyFont="1" applyFill="1" applyBorder="1" applyAlignment="1">
      <alignment horizontal="left"/>
    </xf>
    <xf numFmtId="0" fontId="6" fillId="2" borderId="138" xfId="0" applyFont="1" applyFill="1" applyBorder="1" applyAlignment="1">
      <alignment horizontal="left"/>
    </xf>
    <xf numFmtId="3" fontId="31" fillId="2" borderId="24" xfId="0" applyNumberFormat="1" applyFont="1" applyFill="1" applyBorder="1" applyAlignment="1" applyProtection="1">
      <alignment vertical="center"/>
      <protection locked="0"/>
    </xf>
    <xf numFmtId="0" fontId="31" fillId="4" borderId="29" xfId="0" applyFont="1" applyFill="1" applyBorder="1" applyAlignment="1">
      <alignment horizontal="center" vertical="center"/>
    </xf>
    <xf numFmtId="0" fontId="31" fillId="4" borderId="29" xfId="0" applyFont="1" applyFill="1" applyBorder="1" applyAlignment="1">
      <alignment horizontal="center" wrapText="1"/>
    </xf>
    <xf numFmtId="3" fontId="21" fillId="2" borderId="24" xfId="0" applyNumberFormat="1" applyFont="1" applyFill="1" applyBorder="1"/>
    <xf numFmtId="0" fontId="72" fillId="2" borderId="2" xfId="0" applyFont="1" applyFill="1" applyBorder="1" applyAlignment="1">
      <alignment vertical="center"/>
    </xf>
    <xf numFmtId="0" fontId="6" fillId="2" borderId="46" xfId="0" applyFont="1" applyFill="1" applyBorder="1" applyAlignment="1">
      <alignment horizontal="left"/>
    </xf>
    <xf numFmtId="0" fontId="6" fillId="2" borderId="46" xfId="0" applyFont="1" applyFill="1" applyBorder="1"/>
    <xf numFmtId="0" fontId="26" fillId="2" borderId="46" xfId="0" applyFont="1" applyFill="1" applyBorder="1"/>
    <xf numFmtId="0" fontId="0" fillId="2" borderId="47" xfId="0" applyFill="1" applyBorder="1"/>
    <xf numFmtId="0" fontId="26" fillId="2" borderId="47" xfId="0" applyFont="1" applyFill="1" applyBorder="1"/>
    <xf numFmtId="169" fontId="15" fillId="2" borderId="47" xfId="0" applyNumberFormat="1" applyFont="1" applyFill="1" applyBorder="1" applyAlignment="1" applyProtection="1">
      <alignment horizontal="center"/>
      <protection hidden="1"/>
    </xf>
    <xf numFmtId="169" fontId="15" fillId="2" borderId="46" xfId="0" applyNumberFormat="1" applyFont="1" applyFill="1" applyBorder="1" applyProtection="1">
      <protection hidden="1"/>
    </xf>
    <xf numFmtId="3" fontId="6" fillId="2" borderId="139" xfId="0" applyNumberFormat="1" applyFont="1" applyFill="1" applyBorder="1" applyAlignment="1">
      <alignment horizontal="right"/>
    </xf>
    <xf numFmtId="0" fontId="26" fillId="2" borderId="139" xfId="0" applyFont="1" applyFill="1" applyBorder="1"/>
    <xf numFmtId="0" fontId="31" fillId="2" borderId="22" xfId="0" applyFont="1" applyFill="1" applyBorder="1"/>
    <xf numFmtId="169" fontId="50" fillId="2" borderId="24" xfId="0" applyNumberFormat="1" applyFont="1" applyFill="1" applyBorder="1"/>
    <xf numFmtId="169" fontId="53" fillId="2" borderId="24" xfId="0" applyNumberFormat="1" applyFont="1" applyFill="1" applyBorder="1" applyAlignment="1">
      <alignment vertical="center"/>
    </xf>
    <xf numFmtId="0" fontId="31" fillId="2" borderId="0" xfId="0" applyFont="1" applyFill="1" applyAlignment="1" applyProtection="1">
      <alignment vertical="center"/>
      <protection locked="0" hidden="1"/>
    </xf>
    <xf numFmtId="3" fontId="17" fillId="2" borderId="0" xfId="0" applyNumberFormat="1" applyFont="1" applyFill="1" applyAlignment="1" applyProtection="1">
      <alignment horizontal="right" vertical="center"/>
      <protection hidden="1"/>
    </xf>
    <xf numFmtId="0" fontId="14" fillId="2" borderId="0" xfId="0" applyFont="1" applyFill="1" applyAlignment="1" applyProtection="1">
      <alignment vertical="center"/>
      <protection locked="0"/>
    </xf>
    <xf numFmtId="9" fontId="26" fillId="2" borderId="0" xfId="2" applyFont="1" applyFill="1"/>
    <xf numFmtId="3" fontId="6" fillId="2" borderId="46" xfId="0" applyNumberFormat="1" applyFont="1" applyFill="1" applyBorder="1" applyAlignment="1">
      <alignment horizontal="left"/>
    </xf>
    <xf numFmtId="9" fontId="6" fillId="2" borderId="46" xfId="2" applyFont="1" applyFill="1" applyBorder="1"/>
    <xf numFmtId="3" fontId="6" fillId="2" borderId="46" xfId="0" applyNumberFormat="1" applyFont="1" applyFill="1" applyBorder="1"/>
    <xf numFmtId="3" fontId="26" fillId="2" borderId="46" xfId="0" applyNumberFormat="1" applyFont="1" applyFill="1" applyBorder="1"/>
    <xf numFmtId="3" fontId="15" fillId="2" borderId="47" xfId="0" applyNumberFormat="1" applyFont="1" applyFill="1" applyBorder="1" applyAlignment="1" applyProtection="1">
      <alignment horizontal="left"/>
      <protection hidden="1"/>
    </xf>
    <xf numFmtId="3" fontId="0" fillId="2" borderId="47" xfId="0" applyNumberFormat="1" applyFill="1" applyBorder="1"/>
    <xf numFmtId="3" fontId="15" fillId="2" borderId="47" xfId="0" applyNumberFormat="1" applyFont="1" applyFill="1" applyBorder="1" applyAlignment="1" applyProtection="1">
      <alignment horizontal="center"/>
      <protection hidden="1"/>
    </xf>
    <xf numFmtId="3" fontId="6" fillId="2" borderId="47" xfId="0" applyNumberFormat="1" applyFont="1" applyFill="1" applyBorder="1" applyAlignment="1">
      <alignment horizontal="left"/>
    </xf>
    <xf numFmtId="9" fontId="6" fillId="2" borderId="47" xfId="2" applyFont="1" applyFill="1" applyBorder="1" applyAlignment="1">
      <alignment horizontal="left"/>
    </xf>
    <xf numFmtId="3" fontId="6" fillId="2" borderId="47" xfId="0" applyNumberFormat="1" applyFont="1" applyFill="1" applyBorder="1"/>
    <xf numFmtId="3" fontId="26" fillId="2" borderId="47" xfId="0" applyNumberFormat="1" applyFont="1" applyFill="1" applyBorder="1"/>
    <xf numFmtId="3" fontId="15" fillId="2" borderId="0" xfId="0" applyNumberFormat="1" applyFont="1" applyFill="1" applyProtection="1">
      <protection hidden="1"/>
    </xf>
    <xf numFmtId="3" fontId="15" fillId="2" borderId="47" xfId="0" applyNumberFormat="1" applyFont="1" applyFill="1" applyBorder="1" applyProtection="1">
      <protection hidden="1"/>
    </xf>
    <xf numFmtId="3" fontId="26" fillId="2" borderId="139" xfId="0" applyNumberFormat="1" applyFont="1" applyFill="1" applyBorder="1"/>
    <xf numFmtId="3" fontId="0" fillId="2" borderId="139" xfId="0" applyNumberFormat="1" applyFill="1" applyBorder="1"/>
    <xf numFmtId="9" fontId="0" fillId="2" borderId="47" xfId="2" applyFont="1" applyFill="1" applyBorder="1"/>
    <xf numFmtId="1" fontId="6" fillId="2" borderId="47" xfId="0" applyNumberFormat="1" applyFont="1" applyFill="1" applyBorder="1" applyAlignment="1">
      <alignment horizontal="left"/>
    </xf>
    <xf numFmtId="3" fontId="6" fillId="2" borderId="139" xfId="0" applyNumberFormat="1" applyFont="1" applyFill="1" applyBorder="1" applyAlignment="1">
      <alignment horizontal="left"/>
    </xf>
    <xf numFmtId="3" fontId="0" fillId="2" borderId="14" xfId="0" applyNumberFormat="1" applyFill="1" applyBorder="1"/>
    <xf numFmtId="3" fontId="6" fillId="2" borderId="14" xfId="0" applyNumberFormat="1" applyFont="1" applyFill="1" applyBorder="1" applyAlignment="1">
      <alignment horizontal="left"/>
    </xf>
    <xf numFmtId="1" fontId="6" fillId="2" borderId="46" xfId="0" applyNumberFormat="1" applyFont="1" applyFill="1" applyBorder="1" applyAlignment="1">
      <alignment horizontal="left"/>
    </xf>
    <xf numFmtId="3" fontId="6" fillId="2" borderId="139" xfId="0" applyNumberFormat="1" applyFont="1" applyFill="1" applyBorder="1"/>
    <xf numFmtId="3" fontId="6" fillId="2" borderId="139" xfId="0" applyNumberFormat="1" applyFont="1" applyFill="1" applyBorder="1" applyAlignment="1">
      <alignment horizontal="center"/>
    </xf>
    <xf numFmtId="9" fontId="6" fillId="2" borderId="0" xfId="2" applyFont="1" applyFill="1"/>
    <xf numFmtId="3" fontId="31" fillId="2" borderId="23" xfId="0" applyNumberFormat="1" applyFont="1" applyFill="1" applyBorder="1" applyAlignment="1">
      <alignment vertical="center"/>
    </xf>
    <xf numFmtId="169" fontId="50" fillId="2" borderId="24" xfId="0" applyNumberFormat="1" applyFont="1" applyFill="1" applyBorder="1" applyAlignment="1">
      <alignment vertical="center"/>
    </xf>
    <xf numFmtId="10" fontId="0" fillId="2" borderId="0" xfId="0" applyNumberFormat="1" applyFill="1" applyAlignment="1">
      <alignment vertical="center"/>
    </xf>
    <xf numFmtId="3" fontId="0" fillId="2" borderId="24" xfId="0" applyNumberFormat="1" applyFill="1" applyBorder="1" applyAlignment="1">
      <alignment vertical="center"/>
    </xf>
    <xf numFmtId="10" fontId="0" fillId="2" borderId="24" xfId="0" applyNumberFormat="1" applyFill="1" applyBorder="1" applyAlignment="1">
      <alignment vertical="center"/>
    </xf>
    <xf numFmtId="3" fontId="21" fillId="2" borderId="24" xfId="0" applyNumberFormat="1" applyFont="1" applyFill="1" applyBorder="1" applyAlignment="1">
      <alignment vertical="center"/>
    </xf>
    <xf numFmtId="3" fontId="31" fillId="2" borderId="23" xfId="0" applyNumberFormat="1" applyFont="1" applyFill="1" applyBorder="1" applyAlignment="1">
      <alignment horizontal="center" vertical="center"/>
    </xf>
    <xf numFmtId="10" fontId="53" fillId="2" borderId="24" xfId="2" applyNumberFormat="1" applyFont="1" applyFill="1" applyBorder="1" applyAlignment="1">
      <alignment vertical="center"/>
    </xf>
    <xf numFmtId="3" fontId="5" fillId="2" borderId="0" xfId="0" applyNumberFormat="1" applyFont="1" applyFill="1" applyAlignment="1">
      <alignment vertical="center"/>
    </xf>
    <xf numFmtId="10" fontId="5" fillId="2" borderId="0" xfId="0" applyNumberFormat="1" applyFont="1" applyFill="1" applyAlignment="1">
      <alignment vertical="center"/>
    </xf>
    <xf numFmtId="9" fontId="31" fillId="2" borderId="0" xfId="2" applyFont="1" applyFill="1"/>
    <xf numFmtId="3" fontId="21" fillId="2" borderId="0" xfId="0" applyNumberFormat="1" applyFont="1" applyFill="1" applyAlignment="1">
      <alignment horizontal="right"/>
    </xf>
    <xf numFmtId="9" fontId="0" fillId="2" borderId="0" xfId="2" applyFont="1" applyFill="1"/>
    <xf numFmtId="0" fontId="6" fillId="2" borderId="47" xfId="0" applyFont="1" applyFill="1" applyBorder="1"/>
    <xf numFmtId="169" fontId="15" fillId="2" borderId="139" xfId="0" applyNumberFormat="1" applyFont="1" applyFill="1" applyBorder="1" applyAlignment="1" applyProtection="1">
      <alignment horizontal="right"/>
      <protection hidden="1"/>
    </xf>
    <xf numFmtId="0" fontId="6" fillId="2" borderId="139" xfId="0" applyFont="1" applyFill="1" applyBorder="1"/>
    <xf numFmtId="0" fontId="21" fillId="4" borderId="24" xfId="0" applyFont="1" applyFill="1" applyBorder="1" applyAlignment="1">
      <alignment vertical="center"/>
    </xf>
    <xf numFmtId="9" fontId="21" fillId="4" borderId="24" xfId="0" applyNumberFormat="1" applyFont="1" applyFill="1" applyBorder="1" applyAlignment="1">
      <alignment horizontal="center" vertical="center" wrapText="1"/>
    </xf>
    <xf numFmtId="169" fontId="31" fillId="2" borderId="24" xfId="0" applyNumberFormat="1" applyFont="1" applyFill="1" applyBorder="1" applyAlignment="1">
      <alignment vertical="center"/>
    </xf>
    <xf numFmtId="10" fontId="31" fillId="2" borderId="24" xfId="2" applyNumberFormat="1" applyFont="1" applyFill="1" applyBorder="1" applyAlignment="1" applyProtection="1">
      <alignment vertical="center"/>
      <protection locked="0"/>
    </xf>
    <xf numFmtId="0" fontId="31" fillId="2" borderId="1" xfId="0" applyFont="1" applyFill="1" applyBorder="1" applyAlignment="1">
      <alignment vertical="center"/>
    </xf>
    <xf numFmtId="0" fontId="31" fillId="2" borderId="2" xfId="0" applyFont="1" applyFill="1" applyBorder="1" applyAlignment="1">
      <alignment vertical="center"/>
    </xf>
    <xf numFmtId="0" fontId="31" fillId="2" borderId="3" xfId="0" applyFont="1" applyFill="1" applyBorder="1" applyAlignment="1">
      <alignment vertical="center"/>
    </xf>
    <xf numFmtId="169" fontId="21" fillId="2" borderId="24" xfId="0" applyNumberFormat="1" applyFont="1" applyFill="1" applyBorder="1" applyAlignment="1">
      <alignment vertical="center"/>
    </xf>
    <xf numFmtId="10" fontId="21" fillId="2" borderId="24" xfId="2" applyNumberFormat="1" applyFont="1" applyFill="1" applyBorder="1" applyAlignment="1" applyProtection="1">
      <alignment vertical="center"/>
    </xf>
    <xf numFmtId="0" fontId="37" fillId="2" borderId="0" xfId="0" applyFont="1" applyFill="1" applyAlignment="1">
      <alignment vertical="top"/>
    </xf>
    <xf numFmtId="0" fontId="6" fillId="2" borderId="0" xfId="0" applyFont="1" applyFill="1" applyProtection="1">
      <protection locked="0"/>
    </xf>
    <xf numFmtId="169" fontId="15" fillId="2" borderId="17" xfId="0" applyNumberFormat="1" applyFont="1" applyFill="1" applyBorder="1" applyAlignment="1" applyProtection="1">
      <alignment horizontal="right"/>
      <protection hidden="1"/>
    </xf>
    <xf numFmtId="3" fontId="53" fillId="4" borderId="21" xfId="0" applyNumberFormat="1" applyFont="1" applyFill="1" applyBorder="1"/>
    <xf numFmtId="0" fontId="53" fillId="4" borderId="22" xfId="0" applyFont="1" applyFill="1" applyBorder="1"/>
    <xf numFmtId="0" fontId="53" fillId="4" borderId="23" xfId="0" applyFont="1" applyFill="1" applyBorder="1"/>
    <xf numFmtId="3" fontId="53" fillId="4" borderId="23" xfId="0" applyNumberFormat="1" applyFont="1" applyFill="1" applyBorder="1" applyAlignment="1">
      <alignment horizontal="center"/>
    </xf>
    <xf numFmtId="0" fontId="50" fillId="0" borderId="21" xfId="0" applyFont="1" applyBorder="1"/>
    <xf numFmtId="0" fontId="50" fillId="2" borderId="22" xfId="0" applyFont="1" applyFill="1" applyBorder="1"/>
    <xf numFmtId="0" fontId="50" fillId="2" borderId="23" xfId="0" applyFont="1" applyFill="1" applyBorder="1"/>
    <xf numFmtId="3" fontId="50" fillId="2" borderId="23" xfId="0" applyNumberFormat="1" applyFont="1" applyFill="1" applyBorder="1" applyProtection="1">
      <protection locked="0"/>
    </xf>
    <xf numFmtId="0" fontId="50" fillId="0" borderId="1" xfId="0" applyFont="1" applyBorder="1"/>
    <xf numFmtId="0" fontId="50" fillId="2" borderId="2" xfId="0" applyFont="1" applyFill="1" applyBorder="1"/>
    <xf numFmtId="0" fontId="50" fillId="2" borderId="3" xfId="0" applyFont="1" applyFill="1" applyBorder="1"/>
    <xf numFmtId="3" fontId="53" fillId="4" borderId="21" xfId="0" applyNumberFormat="1" applyFont="1" applyFill="1" applyBorder="1" applyAlignment="1">
      <alignment horizontal="center"/>
    </xf>
    <xf numFmtId="0" fontId="53" fillId="4" borderId="22" xfId="0" applyFont="1" applyFill="1" applyBorder="1" applyAlignment="1">
      <alignment horizontal="center"/>
    </xf>
    <xf numFmtId="0" fontId="53" fillId="4" borderId="23" xfId="0" applyFont="1" applyFill="1" applyBorder="1" applyAlignment="1">
      <alignment horizontal="center"/>
    </xf>
    <xf numFmtId="3" fontId="53" fillId="4" borderId="24" xfId="0" applyNumberFormat="1" applyFont="1" applyFill="1" applyBorder="1" applyAlignment="1">
      <alignment horizontal="center"/>
    </xf>
    <xf numFmtId="0" fontId="53" fillId="2" borderId="1" xfId="0" applyFont="1" applyFill="1" applyBorder="1"/>
    <xf numFmtId="0" fontId="53" fillId="2" borderId="2" xfId="0" applyFont="1" applyFill="1" applyBorder="1"/>
    <xf numFmtId="0" fontId="53" fillId="2" borderId="3" xfId="0" applyFont="1" applyFill="1" applyBorder="1"/>
    <xf numFmtId="0" fontId="53" fillId="2" borderId="3" xfId="0" applyFont="1" applyFill="1" applyBorder="1" applyProtection="1">
      <protection locked="0"/>
    </xf>
    <xf numFmtId="0" fontId="50" fillId="2" borderId="23" xfId="0" applyFont="1" applyFill="1" applyBorder="1" applyProtection="1">
      <protection locked="0"/>
    </xf>
    <xf numFmtId="0" fontId="53" fillId="0" borderId="21" xfId="0" applyFont="1" applyBorder="1"/>
    <xf numFmtId="0" fontId="53" fillId="2" borderId="22" xfId="0" applyFont="1" applyFill="1" applyBorder="1"/>
    <xf numFmtId="0" fontId="53" fillId="2" borderId="23" xfId="0" applyFont="1" applyFill="1" applyBorder="1"/>
    <xf numFmtId="0" fontId="53" fillId="4" borderId="24" xfId="0" applyFont="1" applyFill="1" applyBorder="1" applyAlignment="1">
      <alignment horizontal="center"/>
    </xf>
    <xf numFmtId="0" fontId="50" fillId="2" borderId="21" xfId="0" applyFont="1" applyFill="1" applyBorder="1"/>
    <xf numFmtId="3" fontId="75" fillId="2" borderId="0" xfId="0" applyNumberFormat="1" applyFont="1" applyFill="1" applyAlignment="1">
      <alignment horizontal="right" vertical="center"/>
    </xf>
    <xf numFmtId="0" fontId="54" fillId="2" borderId="0" xfId="0" applyFont="1" applyFill="1" applyAlignment="1">
      <alignment vertical="center"/>
    </xf>
    <xf numFmtId="0" fontId="21" fillId="2" borderId="46" xfId="0" applyFont="1" applyFill="1" applyBorder="1" applyAlignment="1">
      <alignment horizontal="left"/>
    </xf>
    <xf numFmtId="0" fontId="21" fillId="2" borderId="47" xfId="0" applyFont="1" applyFill="1" applyBorder="1" applyAlignment="1">
      <alignment horizontal="left"/>
    </xf>
    <xf numFmtId="0" fontId="53" fillId="2" borderId="0" xfId="0" applyFont="1" applyFill="1" applyAlignment="1">
      <alignment horizontal="left"/>
    </xf>
    <xf numFmtId="3" fontId="31" fillId="2" borderId="24" xfId="0" applyNumberFormat="1" applyFont="1" applyFill="1" applyBorder="1" applyAlignment="1" applyProtection="1">
      <alignment horizontal="center"/>
      <protection locked="0"/>
    </xf>
    <xf numFmtId="0" fontId="14" fillId="2" borderId="0" xfId="0" applyFont="1" applyFill="1" applyAlignment="1">
      <alignment horizontal="left" vertical="center" indent="1"/>
    </xf>
    <xf numFmtId="169" fontId="15" fillId="2" borderId="139" xfId="0" applyNumberFormat="1" applyFont="1" applyFill="1" applyBorder="1" applyAlignment="1" applyProtection="1">
      <alignment horizontal="center"/>
      <protection hidden="1"/>
    </xf>
    <xf numFmtId="169" fontId="15" fillId="2" borderId="139" xfId="0" applyNumberFormat="1" applyFont="1" applyFill="1" applyBorder="1" applyProtection="1">
      <protection hidden="1"/>
    </xf>
    <xf numFmtId="3" fontId="50" fillId="2" borderId="29" xfId="0" applyNumberFormat="1" applyFont="1" applyFill="1" applyBorder="1" applyAlignment="1">
      <alignment vertical="center"/>
    </xf>
    <xf numFmtId="3" fontId="50" fillId="6" borderId="29" xfId="0" applyNumberFormat="1" applyFont="1" applyFill="1" applyBorder="1" applyAlignment="1" applyProtection="1">
      <alignment vertical="center"/>
      <protection locked="0"/>
    </xf>
    <xf numFmtId="0" fontId="3" fillId="2" borderId="0" xfId="0" applyFont="1" applyFill="1" applyAlignment="1">
      <alignment vertical="center"/>
    </xf>
    <xf numFmtId="0" fontId="6" fillId="2" borderId="139" xfId="0" applyFont="1" applyFill="1" applyBorder="1" applyAlignment="1">
      <alignment horizontal="right"/>
    </xf>
    <xf numFmtId="3" fontId="21" fillId="4" borderId="29" xfId="0" applyNumberFormat="1" applyFont="1" applyFill="1" applyBorder="1" applyAlignment="1">
      <alignment horizontal="center" vertical="center"/>
    </xf>
    <xf numFmtId="3" fontId="21" fillId="4" borderId="29" xfId="0" applyNumberFormat="1" applyFont="1" applyFill="1" applyBorder="1" applyAlignment="1">
      <alignment horizontal="center" vertical="center" wrapText="1"/>
    </xf>
    <xf numFmtId="9" fontId="21" fillId="4" borderId="29" xfId="0" applyNumberFormat="1" applyFont="1" applyFill="1" applyBorder="1" applyAlignment="1">
      <alignment horizontal="center" vertical="center" wrapText="1"/>
    </xf>
    <xf numFmtId="10" fontId="50" fillId="6" borderId="24" xfId="2" applyNumberFormat="1" applyFont="1" applyFill="1" applyBorder="1" applyAlignment="1" applyProtection="1">
      <alignment vertical="center"/>
      <protection locked="0"/>
    </xf>
    <xf numFmtId="3" fontId="3" fillId="2" borderId="0" xfId="0" applyNumberFormat="1" applyFont="1" applyFill="1" applyAlignment="1">
      <alignment vertical="center"/>
    </xf>
    <xf numFmtId="0" fontId="0" fillId="2" borderId="141" xfId="0" applyFill="1" applyBorder="1"/>
    <xf numFmtId="3" fontId="21" fillId="4" borderId="20" xfId="0" applyNumberFormat="1" applyFont="1" applyFill="1" applyBorder="1" applyAlignment="1">
      <alignment horizontal="center" vertical="center" wrapText="1"/>
    </xf>
    <xf numFmtId="9" fontId="21" fillId="4" borderId="20" xfId="0" applyNumberFormat="1" applyFont="1" applyFill="1" applyBorder="1" applyAlignment="1">
      <alignment horizontal="center" vertical="center" wrapText="1"/>
    </xf>
    <xf numFmtId="10" fontId="31" fillId="2" borderId="24" xfId="2" applyNumberFormat="1" applyFont="1" applyFill="1" applyBorder="1" applyAlignment="1">
      <alignment vertical="center"/>
    </xf>
    <xf numFmtId="0" fontId="31" fillId="2" borderId="24" xfId="0" applyFont="1" applyFill="1" applyBorder="1" applyAlignment="1" applyProtection="1">
      <alignment vertical="center"/>
      <protection locked="0"/>
    </xf>
    <xf numFmtId="10" fontId="21" fillId="2" borderId="24" xfId="2" applyNumberFormat="1" applyFont="1" applyFill="1" applyBorder="1" applyAlignment="1">
      <alignment vertical="center"/>
    </xf>
    <xf numFmtId="3" fontId="31" fillId="2" borderId="29" xfId="0" applyNumberFormat="1" applyFont="1" applyFill="1" applyBorder="1" applyAlignment="1">
      <alignment vertical="center"/>
    </xf>
    <xf numFmtId="3" fontId="21" fillId="2" borderId="24" xfId="0" applyNumberFormat="1" applyFont="1" applyFill="1" applyBorder="1" applyAlignment="1" applyProtection="1">
      <alignment vertical="center"/>
      <protection locked="0"/>
    </xf>
    <xf numFmtId="169" fontId="15" fillId="2" borderId="47" xfId="0" applyNumberFormat="1" applyFont="1" applyFill="1" applyBorder="1" applyProtection="1">
      <protection hidden="1"/>
    </xf>
    <xf numFmtId="0" fontId="76" fillId="2" borderId="0" xfId="0" applyFont="1" applyFill="1" applyAlignment="1">
      <alignment horizontal="right" vertical="center"/>
    </xf>
    <xf numFmtId="0" fontId="77" fillId="2" borderId="0" xfId="0" applyFont="1" applyFill="1" applyAlignment="1">
      <alignment vertical="center"/>
    </xf>
    <xf numFmtId="0" fontId="53" fillId="2" borderId="47" xfId="0" applyFont="1" applyFill="1" applyBorder="1" applyAlignment="1">
      <alignment horizontal="left"/>
    </xf>
    <xf numFmtId="0" fontId="53" fillId="2" borderId="139" xfId="0" applyFont="1" applyFill="1" applyBorder="1" applyAlignment="1">
      <alignment horizontal="left"/>
    </xf>
    <xf numFmtId="0" fontId="53" fillId="2" borderId="14" xfId="0" applyFont="1" applyFill="1" applyBorder="1" applyAlignment="1">
      <alignment horizontal="left"/>
    </xf>
    <xf numFmtId="3" fontId="31" fillId="4" borderId="29" xfId="0" applyNumberFormat="1" applyFont="1" applyFill="1" applyBorder="1" applyAlignment="1">
      <alignment horizontal="center" vertical="center"/>
    </xf>
    <xf numFmtId="3" fontId="31" fillId="4" borderId="24" xfId="0" applyNumberFormat="1" applyFont="1" applyFill="1" applyBorder="1" applyAlignment="1">
      <alignment horizontal="center" vertical="center"/>
    </xf>
    <xf numFmtId="0" fontId="3" fillId="2" borderId="0" xfId="0" applyFont="1" applyFill="1"/>
    <xf numFmtId="49" fontId="21" fillId="0" borderId="0" xfId="0" applyNumberFormat="1" applyFont="1" applyAlignment="1">
      <alignment horizontal="center" vertical="center"/>
    </xf>
    <xf numFmtId="0" fontId="3" fillId="0" borderId="0" xfId="0" applyFont="1"/>
    <xf numFmtId="0" fontId="57" fillId="0" borderId="0" xfId="0" applyFont="1"/>
    <xf numFmtId="0" fontId="53" fillId="0" borderId="132" xfId="0" applyFont="1" applyBorder="1" applyAlignment="1">
      <alignment horizontal="left" vertical="center"/>
    </xf>
    <xf numFmtId="166" fontId="53" fillId="0" borderId="132" xfId="1" applyFont="1" applyBorder="1" applyAlignment="1" applyProtection="1">
      <alignment vertical="center"/>
    </xf>
    <xf numFmtId="0" fontId="60" fillId="0" borderId="0" xfId="0" applyFont="1"/>
    <xf numFmtId="0" fontId="57" fillId="0" borderId="133" xfId="0" applyFont="1" applyBorder="1"/>
    <xf numFmtId="0" fontId="60" fillId="0" borderId="133" xfId="0" applyFont="1" applyBorder="1"/>
    <xf numFmtId="166" fontId="53" fillId="0" borderId="133" xfId="1" applyFont="1" applyBorder="1" applyAlignment="1" applyProtection="1">
      <alignment horizontal="left" vertical="center"/>
    </xf>
    <xf numFmtId="166" fontId="53" fillId="0" borderId="0" xfId="1" applyFont="1" applyBorder="1" applyAlignment="1" applyProtection="1">
      <alignment horizontal="left" vertical="center"/>
    </xf>
    <xf numFmtId="0" fontId="53" fillId="0" borderId="15" xfId="0" applyFont="1" applyBorder="1" applyAlignment="1">
      <alignment vertical="center"/>
    </xf>
    <xf numFmtId="0" fontId="60" fillId="0" borderId="14" xfId="0" applyFont="1" applyBorder="1"/>
    <xf numFmtId="0" fontId="57" fillId="0" borderId="15" xfId="0" applyFont="1" applyBorder="1"/>
    <xf numFmtId="0" fontId="52" fillId="0" borderId="0" xfId="0" applyFont="1" applyAlignment="1">
      <alignment vertical="center" wrapText="1"/>
    </xf>
    <xf numFmtId="0" fontId="79" fillId="0" borderId="146" xfId="0" applyFont="1" applyBorder="1" applyAlignment="1">
      <alignment horizontal="center" vertical="center" wrapText="1"/>
    </xf>
    <xf numFmtId="0" fontId="79" fillId="0" borderId="147" xfId="0" applyFont="1" applyBorder="1" applyAlignment="1">
      <alignment horizontal="center" vertical="center" wrapText="1"/>
    </xf>
    <xf numFmtId="0" fontId="80" fillId="6" borderId="146" xfId="0" applyFont="1" applyFill="1" applyBorder="1" applyAlignment="1">
      <alignment horizontal="center" vertical="center" wrapText="1"/>
    </xf>
    <xf numFmtId="0" fontId="0" fillId="0" borderId="0" xfId="0" applyAlignment="1">
      <alignment vertical="center"/>
    </xf>
    <xf numFmtId="0" fontId="78" fillId="12" borderId="83" xfId="0" applyFont="1" applyFill="1" applyBorder="1" applyAlignment="1">
      <alignment horizontal="center" vertical="center" wrapText="1"/>
    </xf>
    <xf numFmtId="3" fontId="81" fillId="0" borderId="83" xfId="0" applyNumberFormat="1" applyFont="1" applyBorder="1" applyAlignment="1" applyProtection="1">
      <alignment horizontal="center" vertical="center" wrapText="1"/>
      <protection locked="0"/>
    </xf>
    <xf numFmtId="3" fontId="82" fillId="6" borderId="83" xfId="0" applyNumberFormat="1" applyFont="1" applyFill="1" applyBorder="1" applyAlignment="1">
      <alignment horizontal="center" vertical="center" wrapText="1"/>
    </xf>
    <xf numFmtId="3" fontId="81" fillId="0" borderId="83" xfId="0" applyNumberFormat="1" applyFont="1" applyBorder="1" applyAlignment="1" applyProtection="1">
      <alignment horizontal="right" vertical="center" wrapText="1"/>
      <protection locked="0"/>
    </xf>
    <xf numFmtId="3" fontId="81" fillId="0" borderId="83" xfId="0" applyNumberFormat="1" applyFont="1" applyBorder="1" applyAlignment="1">
      <alignment horizontal="right" vertical="center" wrapText="1"/>
    </xf>
    <xf numFmtId="3" fontId="82" fillId="6" borderId="83" xfId="0" applyNumberFormat="1" applyFont="1" applyFill="1" applyBorder="1" applyAlignment="1">
      <alignment horizontal="right" vertical="center" wrapText="1"/>
    </xf>
    <xf numFmtId="0" fontId="52" fillId="0" borderId="0" xfId="0" applyFont="1" applyAlignment="1">
      <alignment horizontal="center" vertical="center" wrapText="1"/>
    </xf>
    <xf numFmtId="0" fontId="52" fillId="0" borderId="0" xfId="0" applyFont="1" applyAlignment="1">
      <alignment vertical="center"/>
    </xf>
    <xf numFmtId="0" fontId="78" fillId="0" borderId="0" xfId="0" applyFont="1" applyAlignment="1">
      <alignment horizontal="center" vertical="center" wrapText="1"/>
    </xf>
    <xf numFmtId="0" fontId="52" fillId="0" borderId="0" xfId="0" applyFont="1" applyAlignment="1">
      <alignment horizontal="left" vertical="center" wrapText="1" indent="1"/>
    </xf>
    <xf numFmtId="3" fontId="81" fillId="0" borderId="0" xfId="0" applyNumberFormat="1" applyFont="1" applyAlignment="1">
      <alignment horizontal="right" vertical="center" wrapText="1"/>
    </xf>
    <xf numFmtId="3" fontId="81" fillId="0" borderId="0" xfId="0" applyNumberFormat="1" applyFont="1" applyAlignment="1">
      <alignment vertical="center" wrapText="1"/>
    </xf>
    <xf numFmtId="3" fontId="62" fillId="0" borderId="83" xfId="0" applyNumberFormat="1" applyFont="1" applyBorder="1" applyProtection="1">
      <protection locked="0"/>
    </xf>
    <xf numFmtId="3" fontId="78" fillId="6" borderId="83" xfId="0" applyNumberFormat="1" applyFont="1" applyFill="1" applyBorder="1" applyAlignment="1">
      <alignment horizontal="right" vertical="center" wrapText="1"/>
    </xf>
    <xf numFmtId="0" fontId="78" fillId="6" borderId="83" xfId="0" applyFont="1" applyFill="1" applyBorder="1" applyAlignment="1">
      <alignment horizontal="center" vertical="center" wrapText="1"/>
    </xf>
    <xf numFmtId="3" fontId="82" fillId="0" borderId="0" xfId="0" applyNumberFormat="1" applyFont="1" applyAlignment="1">
      <alignment vertical="center" wrapText="1"/>
    </xf>
    <xf numFmtId="0" fontId="52" fillId="0" borderId="0" xfId="0" applyFont="1" applyAlignment="1">
      <alignment horizontal="left" vertical="center" wrapText="1"/>
    </xf>
    <xf numFmtId="0" fontId="81" fillId="0" borderId="0" xfId="0" applyFont="1" applyAlignment="1">
      <alignment horizontal="center" vertical="center" wrapText="1"/>
    </xf>
    <xf numFmtId="0" fontId="84" fillId="0" borderId="116" xfId="0" applyFont="1" applyBorder="1" applyAlignment="1">
      <alignment vertical="center"/>
    </xf>
    <xf numFmtId="0" fontId="85" fillId="0" borderId="0" xfId="0" applyFont="1" applyAlignment="1">
      <alignment horizontal="left" vertical="center" indent="6"/>
    </xf>
    <xf numFmtId="0" fontId="6" fillId="0" borderId="0" xfId="0" applyFont="1" applyAlignment="1">
      <alignment vertical="center"/>
    </xf>
    <xf numFmtId="0" fontId="6" fillId="0" borderId="15" xfId="0" applyFont="1" applyBorder="1" applyAlignment="1">
      <alignment vertical="center"/>
    </xf>
    <xf numFmtId="0" fontId="0" fillId="0" borderId="15" xfId="0" applyBorder="1"/>
    <xf numFmtId="0" fontId="6" fillId="0" borderId="14" xfId="0" applyFont="1" applyBorder="1" applyAlignment="1">
      <alignment vertical="center"/>
    </xf>
    <xf numFmtId="0" fontId="3" fillId="0" borderId="0" xfId="0" applyFont="1" applyAlignment="1">
      <alignment horizontal="right"/>
    </xf>
    <xf numFmtId="0" fontId="6" fillId="0" borderId="14" xfId="0" applyFont="1" applyBorder="1" applyAlignment="1">
      <alignment horizontal="left" vertical="center"/>
    </xf>
    <xf numFmtId="3" fontId="29" fillId="2" borderId="0" xfId="0" applyNumberFormat="1" applyFont="1" applyFill="1" applyAlignment="1">
      <alignment horizontal="center" vertical="center"/>
    </xf>
    <xf numFmtId="0" fontId="53" fillId="2" borderId="46" xfId="0" applyFont="1" applyFill="1" applyBorder="1" applyAlignment="1">
      <alignment horizontal="left"/>
    </xf>
    <xf numFmtId="0" fontId="31" fillId="2" borderId="46" xfId="0" applyFont="1" applyFill="1" applyBorder="1"/>
    <xf numFmtId="169" fontId="17" fillId="2" borderId="47" xfId="0" applyNumberFormat="1" applyFont="1" applyFill="1" applyBorder="1" applyProtection="1">
      <protection hidden="1"/>
    </xf>
    <xf numFmtId="169" fontId="17" fillId="2" borderId="139" xfId="0" applyNumberFormat="1" applyFont="1" applyFill="1" applyBorder="1" applyAlignment="1" applyProtection="1">
      <alignment horizontal="right"/>
      <protection hidden="1"/>
    </xf>
    <xf numFmtId="0" fontId="21" fillId="2" borderId="139" xfId="0" applyFont="1" applyFill="1" applyBorder="1"/>
    <xf numFmtId="169" fontId="31" fillId="2" borderId="0" xfId="0" applyNumberFormat="1" applyFont="1" applyFill="1"/>
    <xf numFmtId="169" fontId="21" fillId="2" borderId="0" xfId="0" applyNumberFormat="1" applyFont="1" applyFill="1"/>
    <xf numFmtId="169" fontId="21" fillId="2" borderId="0" xfId="0" applyNumberFormat="1" applyFont="1" applyFill="1" applyAlignment="1">
      <alignment horizontal="left"/>
    </xf>
    <xf numFmtId="1" fontId="21" fillId="2" borderId="46" xfId="0" applyNumberFormat="1" applyFont="1" applyFill="1" applyBorder="1" applyAlignment="1">
      <alignment horizontal="left"/>
    </xf>
    <xf numFmtId="169" fontId="21" fillId="2" borderId="46" xfId="0" applyNumberFormat="1" applyFont="1" applyFill="1" applyBorder="1"/>
    <xf numFmtId="1" fontId="21" fillId="2" borderId="47" xfId="0" applyNumberFormat="1" applyFont="1" applyFill="1" applyBorder="1" applyAlignment="1">
      <alignment horizontal="left"/>
    </xf>
    <xf numFmtId="169" fontId="17" fillId="2" borderId="47" xfId="0" applyNumberFormat="1" applyFont="1" applyFill="1" applyBorder="1" applyAlignment="1" applyProtection="1">
      <alignment horizontal="center"/>
      <protection hidden="1"/>
    </xf>
    <xf numFmtId="169" fontId="21" fillId="2" borderId="47" xfId="0" applyNumberFormat="1" applyFont="1" applyFill="1" applyBorder="1" applyAlignment="1">
      <alignment horizontal="left"/>
    </xf>
    <xf numFmtId="169" fontId="21" fillId="2" borderId="47" xfId="0" applyNumberFormat="1" applyFont="1" applyFill="1" applyBorder="1"/>
    <xf numFmtId="169" fontId="0" fillId="2" borderId="47" xfId="0" applyNumberFormat="1" applyFill="1" applyBorder="1"/>
    <xf numFmtId="1" fontId="21" fillId="2" borderId="0" xfId="0" applyNumberFormat="1" applyFont="1" applyFill="1" applyAlignment="1">
      <alignment horizontal="left"/>
    </xf>
    <xf numFmtId="169" fontId="21" fillId="2" borderId="0" xfId="0" applyNumberFormat="1" applyFont="1" applyFill="1" applyAlignment="1">
      <alignment horizontal="right"/>
    </xf>
    <xf numFmtId="169" fontId="31" fillId="2" borderId="139" xfId="0" applyNumberFormat="1" applyFont="1" applyFill="1" applyBorder="1"/>
    <xf numFmtId="169" fontId="73" fillId="4" borderId="1" xfId="0" applyNumberFormat="1" applyFont="1" applyFill="1" applyBorder="1" applyAlignment="1">
      <alignment vertical="center"/>
    </xf>
    <xf numFmtId="169" fontId="88" fillId="4" borderId="9" xfId="0" applyNumberFormat="1" applyFont="1" applyFill="1" applyBorder="1" applyAlignment="1">
      <alignment vertical="center"/>
    </xf>
    <xf numFmtId="169" fontId="73" fillId="4" borderId="11" xfId="0" applyNumberFormat="1" applyFont="1" applyFill="1" applyBorder="1" applyAlignment="1">
      <alignment vertical="center"/>
    </xf>
    <xf numFmtId="169" fontId="88" fillId="2" borderId="24" xfId="0" applyNumberFormat="1" applyFont="1" applyFill="1" applyBorder="1" applyAlignment="1" applyProtection="1">
      <alignment vertical="center"/>
      <protection locked="0"/>
    </xf>
    <xf numFmtId="169" fontId="50" fillId="2" borderId="24" xfId="0" applyNumberFormat="1" applyFont="1" applyFill="1" applyBorder="1" applyProtection="1">
      <protection locked="0"/>
    </xf>
    <xf numFmtId="169" fontId="73" fillId="2" borderId="24" xfId="0" applyNumberFormat="1" applyFont="1" applyFill="1" applyBorder="1" applyAlignment="1">
      <alignment vertical="center"/>
    </xf>
    <xf numFmtId="169" fontId="73" fillId="2" borderId="24" xfId="0" applyNumberFormat="1" applyFont="1" applyFill="1" applyBorder="1" applyAlignment="1" applyProtection="1">
      <alignment vertical="center"/>
      <protection locked="0"/>
    </xf>
    <xf numFmtId="169" fontId="50" fillId="2" borderId="0" xfId="0" applyNumberFormat="1" applyFont="1" applyFill="1"/>
    <xf numFmtId="0" fontId="21" fillId="2" borderId="46" xfId="0" applyFont="1" applyFill="1" applyBorder="1"/>
    <xf numFmtId="0" fontId="21" fillId="2" borderId="47" xfId="0" applyFont="1" applyFill="1" applyBorder="1"/>
    <xf numFmtId="0" fontId="53" fillId="4" borderId="24" xfId="0" applyFont="1" applyFill="1" applyBorder="1" applyAlignment="1">
      <alignment horizontal="center" vertical="top" wrapText="1"/>
    </xf>
    <xf numFmtId="0" fontId="53" fillId="4" borderId="24" xfId="0" applyFont="1" applyFill="1" applyBorder="1" applyAlignment="1" applyProtection="1">
      <alignment vertical="top" wrapText="1"/>
      <protection locked="0"/>
    </xf>
    <xf numFmtId="0" fontId="50" fillId="2" borderId="24" xfId="0" applyFont="1" applyFill="1" applyBorder="1" applyAlignment="1" applyProtection="1">
      <alignment wrapText="1"/>
      <protection locked="0"/>
    </xf>
    <xf numFmtId="0" fontId="53" fillId="2" borderId="24" xfId="0" applyFont="1" applyFill="1" applyBorder="1" applyAlignment="1">
      <alignment vertical="center"/>
    </xf>
    <xf numFmtId="0" fontId="53" fillId="2" borderId="24" xfId="0" applyFont="1" applyFill="1" applyBorder="1"/>
    <xf numFmtId="169" fontId="17" fillId="2" borderId="46" xfId="0" applyNumberFormat="1" applyFont="1" applyFill="1" applyBorder="1" applyProtection="1">
      <protection hidden="1"/>
    </xf>
    <xf numFmtId="0" fontId="50" fillId="4" borderId="24" xfId="0" applyFont="1" applyFill="1" applyBorder="1" applyAlignment="1">
      <alignment horizontal="center" vertical="center"/>
    </xf>
    <xf numFmtId="169" fontId="17" fillId="2" borderId="47" xfId="0" applyNumberFormat="1" applyFont="1" applyFill="1" applyBorder="1" applyAlignment="1" applyProtection="1">
      <alignment horizontal="left"/>
      <protection hidden="1"/>
    </xf>
    <xf numFmtId="0" fontId="31" fillId="2" borderId="47" xfId="0" applyFont="1" applyFill="1" applyBorder="1"/>
    <xf numFmtId="0" fontId="50" fillId="2" borderId="47" xfId="0" applyFont="1" applyFill="1" applyBorder="1" applyAlignment="1">
      <alignment horizontal="left"/>
    </xf>
    <xf numFmtId="0" fontId="50" fillId="2" borderId="0" xfId="0" applyFont="1" applyFill="1" applyAlignment="1">
      <alignment horizontal="left"/>
    </xf>
    <xf numFmtId="0" fontId="31" fillId="2" borderId="139" xfId="0" applyFont="1" applyFill="1" applyBorder="1"/>
    <xf numFmtId="10" fontId="31" fillId="2" borderId="139" xfId="0" applyNumberFormat="1" applyFont="1" applyFill="1" applyBorder="1"/>
    <xf numFmtId="0" fontId="73" fillId="4" borderId="3" xfId="0" applyFont="1" applyFill="1" applyBorder="1" applyAlignment="1">
      <alignment horizontal="center" vertical="center"/>
    </xf>
    <xf numFmtId="0" fontId="73" fillId="4" borderId="23" xfId="0" applyFont="1" applyFill="1" applyBorder="1" applyAlignment="1">
      <alignment horizontal="center" vertical="center"/>
    </xf>
    <xf numFmtId="0" fontId="73" fillId="4" borderId="24" xfId="0" applyFont="1" applyFill="1" applyBorder="1" applyAlignment="1">
      <alignment horizontal="center" vertical="center"/>
    </xf>
    <xf numFmtId="10" fontId="73" fillId="4" borderId="24" xfId="0" applyNumberFormat="1" applyFont="1" applyFill="1" applyBorder="1" applyAlignment="1">
      <alignment horizontal="center" vertical="center"/>
    </xf>
    <xf numFmtId="3" fontId="88" fillId="2" borderId="21" xfId="0" applyNumberFormat="1" applyFont="1" applyFill="1" applyBorder="1" applyAlignment="1">
      <alignment vertical="center"/>
    </xf>
    <xf numFmtId="3" fontId="88" fillId="2" borderId="22" xfId="0" applyNumberFormat="1" applyFont="1" applyFill="1" applyBorder="1" applyAlignment="1">
      <alignment vertical="center"/>
    </xf>
    <xf numFmtId="3" fontId="88" fillId="2" borderId="23" xfId="0" applyNumberFormat="1" applyFont="1" applyFill="1" applyBorder="1" applyAlignment="1">
      <alignment vertical="center"/>
    </xf>
    <xf numFmtId="3" fontId="73" fillId="2" borderId="23" xfId="0" applyNumberFormat="1" applyFont="1" applyFill="1" applyBorder="1" applyAlignment="1">
      <alignment vertical="center"/>
    </xf>
    <xf numFmtId="3" fontId="73" fillId="2" borderId="24" xfId="0" applyNumberFormat="1" applyFont="1" applyFill="1" applyBorder="1" applyAlignment="1">
      <alignment vertical="center"/>
    </xf>
    <xf numFmtId="10" fontId="73" fillId="2" borderId="24" xfId="0" applyNumberFormat="1" applyFont="1" applyFill="1" applyBorder="1" applyAlignment="1">
      <alignment vertical="center"/>
    </xf>
    <xf numFmtId="3" fontId="73" fillId="2" borderId="21" xfId="0" applyNumberFormat="1" applyFont="1" applyFill="1" applyBorder="1" applyAlignment="1">
      <alignment vertical="center"/>
    </xf>
    <xf numFmtId="3" fontId="73" fillId="2" borderId="22" xfId="0" applyNumberFormat="1" applyFont="1" applyFill="1" applyBorder="1" applyAlignment="1">
      <alignment vertical="center"/>
    </xf>
    <xf numFmtId="169" fontId="73" fillId="2" borderId="23" xfId="0" applyNumberFormat="1" applyFont="1" applyFill="1" applyBorder="1" applyAlignment="1">
      <alignment vertical="center"/>
    </xf>
    <xf numFmtId="10" fontId="50" fillId="2" borderId="24" xfId="0" applyNumberFormat="1" applyFont="1" applyFill="1" applyBorder="1"/>
    <xf numFmtId="1" fontId="0" fillId="2" borderId="24" xfId="1" applyNumberFormat="1" applyFont="1" applyFill="1" applyBorder="1"/>
    <xf numFmtId="10" fontId="50" fillId="2" borderId="29" xfId="0" applyNumberFormat="1" applyFont="1" applyFill="1" applyBorder="1"/>
    <xf numFmtId="3" fontId="88" fillId="8" borderId="21" xfId="0" applyNumberFormat="1" applyFont="1" applyFill="1" applyBorder="1" applyAlignment="1">
      <alignment vertical="center"/>
    </xf>
    <xf numFmtId="3" fontId="88" fillId="8" borderId="22" xfId="0" applyNumberFormat="1" applyFont="1" applyFill="1" applyBorder="1" applyAlignment="1">
      <alignment vertical="center"/>
    </xf>
    <xf numFmtId="169" fontId="88" fillId="8" borderId="24" xfId="0" applyNumberFormat="1" applyFont="1" applyFill="1" applyBorder="1" applyAlignment="1">
      <alignment vertical="center"/>
    </xf>
    <xf numFmtId="10" fontId="53" fillId="8" borderId="24" xfId="0" applyNumberFormat="1" applyFont="1" applyFill="1" applyBorder="1"/>
    <xf numFmtId="3" fontId="88" fillId="2" borderId="9" xfId="0" applyNumberFormat="1" applyFont="1" applyFill="1" applyBorder="1" applyAlignment="1">
      <alignment vertical="center"/>
    </xf>
    <xf numFmtId="3" fontId="88" fillId="2" borderId="10" xfId="0" applyNumberFormat="1" applyFont="1" applyFill="1" applyBorder="1" applyAlignment="1">
      <alignment vertical="center"/>
    </xf>
    <xf numFmtId="3" fontId="88" fillId="2" borderId="11" xfId="0" applyNumberFormat="1" applyFont="1" applyFill="1" applyBorder="1" applyAlignment="1">
      <alignment vertical="center"/>
    </xf>
    <xf numFmtId="169" fontId="88" fillId="2" borderId="11" xfId="0" applyNumberFormat="1" applyFont="1" applyFill="1" applyBorder="1" applyAlignment="1">
      <alignment vertical="center"/>
    </xf>
    <xf numFmtId="10" fontId="50" fillId="13" borderId="20" xfId="0" applyNumberFormat="1" applyFont="1" applyFill="1" applyBorder="1"/>
    <xf numFmtId="10" fontId="50" fillId="14" borderId="20" xfId="0" applyNumberFormat="1" applyFont="1" applyFill="1" applyBorder="1"/>
    <xf numFmtId="10" fontId="50" fillId="14" borderId="5" xfId="0" applyNumberFormat="1" applyFont="1" applyFill="1" applyBorder="1"/>
    <xf numFmtId="169" fontId="73" fillId="0" borderId="24" xfId="0" applyNumberFormat="1" applyFont="1" applyBorder="1" applyAlignment="1">
      <alignment vertical="center"/>
    </xf>
    <xf numFmtId="10" fontId="53" fillId="2" borderId="24" xfId="0" applyNumberFormat="1" applyFont="1" applyFill="1" applyBorder="1"/>
    <xf numFmtId="3" fontId="88" fillId="15" borderId="21" xfId="0" applyNumberFormat="1" applyFont="1" applyFill="1" applyBorder="1" applyAlignment="1">
      <alignment vertical="center"/>
    </xf>
    <xf numFmtId="3" fontId="88" fillId="15" borderId="22" xfId="0" applyNumberFormat="1" applyFont="1" applyFill="1" applyBorder="1" applyAlignment="1">
      <alignment vertical="center"/>
    </xf>
    <xf numFmtId="169" fontId="88" fillId="15" borderId="24" xfId="0" applyNumberFormat="1" applyFont="1" applyFill="1" applyBorder="1" applyAlignment="1">
      <alignment vertical="center"/>
    </xf>
    <xf numFmtId="10" fontId="53" fillId="15" borderId="24" xfId="0" applyNumberFormat="1" applyFont="1" applyFill="1" applyBorder="1"/>
    <xf numFmtId="0" fontId="50" fillId="16" borderId="21" xfId="0" applyFont="1" applyFill="1" applyBorder="1"/>
    <xf numFmtId="3" fontId="53" fillId="16" borderId="22" xfId="0" applyNumberFormat="1" applyFont="1" applyFill="1" applyBorder="1" applyAlignment="1">
      <alignment horizontal="left" vertical="center"/>
    </xf>
    <xf numFmtId="0" fontId="50" fillId="16" borderId="0" xfId="0" applyFont="1" applyFill="1"/>
    <xf numFmtId="169" fontId="50" fillId="16" borderId="22" xfId="0" applyNumberFormat="1" applyFont="1" applyFill="1" applyBorder="1"/>
    <xf numFmtId="169" fontId="53" fillId="16" borderId="22" xfId="0" applyNumberFormat="1" applyFont="1" applyFill="1" applyBorder="1" applyAlignment="1">
      <alignment vertical="center"/>
    </xf>
    <xf numFmtId="10" fontId="53" fillId="16" borderId="23" xfId="0" applyNumberFormat="1" applyFont="1" applyFill="1" applyBorder="1"/>
    <xf numFmtId="10" fontId="73" fillId="2" borderId="23" xfId="0" applyNumberFormat="1" applyFont="1" applyFill="1" applyBorder="1" applyAlignment="1">
      <alignment vertical="center"/>
    </xf>
    <xf numFmtId="172" fontId="89" fillId="2" borderId="23" xfId="0" applyNumberFormat="1" applyFont="1" applyFill="1" applyBorder="1" applyAlignment="1">
      <alignment vertical="center"/>
    </xf>
    <xf numFmtId="169" fontId="88" fillId="2" borderId="23" xfId="0" applyNumberFormat="1" applyFont="1" applyFill="1" applyBorder="1" applyAlignment="1">
      <alignment vertical="center"/>
    </xf>
    <xf numFmtId="169" fontId="88" fillId="2" borderId="24" xfId="0" applyNumberFormat="1" applyFont="1" applyFill="1" applyBorder="1" applyAlignment="1">
      <alignment vertical="center"/>
    </xf>
    <xf numFmtId="169" fontId="73" fillId="8" borderId="22" xfId="0" applyNumberFormat="1" applyFont="1" applyFill="1" applyBorder="1" applyAlignment="1">
      <alignment vertical="center"/>
    </xf>
    <xf numFmtId="3" fontId="88" fillId="15" borderId="23" xfId="0" applyNumberFormat="1" applyFont="1" applyFill="1" applyBorder="1" applyAlignment="1">
      <alignment vertical="center"/>
    </xf>
    <xf numFmtId="169" fontId="88" fillId="15" borderId="23" xfId="0" applyNumberFormat="1" applyFont="1" applyFill="1" applyBorder="1" applyAlignment="1">
      <alignment vertical="center"/>
    </xf>
    <xf numFmtId="3" fontId="88" fillId="8" borderId="21" xfId="0" applyNumberFormat="1" applyFont="1" applyFill="1" applyBorder="1" applyAlignment="1">
      <alignment horizontal="left" vertical="center"/>
    </xf>
    <xf numFmtId="3" fontId="88" fillId="8" borderId="22" xfId="0" applyNumberFormat="1" applyFont="1" applyFill="1" applyBorder="1" applyAlignment="1">
      <alignment horizontal="left" vertical="center"/>
    </xf>
    <xf numFmtId="3" fontId="88" fillId="8" borderId="22" xfId="0" applyNumberFormat="1" applyFont="1" applyFill="1" applyBorder="1" applyAlignment="1">
      <alignment horizontal="center" vertical="center"/>
    </xf>
    <xf numFmtId="3" fontId="88" fillId="8" borderId="23" xfId="0" applyNumberFormat="1" applyFont="1" applyFill="1" applyBorder="1" applyAlignment="1">
      <alignment horizontal="center" vertical="center"/>
    </xf>
    <xf numFmtId="169" fontId="73" fillId="8" borderId="23" xfId="0" applyNumberFormat="1" applyFont="1" applyFill="1" applyBorder="1" applyAlignment="1">
      <alignment horizontal="center" vertical="center"/>
    </xf>
    <xf numFmtId="169" fontId="73" fillId="8" borderId="24" xfId="0" applyNumberFormat="1" applyFont="1" applyFill="1" applyBorder="1" applyAlignment="1">
      <alignment horizontal="center" vertical="center"/>
    </xf>
    <xf numFmtId="3" fontId="88" fillId="17" borderId="21" xfId="0" applyNumberFormat="1" applyFont="1" applyFill="1" applyBorder="1" applyAlignment="1">
      <alignment vertical="center"/>
    </xf>
    <xf numFmtId="3" fontId="88" fillId="17" borderId="22" xfId="0" applyNumberFormat="1" applyFont="1" applyFill="1" applyBorder="1" applyAlignment="1">
      <alignment vertical="center"/>
    </xf>
    <xf numFmtId="3" fontId="88" fillId="17" borderId="23" xfId="0" applyNumberFormat="1" applyFont="1" applyFill="1" applyBorder="1" applyAlignment="1">
      <alignment vertical="center"/>
    </xf>
    <xf numFmtId="169" fontId="88" fillId="17" borderId="23" xfId="0" applyNumberFormat="1" applyFont="1" applyFill="1" applyBorder="1" applyAlignment="1">
      <alignment vertical="center"/>
    </xf>
    <xf numFmtId="10" fontId="53" fillId="17" borderId="24" xfId="0" applyNumberFormat="1" applyFont="1" applyFill="1" applyBorder="1"/>
    <xf numFmtId="10" fontId="50" fillId="2" borderId="0" xfId="0" applyNumberFormat="1" applyFont="1" applyFill="1"/>
    <xf numFmtId="0" fontId="54" fillId="2" borderId="0" xfId="0" applyFont="1" applyFill="1" applyAlignment="1">
      <alignment horizontal="left" vertical="center" indent="3"/>
    </xf>
    <xf numFmtId="10" fontId="0" fillId="2" borderId="0" xfId="0" applyNumberFormat="1" applyFill="1"/>
    <xf numFmtId="0" fontId="88" fillId="2" borderId="1" xfId="0" applyFont="1" applyFill="1" applyBorder="1" applyAlignment="1">
      <alignment horizontal="left" vertical="center"/>
    </xf>
    <xf numFmtId="0" fontId="88" fillId="2" borderId="2" xfId="0" applyFont="1" applyFill="1" applyBorder="1" applyAlignment="1">
      <alignment horizontal="left" vertical="center"/>
    </xf>
    <xf numFmtId="0" fontId="88" fillId="2" borderId="2" xfId="0" applyFont="1" applyFill="1" applyBorder="1" applyAlignment="1">
      <alignment vertical="center"/>
    </xf>
    <xf numFmtId="0" fontId="73" fillId="2" borderId="4" xfId="0" applyFont="1" applyFill="1" applyBorder="1" applyAlignment="1">
      <alignment horizontal="left" vertical="center"/>
    </xf>
    <xf numFmtId="0" fontId="73" fillId="2" borderId="0" xfId="0" applyFont="1" applyFill="1" applyAlignment="1">
      <alignment horizontal="left" vertical="center"/>
    </xf>
    <xf numFmtId="0" fontId="73" fillId="2" borderId="0" xfId="0" applyFont="1" applyFill="1" applyAlignment="1">
      <alignment vertical="center"/>
    </xf>
    <xf numFmtId="0" fontId="50" fillId="2" borderId="5" xfId="0" applyFont="1" applyFill="1" applyBorder="1"/>
    <xf numFmtId="0" fontId="73" fillId="2" borderId="9" xfId="0" applyFont="1" applyFill="1" applyBorder="1" applyAlignment="1">
      <alignment horizontal="left" vertical="center"/>
    </xf>
    <xf numFmtId="0" fontId="73" fillId="2" borderId="10" xfId="0" applyFont="1" applyFill="1" applyBorder="1" applyAlignment="1">
      <alignment horizontal="left" vertical="center"/>
    </xf>
    <xf numFmtId="0" fontId="73" fillId="2" borderId="10" xfId="0" applyFont="1" applyFill="1" applyBorder="1" applyAlignment="1">
      <alignment vertical="center"/>
    </xf>
    <xf numFmtId="0" fontId="50" fillId="2" borderId="11" xfId="0" applyFont="1" applyFill="1" applyBorder="1"/>
    <xf numFmtId="0" fontId="88" fillId="2" borderId="9" xfId="0" applyFont="1" applyFill="1" applyBorder="1" applyAlignment="1">
      <alignment horizontal="left" vertical="center"/>
    </xf>
    <xf numFmtId="0" fontId="88" fillId="2" borderId="10" xfId="0" applyFont="1" applyFill="1" applyBorder="1" applyAlignment="1">
      <alignment horizontal="left" vertical="center"/>
    </xf>
    <xf numFmtId="0" fontId="88" fillId="2" borderId="10" xfId="0" applyFont="1" applyFill="1" applyBorder="1" applyAlignment="1">
      <alignment vertical="center"/>
    </xf>
    <xf numFmtId="0" fontId="73" fillId="2" borderId="1" xfId="0" applyFont="1" applyFill="1" applyBorder="1" applyAlignment="1">
      <alignment horizontal="left" vertical="center"/>
    </xf>
    <xf numFmtId="0" fontId="73" fillId="2" borderId="2" xfId="0" applyFont="1" applyFill="1" applyBorder="1" applyAlignment="1">
      <alignment horizontal="left" vertical="center"/>
    </xf>
    <xf numFmtId="0" fontId="73" fillId="2" borderId="2" xfId="0" applyFont="1" applyFill="1" applyBorder="1" applyAlignment="1">
      <alignment vertical="center"/>
    </xf>
    <xf numFmtId="0" fontId="88" fillId="2" borderId="21" xfId="0" applyFont="1" applyFill="1" applyBorder="1" applyAlignment="1">
      <alignment horizontal="left" vertical="center"/>
    </xf>
    <xf numFmtId="0" fontId="88" fillId="2" borderId="22" xfId="0" applyFont="1" applyFill="1" applyBorder="1" applyAlignment="1">
      <alignment horizontal="left" vertical="center"/>
    </xf>
    <xf numFmtId="0" fontId="88" fillId="2" borderId="22" xfId="0" applyFont="1" applyFill="1" applyBorder="1" applyAlignment="1">
      <alignment horizontal="center" vertical="center"/>
    </xf>
    <xf numFmtId="0" fontId="73" fillId="2" borderId="21" xfId="0" applyFont="1" applyFill="1" applyBorder="1" applyAlignment="1">
      <alignment horizontal="left" vertical="center"/>
    </xf>
    <xf numFmtId="0" fontId="73" fillId="2" borderId="22" xfId="0" applyFont="1" applyFill="1" applyBorder="1" applyAlignment="1">
      <alignment horizontal="left" vertical="center"/>
    </xf>
    <xf numFmtId="0" fontId="73" fillId="2" borderId="22" xfId="0" applyFont="1" applyFill="1" applyBorder="1" applyAlignment="1">
      <alignment vertical="center"/>
    </xf>
    <xf numFmtId="0" fontId="88" fillId="2" borderId="4" xfId="0" applyFont="1" applyFill="1" applyBorder="1" applyAlignment="1">
      <alignment horizontal="left" vertical="center"/>
    </xf>
    <xf numFmtId="0" fontId="88" fillId="2" borderId="0" xfId="0" applyFont="1" applyFill="1" applyAlignment="1">
      <alignment horizontal="left" vertical="center"/>
    </xf>
    <xf numFmtId="0" fontId="88" fillId="2" borderId="0" xfId="0" applyFont="1" applyFill="1" applyAlignment="1">
      <alignment vertical="center"/>
    </xf>
    <xf numFmtId="0" fontId="31" fillId="2" borderId="24" xfId="0" applyFont="1" applyFill="1" applyBorder="1" applyAlignment="1">
      <alignment vertical="center"/>
    </xf>
    <xf numFmtId="0" fontId="46" fillId="2" borderId="24" xfId="0" applyFont="1" applyFill="1" applyBorder="1" applyAlignment="1">
      <alignment vertical="center"/>
    </xf>
    <xf numFmtId="0" fontId="46" fillId="2" borderId="24" xfId="0" applyFont="1" applyFill="1" applyBorder="1" applyAlignment="1">
      <alignment vertical="center" wrapText="1"/>
    </xf>
    <xf numFmtId="0" fontId="56" fillId="0" borderId="24" xfId="0" applyFont="1" applyBorder="1" applyAlignment="1">
      <alignment vertical="center"/>
    </xf>
    <xf numFmtId="0" fontId="56" fillId="2" borderId="24" xfId="0" applyFont="1" applyFill="1" applyBorder="1" applyAlignment="1">
      <alignment vertical="center" wrapText="1"/>
    </xf>
    <xf numFmtId="0" fontId="90" fillId="0" borderId="0" xfId="0" applyFont="1" applyAlignment="1">
      <alignment horizontal="left" vertical="center"/>
    </xf>
    <xf numFmtId="0" fontId="15" fillId="2" borderId="0" xfId="3" applyFont="1" applyFill="1" applyProtection="1">
      <protection hidden="1"/>
    </xf>
    <xf numFmtId="1" fontId="80" fillId="2" borderId="0" xfId="0" applyNumberFormat="1" applyFont="1" applyFill="1" applyAlignment="1">
      <alignment horizontal="left"/>
    </xf>
    <xf numFmtId="0" fontId="79" fillId="2" borderId="0" xfId="0" applyFont="1" applyFill="1" applyAlignment="1">
      <alignment horizontal="left"/>
    </xf>
    <xf numFmtId="3" fontId="75" fillId="2" borderId="15" xfId="0" applyNumberFormat="1" applyFont="1" applyFill="1" applyBorder="1"/>
    <xf numFmtId="0" fontId="54" fillId="2" borderId="15" xfId="0" applyFont="1" applyFill="1" applyBorder="1"/>
    <xf numFmtId="0" fontId="75" fillId="2" borderId="0" xfId="0" applyFont="1" applyFill="1"/>
    <xf numFmtId="0" fontId="54" fillId="2" borderId="0" xfId="0" applyFont="1" applyFill="1"/>
    <xf numFmtId="3" fontId="75" fillId="2" borderId="14" xfId="3" applyNumberFormat="1" applyFont="1" applyFill="1" applyBorder="1" applyProtection="1">
      <protection hidden="1"/>
    </xf>
    <xf numFmtId="0" fontId="15" fillId="2" borderId="14" xfId="3" applyFont="1" applyFill="1" applyBorder="1" applyProtection="1">
      <protection hidden="1"/>
    </xf>
    <xf numFmtId="3" fontId="15" fillId="2" borderId="14" xfId="3" applyNumberFormat="1" applyFont="1" applyFill="1" applyBorder="1" applyProtection="1">
      <protection hidden="1"/>
    </xf>
    <xf numFmtId="2" fontId="75" fillId="2" borderId="15" xfId="0" applyNumberFormat="1" applyFont="1" applyFill="1" applyBorder="1"/>
    <xf numFmtId="0" fontId="80" fillId="2" borderId="17" xfId="0" applyFont="1" applyFill="1" applyBorder="1" applyAlignment="1">
      <alignment horizontal="right"/>
    </xf>
    <xf numFmtId="1" fontId="75" fillId="2" borderId="78" xfId="0" applyNumberFormat="1" applyFont="1" applyFill="1" applyBorder="1" applyAlignment="1">
      <alignment horizontal="left"/>
    </xf>
    <xf numFmtId="1" fontId="75" fillId="2" borderId="14" xfId="0" applyNumberFormat="1" applyFont="1" applyFill="1" applyBorder="1" applyAlignment="1">
      <alignment horizontal="left"/>
    </xf>
    <xf numFmtId="0" fontId="80" fillId="2" borderId="14" xfId="0" applyFont="1" applyFill="1" applyBorder="1" applyAlignment="1">
      <alignment horizontal="left"/>
    </xf>
    <xf numFmtId="3" fontId="75" fillId="2" borderId="0" xfId="3" applyNumberFormat="1" applyFont="1" applyFill="1" applyAlignment="1" applyProtection="1">
      <alignment horizontal="right"/>
      <protection hidden="1"/>
    </xf>
    <xf numFmtId="1" fontId="75" fillId="2" borderId="15" xfId="3" applyNumberFormat="1" applyFont="1" applyFill="1" applyBorder="1" applyAlignment="1" applyProtection="1">
      <alignment horizontal="left"/>
      <protection hidden="1"/>
    </xf>
    <xf numFmtId="1" fontId="75" fillId="2" borderId="79" xfId="0" applyNumberFormat="1" applyFont="1" applyFill="1" applyBorder="1" applyAlignment="1">
      <alignment horizontal="left"/>
    </xf>
    <xf numFmtId="1" fontId="37" fillId="2" borderId="0" xfId="0" applyNumberFormat="1" applyFont="1" applyFill="1"/>
    <xf numFmtId="0" fontId="15" fillId="2" borderId="0" xfId="0" applyFont="1" applyFill="1" applyAlignment="1">
      <alignment horizontal="center" vertical="center"/>
    </xf>
    <xf numFmtId="1" fontId="37" fillId="16" borderId="1" xfId="0" applyNumberFormat="1" applyFont="1" applyFill="1" applyBorder="1"/>
    <xf numFmtId="0" fontId="37" fillId="16" borderId="2" xfId="0" applyFont="1" applyFill="1" applyBorder="1"/>
    <xf numFmtId="0" fontId="37" fillId="16" borderId="3" xfId="0" applyFont="1" applyFill="1" applyBorder="1"/>
    <xf numFmtId="0" fontId="37" fillId="16" borderId="29" xfId="0" applyFont="1" applyFill="1" applyBorder="1"/>
    <xf numFmtId="0" fontId="15" fillId="16" borderId="20" xfId="0" applyFont="1" applyFill="1" applyBorder="1" applyAlignment="1">
      <alignment horizontal="center"/>
    </xf>
    <xf numFmtId="0" fontId="15" fillId="16" borderId="20" xfId="0" applyFont="1" applyFill="1" applyBorder="1" applyAlignment="1">
      <alignment horizontal="center" vertical="center"/>
    </xf>
    <xf numFmtId="0" fontId="15" fillId="16" borderId="5" xfId="0" applyFont="1" applyFill="1" applyBorder="1" applyAlignment="1">
      <alignment horizontal="center" vertical="center"/>
    </xf>
    <xf numFmtId="1" fontId="37" fillId="16" borderId="9" xfId="0" applyNumberFormat="1" applyFont="1" applyFill="1" applyBorder="1"/>
    <xf numFmtId="0" fontId="37" fillId="16" borderId="10" xfId="0" applyFont="1" applyFill="1" applyBorder="1"/>
    <xf numFmtId="0" fontId="37" fillId="16" borderId="11" xfId="0" applyFont="1" applyFill="1" applyBorder="1"/>
    <xf numFmtId="0" fontId="37" fillId="16" borderId="19" xfId="0" applyFont="1" applyFill="1" applyBorder="1"/>
    <xf numFmtId="0" fontId="15" fillId="16" borderId="19" xfId="0" applyFont="1" applyFill="1" applyBorder="1" applyAlignment="1">
      <alignment horizontal="center" vertical="center"/>
    </xf>
    <xf numFmtId="0" fontId="15" fillId="16" borderId="11" xfId="0" applyFont="1" applyFill="1" applyBorder="1" applyAlignment="1">
      <alignment horizontal="center" vertical="center"/>
    </xf>
    <xf numFmtId="1" fontId="14" fillId="2" borderId="4" xfId="0" applyNumberFormat="1" applyFont="1" applyFill="1" applyBorder="1" applyAlignment="1">
      <alignment horizontal="center"/>
    </xf>
    <xf numFmtId="0" fontId="14" fillId="2" borderId="4" xfId="0" applyFont="1" applyFill="1" applyBorder="1"/>
    <xf numFmtId="173" fontId="79" fillId="2" borderId="32" xfId="0" applyNumberFormat="1" applyFont="1" applyFill="1" applyBorder="1"/>
    <xf numFmtId="169" fontId="52" fillId="2" borderId="32" xfId="0" applyNumberFormat="1" applyFont="1" applyFill="1" applyBorder="1"/>
    <xf numFmtId="9" fontId="79" fillId="2" borderId="32" xfId="2" applyFont="1" applyFill="1" applyBorder="1"/>
    <xf numFmtId="169" fontId="52" fillId="2" borderId="153" xfId="0" applyNumberFormat="1" applyFont="1" applyFill="1" applyBorder="1"/>
    <xf numFmtId="1" fontId="91" fillId="2" borderId="4" xfId="0" applyNumberFormat="1" applyFont="1" applyFill="1" applyBorder="1" applyAlignment="1">
      <alignment horizontal="center"/>
    </xf>
    <xf numFmtId="0" fontId="91" fillId="2" borderId="4" xfId="0" applyFont="1" applyFill="1" applyBorder="1"/>
    <xf numFmtId="0" fontId="91" fillId="2" borderId="0" xfId="0" applyFont="1" applyFill="1"/>
    <xf numFmtId="173" fontId="86" fillId="2" borderId="154" xfId="0" applyNumberFormat="1" applyFont="1" applyFill="1" applyBorder="1"/>
    <xf numFmtId="169" fontId="52" fillId="2" borderId="154" xfId="0" applyNumberFormat="1" applyFont="1" applyFill="1" applyBorder="1"/>
    <xf numFmtId="173" fontId="79" fillId="2" borderId="20" xfId="0" applyNumberFormat="1" applyFont="1" applyFill="1" applyBorder="1"/>
    <xf numFmtId="169" fontId="52" fillId="2" borderId="155" xfId="0" applyNumberFormat="1" applyFont="1" applyFill="1" applyBorder="1"/>
    <xf numFmtId="173" fontId="79" fillId="2" borderId="155" xfId="0" applyNumberFormat="1" applyFont="1" applyFill="1" applyBorder="1"/>
    <xf numFmtId="169" fontId="52" fillId="2" borderId="156" xfId="0" applyNumberFormat="1" applyFont="1" applyFill="1" applyBorder="1"/>
    <xf numFmtId="173" fontId="79" fillId="2" borderId="37" xfId="0" applyNumberFormat="1" applyFont="1" applyFill="1" applyBorder="1"/>
    <xf numFmtId="169" fontId="52" fillId="2" borderId="156" xfId="0" applyNumberFormat="1" applyFont="1" applyFill="1" applyBorder="1" applyAlignment="1">
      <alignment horizontal="center" vertical="center"/>
    </xf>
    <xf numFmtId="1" fontId="14" fillId="2" borderId="19" xfId="0" applyNumberFormat="1" applyFont="1" applyFill="1" applyBorder="1" applyAlignment="1">
      <alignment horizontal="center"/>
    </xf>
    <xf numFmtId="0" fontId="14" fillId="2" borderId="9" xfId="0" applyFont="1" applyFill="1" applyBorder="1"/>
    <xf numFmtId="0" fontId="37" fillId="2" borderId="10" xfId="0" applyFont="1" applyFill="1" applyBorder="1"/>
    <xf numFmtId="0" fontId="37" fillId="2" borderId="11" xfId="0" applyFont="1" applyFill="1" applyBorder="1"/>
    <xf numFmtId="173" fontId="79" fillId="2" borderId="157" xfId="0" applyNumberFormat="1" applyFont="1" applyFill="1" applyBorder="1"/>
    <xf numFmtId="169" fontId="52" fillId="2" borderId="158" xfId="0" applyNumberFormat="1" applyFont="1" applyFill="1" applyBorder="1"/>
    <xf numFmtId="9" fontId="79" fillId="2" borderId="157" xfId="2" applyFont="1" applyFill="1" applyBorder="1"/>
    <xf numFmtId="0" fontId="79" fillId="2" borderId="2" xfId="0" applyFont="1" applyFill="1" applyBorder="1" applyAlignment="1">
      <alignment horizontal="left"/>
    </xf>
    <xf numFmtId="3" fontId="80" fillId="2" borderId="78" xfId="0" applyNumberFormat="1" applyFont="1" applyFill="1" applyBorder="1"/>
    <xf numFmtId="0" fontId="79" fillId="2" borderId="78" xfId="0" applyFont="1" applyFill="1" applyBorder="1"/>
    <xf numFmtId="0" fontId="37" fillId="2" borderId="78" xfId="0" applyFont="1" applyFill="1" applyBorder="1"/>
    <xf numFmtId="3" fontId="75" fillId="2" borderId="79" xfId="3" applyNumberFormat="1" applyFont="1" applyFill="1" applyBorder="1" applyProtection="1">
      <protection hidden="1"/>
    </xf>
    <xf numFmtId="0" fontId="37" fillId="2" borderId="79" xfId="0" applyFont="1" applyFill="1" applyBorder="1"/>
    <xf numFmtId="0" fontId="80" fillId="2" borderId="78" xfId="0" applyFont="1" applyFill="1" applyBorder="1" applyAlignment="1">
      <alignment horizontal="right"/>
    </xf>
    <xf numFmtId="3" fontId="15" fillId="2" borderId="78" xfId="3" applyNumberFormat="1" applyFont="1" applyFill="1" applyBorder="1" applyProtection="1">
      <protection hidden="1"/>
    </xf>
    <xf numFmtId="0" fontId="15" fillId="2" borderId="78" xfId="3" applyFont="1" applyFill="1" applyBorder="1" applyProtection="1">
      <protection hidden="1"/>
    </xf>
    <xf numFmtId="0" fontId="15" fillId="2" borderId="79" xfId="3" applyFont="1" applyFill="1" applyBorder="1" applyProtection="1">
      <protection hidden="1"/>
    </xf>
    <xf numFmtId="2" fontId="80" fillId="2" borderId="79" xfId="0" applyNumberFormat="1" applyFont="1" applyFill="1" applyBorder="1" applyAlignment="1">
      <alignment horizontal="left"/>
    </xf>
    <xf numFmtId="0" fontId="79" fillId="2" borderId="79" xfId="0" applyFont="1" applyFill="1" applyBorder="1" applyAlignment="1">
      <alignment horizontal="center"/>
    </xf>
    <xf numFmtId="0" fontId="79" fillId="2" borderId="78" xfId="0" applyFont="1" applyFill="1" applyBorder="1" applyAlignment="1">
      <alignment horizontal="center"/>
    </xf>
    <xf numFmtId="0" fontId="80" fillId="2" borderId="60" xfId="0" applyFont="1" applyFill="1" applyBorder="1" applyAlignment="1">
      <alignment horizontal="right"/>
    </xf>
    <xf numFmtId="0" fontId="80" fillId="2" borderId="79" xfId="0" applyFont="1" applyFill="1" applyBorder="1" applyAlignment="1">
      <alignment horizontal="left"/>
    </xf>
    <xf numFmtId="1" fontId="80" fillId="2" borderId="79" xfId="0" applyNumberFormat="1" applyFont="1" applyFill="1" applyBorder="1"/>
    <xf numFmtId="3" fontId="15" fillId="2" borderId="79" xfId="3" applyNumberFormat="1" applyFont="1" applyFill="1" applyBorder="1" applyProtection="1">
      <protection hidden="1"/>
    </xf>
    <xf numFmtId="3" fontId="80" fillId="2" borderId="0" xfId="0" applyNumberFormat="1" applyFont="1" applyFill="1" applyAlignment="1">
      <alignment horizontal="right"/>
    </xf>
    <xf numFmtId="1" fontId="75" fillId="2" borderId="79" xfId="3" applyNumberFormat="1" applyFont="1" applyFill="1" applyBorder="1" applyAlignment="1" applyProtection="1">
      <alignment horizontal="left"/>
      <protection hidden="1"/>
    </xf>
    <xf numFmtId="0" fontId="80" fillId="2" borderId="78" xfId="0" applyFont="1" applyFill="1" applyBorder="1" applyAlignment="1">
      <alignment horizontal="left"/>
    </xf>
    <xf numFmtId="1" fontId="37" fillId="2" borderId="10" xfId="0" applyNumberFormat="1" applyFont="1" applyFill="1" applyBorder="1"/>
    <xf numFmtId="1" fontId="37" fillId="4" borderId="1" xfId="0" applyNumberFormat="1" applyFont="1" applyFill="1" applyBorder="1"/>
    <xf numFmtId="0" fontId="37" fillId="4" borderId="2" xfId="0" applyFont="1" applyFill="1" applyBorder="1"/>
    <xf numFmtId="0" fontId="37" fillId="4" borderId="3" xfId="0" applyFont="1" applyFill="1" applyBorder="1"/>
    <xf numFmtId="0" fontId="37" fillId="4" borderId="29" xfId="0" applyFont="1" applyFill="1" applyBorder="1"/>
    <xf numFmtId="0" fontId="15" fillId="4" borderId="20" xfId="0" applyFont="1" applyFill="1" applyBorder="1" applyAlignment="1">
      <alignment horizontal="center"/>
    </xf>
    <xf numFmtId="0" fontId="15" fillId="4" borderId="20" xfId="0" applyFont="1" applyFill="1" applyBorder="1" applyAlignment="1">
      <alignment horizontal="center" vertical="center"/>
    </xf>
    <xf numFmtId="1" fontId="37" fillId="4" borderId="9" xfId="0" applyNumberFormat="1" applyFont="1" applyFill="1" applyBorder="1"/>
    <xf numFmtId="0" fontId="37" fillId="4" borderId="10" xfId="0" applyFont="1" applyFill="1" applyBorder="1"/>
    <xf numFmtId="0" fontId="37" fillId="4" borderId="11" xfId="0" applyFont="1" applyFill="1" applyBorder="1"/>
    <xf numFmtId="0" fontId="37" fillId="4" borderId="19" xfId="0" applyFont="1" applyFill="1" applyBorder="1"/>
    <xf numFmtId="0" fontId="15" fillId="4" borderId="19" xfId="0" applyFont="1" applyFill="1" applyBorder="1" applyAlignment="1">
      <alignment horizontal="center" vertical="center"/>
    </xf>
    <xf numFmtId="0" fontId="15" fillId="4" borderId="11" xfId="0" applyFont="1" applyFill="1" applyBorder="1" applyAlignment="1">
      <alignment horizontal="center" vertical="center"/>
    </xf>
    <xf numFmtId="0" fontId="92" fillId="2" borderId="0" xfId="0" applyFont="1" applyFill="1"/>
    <xf numFmtId="0" fontId="17" fillId="2" borderId="0" xfId="0" applyFont="1" applyFill="1"/>
    <xf numFmtId="0" fontId="37" fillId="2" borderId="5" xfId="0" applyFont="1" applyFill="1" applyBorder="1"/>
    <xf numFmtId="0" fontId="56" fillId="2" borderId="4" xfId="0" applyFont="1" applyFill="1" applyBorder="1"/>
    <xf numFmtId="1" fontId="91" fillId="2" borderId="9" xfId="0" applyNumberFormat="1" applyFont="1" applyFill="1" applyBorder="1" applyAlignment="1">
      <alignment horizontal="center"/>
    </xf>
    <xf numFmtId="0" fontId="91" fillId="2" borderId="9" xfId="0" applyFont="1" applyFill="1" applyBorder="1"/>
    <xf numFmtId="0" fontId="91" fillId="2" borderId="10" xfId="0" applyFont="1" applyFill="1" applyBorder="1"/>
    <xf numFmtId="0" fontId="91" fillId="2" borderId="11" xfId="0" applyFont="1" applyFill="1" applyBorder="1"/>
    <xf numFmtId="173" fontId="86" fillId="2" borderId="159" xfId="0" applyNumberFormat="1" applyFont="1" applyFill="1" applyBorder="1"/>
    <xf numFmtId="9" fontId="79" fillId="2" borderId="158" xfId="2" applyFont="1" applyFill="1" applyBorder="1"/>
    <xf numFmtId="0" fontId="80" fillId="2" borderId="0" xfId="0" applyFont="1" applyFill="1" applyAlignment="1">
      <alignment horizontal="left"/>
    </xf>
    <xf numFmtId="3" fontId="80" fillId="2" borderId="15" xfId="0" applyNumberFormat="1" applyFont="1" applyFill="1" applyBorder="1"/>
    <xf numFmtId="0" fontId="79" fillId="2" borderId="15" xfId="0" applyFont="1" applyFill="1" applyBorder="1" applyAlignment="1">
      <alignment horizontal="center"/>
    </xf>
    <xf numFmtId="0" fontId="79" fillId="2" borderId="15" xfId="0" applyFont="1" applyFill="1" applyBorder="1"/>
    <xf numFmtId="0" fontId="79" fillId="2" borderId="0" xfId="0" applyFont="1" applyFill="1" applyAlignment="1">
      <alignment horizontal="center"/>
    </xf>
    <xf numFmtId="3" fontId="15" fillId="2" borderId="15" xfId="3" applyNumberFormat="1" applyFont="1" applyFill="1" applyBorder="1" applyProtection="1">
      <protection hidden="1"/>
    </xf>
    <xf numFmtId="0" fontId="15" fillId="2" borderId="15" xfId="3" applyFont="1" applyFill="1" applyBorder="1" applyProtection="1">
      <protection hidden="1"/>
    </xf>
    <xf numFmtId="0" fontId="79" fillId="2" borderId="15" xfId="0" applyFont="1" applyFill="1" applyBorder="1" applyAlignment="1">
      <alignment horizontal="left"/>
    </xf>
    <xf numFmtId="2" fontId="80" fillId="2" borderId="0" xfId="0" applyNumberFormat="1" applyFont="1" applyFill="1" applyAlignment="1">
      <alignment horizontal="left"/>
    </xf>
    <xf numFmtId="0" fontId="80" fillId="2" borderId="0" xfId="0" applyFont="1" applyFill="1" applyAlignment="1">
      <alignment horizontal="right"/>
    </xf>
    <xf numFmtId="0" fontId="80" fillId="2" borderId="15" xfId="0" applyFont="1" applyFill="1" applyBorder="1" applyAlignment="1">
      <alignment horizontal="left"/>
    </xf>
    <xf numFmtId="1" fontId="80" fillId="2" borderId="14" xfId="0" applyNumberFormat="1" applyFont="1" applyFill="1" applyBorder="1" applyAlignment="1">
      <alignment horizontal="left"/>
    </xf>
    <xf numFmtId="1" fontId="75" fillId="2" borderId="92" xfId="3" applyNumberFormat="1" applyFont="1" applyFill="1" applyBorder="1" applyAlignment="1" applyProtection="1">
      <alignment horizontal="left"/>
      <protection hidden="1"/>
    </xf>
    <xf numFmtId="0" fontId="91" fillId="2" borderId="5" xfId="0" applyFont="1" applyFill="1" applyBorder="1"/>
    <xf numFmtId="3" fontId="15" fillId="2" borderId="0" xfId="3" applyNumberFormat="1" applyFont="1" applyFill="1" applyProtection="1">
      <protection hidden="1"/>
    </xf>
    <xf numFmtId="1" fontId="14" fillId="2" borderId="9" xfId="0" applyNumberFormat="1" applyFont="1" applyFill="1" applyBorder="1" applyAlignment="1">
      <alignment horizontal="center"/>
    </xf>
    <xf numFmtId="0" fontId="17" fillId="2" borderId="10" xfId="0" applyFont="1" applyFill="1" applyBorder="1"/>
    <xf numFmtId="173" fontId="79" fillId="2" borderId="158" xfId="0" applyNumberFormat="1" applyFont="1" applyFill="1" applyBorder="1"/>
    <xf numFmtId="0" fontId="75" fillId="2" borderId="14" xfId="0" applyFont="1" applyFill="1" applyBorder="1" applyAlignment="1">
      <alignment horizontal="left"/>
    </xf>
    <xf numFmtId="0" fontId="79" fillId="2" borderId="14" xfId="0" applyFont="1" applyFill="1" applyBorder="1" applyAlignment="1">
      <alignment horizontal="center"/>
    </xf>
    <xf numFmtId="1" fontId="80" fillId="2" borderId="14" xfId="0" applyNumberFormat="1" applyFont="1" applyFill="1" applyBorder="1"/>
    <xf numFmtId="0" fontId="75" fillId="2" borderId="92" xfId="0" applyFont="1" applyFill="1" applyBorder="1" applyAlignment="1">
      <alignment horizontal="left"/>
    </xf>
    <xf numFmtId="1" fontId="14" fillId="2" borderId="1" xfId="0" applyNumberFormat="1" applyFont="1" applyFill="1" applyBorder="1" applyAlignment="1">
      <alignment horizontal="center"/>
    </xf>
    <xf numFmtId="0" fontId="14" fillId="2" borderId="1" xfId="0" applyFont="1" applyFill="1" applyBorder="1"/>
    <xf numFmtId="0" fontId="17" fillId="2" borderId="2" xfId="0" applyFont="1" applyFill="1" applyBorder="1"/>
    <xf numFmtId="0" fontId="37" fillId="2" borderId="2" xfId="0" applyFont="1" applyFill="1" applyBorder="1"/>
    <xf numFmtId="0" fontId="37" fillId="2" borderId="3" xfId="0" applyFont="1" applyFill="1" applyBorder="1"/>
    <xf numFmtId="173" fontId="79" fillId="2" borderId="160" xfId="0" applyNumberFormat="1" applyFont="1" applyFill="1" applyBorder="1"/>
    <xf numFmtId="0" fontId="93" fillId="2" borderId="0" xfId="0" applyFont="1" applyFill="1"/>
    <xf numFmtId="0" fontId="93" fillId="2" borderId="5" xfId="0" applyFont="1" applyFill="1" applyBorder="1"/>
    <xf numFmtId="173" fontId="79" fillId="2" borderId="161" xfId="0" applyNumberFormat="1" applyFont="1" applyFill="1" applyBorder="1"/>
    <xf numFmtId="0" fontId="37" fillId="2" borderId="4" xfId="0" applyFont="1" applyFill="1" applyBorder="1"/>
    <xf numFmtId="0" fontId="79" fillId="2" borderId="5" xfId="0" applyFont="1" applyFill="1" applyBorder="1"/>
    <xf numFmtId="173" fontId="79" fillId="2" borderId="153" xfId="0" applyNumberFormat="1" applyFont="1" applyFill="1" applyBorder="1"/>
    <xf numFmtId="0" fontId="94" fillId="2" borderId="10" xfId="0" applyFont="1" applyFill="1" applyBorder="1"/>
    <xf numFmtId="0" fontId="94" fillId="2" borderId="11" xfId="0" applyFont="1" applyFill="1" applyBorder="1"/>
    <xf numFmtId="1" fontId="37" fillId="2" borderId="4" xfId="0" applyNumberFormat="1" applyFont="1" applyFill="1" applyBorder="1"/>
    <xf numFmtId="173" fontId="80" fillId="2" borderId="24" xfId="0" applyNumberFormat="1" applyFont="1" applyFill="1" applyBorder="1"/>
    <xf numFmtId="3" fontId="36" fillId="6" borderId="24" xfId="0" applyNumberFormat="1" applyFont="1" applyFill="1" applyBorder="1" applyAlignment="1">
      <alignment vertical="center"/>
    </xf>
    <xf numFmtId="0" fontId="95" fillId="4" borderId="19" xfId="0" applyFont="1" applyFill="1" applyBorder="1" applyAlignment="1">
      <alignment horizontal="center"/>
    </xf>
    <xf numFmtId="0" fontId="53" fillId="4" borderId="24" xfId="0" applyFont="1" applyFill="1" applyBorder="1" applyAlignment="1">
      <alignment horizontal="center" vertical="center"/>
    </xf>
    <xf numFmtId="0" fontId="3" fillId="0" borderId="14" xfId="0" applyFont="1" applyBorder="1" applyAlignment="1">
      <alignment horizontal="left"/>
    </xf>
    <xf numFmtId="0" fontId="6" fillId="0" borderId="0" xfId="0" applyFont="1" applyAlignment="1">
      <alignment horizontal="right" vertical="center"/>
    </xf>
    <xf numFmtId="0" fontId="29" fillId="2" borderId="0" xfId="0" applyFont="1" applyFill="1" applyAlignment="1">
      <alignment horizontal="center"/>
    </xf>
    <xf numFmtId="3" fontId="29" fillId="2" borderId="0" xfId="0" applyNumberFormat="1" applyFont="1" applyFill="1"/>
    <xf numFmtId="0" fontId="7" fillId="2" borderId="14" xfId="0" applyFont="1" applyFill="1" applyBorder="1"/>
    <xf numFmtId="169" fontId="16" fillId="2" borderId="14" xfId="0" applyNumberFormat="1" applyFont="1" applyFill="1" applyBorder="1" applyAlignment="1" applyProtection="1">
      <alignment horizontal="center"/>
      <protection hidden="1"/>
    </xf>
    <xf numFmtId="0" fontId="29" fillId="2" borderId="47" xfId="0" applyFont="1" applyFill="1" applyBorder="1" applyAlignment="1">
      <alignment horizontal="left"/>
    </xf>
    <xf numFmtId="0" fontId="29" fillId="2" borderId="47" xfId="0" applyFont="1" applyFill="1" applyBorder="1"/>
    <xf numFmtId="0" fontId="29" fillId="2" borderId="46" xfId="0" applyFont="1" applyFill="1" applyBorder="1" applyAlignment="1">
      <alignment horizontal="left"/>
    </xf>
    <xf numFmtId="169" fontId="16" fillId="2" borderId="139" xfId="0" applyNumberFormat="1" applyFont="1" applyFill="1" applyBorder="1" applyAlignment="1" applyProtection="1">
      <alignment horizontal="right"/>
      <protection hidden="1"/>
    </xf>
    <xf numFmtId="0" fontId="29" fillId="2" borderId="46" xfId="0" applyFont="1" applyFill="1" applyBorder="1"/>
    <xf numFmtId="3" fontId="29" fillId="2" borderId="0" xfId="0" applyNumberFormat="1" applyFont="1" applyFill="1" applyAlignment="1">
      <alignment horizontal="right"/>
    </xf>
    <xf numFmtId="0" fontId="36" fillId="2" borderId="139" xfId="0" applyFont="1" applyFill="1" applyBorder="1"/>
    <xf numFmtId="0" fontId="36" fillId="2" borderId="21" xfId="0" applyFont="1" applyFill="1" applyBorder="1" applyAlignment="1">
      <alignment vertical="center"/>
    </xf>
    <xf numFmtId="0" fontId="36" fillId="2" borderId="23" xfId="0" applyFont="1" applyFill="1" applyBorder="1" applyAlignment="1">
      <alignment vertical="center"/>
    </xf>
    <xf numFmtId="169" fontId="36" fillId="2" borderId="24" xfId="0" applyNumberFormat="1" applyFont="1" applyFill="1" applyBorder="1" applyAlignment="1">
      <alignment vertical="center"/>
    </xf>
    <xf numFmtId="10" fontId="36" fillId="2" borderId="24" xfId="2" applyNumberFormat="1" applyFont="1" applyFill="1" applyBorder="1" applyAlignment="1" applyProtection="1">
      <alignment vertical="center"/>
    </xf>
    <xf numFmtId="3" fontId="36" fillId="2" borderId="24" xfId="0" applyNumberFormat="1" applyFont="1" applyFill="1" applyBorder="1" applyAlignment="1" applyProtection="1">
      <alignment vertical="center"/>
      <protection locked="0"/>
    </xf>
    <xf numFmtId="0" fontId="29" fillId="2" borderId="21" xfId="0" applyFont="1" applyFill="1" applyBorder="1" applyAlignment="1">
      <alignment vertical="center"/>
    </xf>
    <xf numFmtId="0" fontId="29" fillId="2" borderId="23" xfId="0" applyFont="1" applyFill="1" applyBorder="1" applyAlignment="1">
      <alignment vertical="center"/>
    </xf>
    <xf numFmtId="169" fontId="29" fillId="2" borderId="24" xfId="0" applyNumberFormat="1" applyFont="1" applyFill="1" applyBorder="1" applyAlignment="1">
      <alignment vertical="center"/>
    </xf>
    <xf numFmtId="10" fontId="29" fillId="2" borderId="24" xfId="2" applyNumberFormat="1" applyFont="1" applyFill="1" applyBorder="1" applyAlignment="1" applyProtection="1">
      <alignment vertical="center"/>
    </xf>
    <xf numFmtId="0" fontId="5" fillId="2" borderId="0" xfId="0" applyFont="1" applyFill="1" applyAlignment="1">
      <alignment vertical="center"/>
    </xf>
    <xf numFmtId="49" fontId="36" fillId="0" borderId="0" xfId="0" applyNumberFormat="1" applyFont="1" applyAlignment="1">
      <alignment horizontal="center" vertical="center"/>
    </xf>
    <xf numFmtId="0" fontId="7" fillId="0" borderId="0" xfId="0" applyFont="1"/>
    <xf numFmtId="0" fontId="29" fillId="0" borderId="0" xfId="0" applyFont="1" applyAlignment="1">
      <alignment vertical="center"/>
    </xf>
    <xf numFmtId="0" fontId="29" fillId="0" borderId="15" xfId="0" applyFont="1" applyBorder="1" applyAlignment="1">
      <alignment vertical="center"/>
    </xf>
    <xf numFmtId="0" fontId="7" fillId="0" borderId="15" xfId="0" applyFont="1" applyBorder="1"/>
    <xf numFmtId="0" fontId="7" fillId="0" borderId="14" xfId="0" applyFont="1" applyBorder="1"/>
    <xf numFmtId="0" fontId="29" fillId="0" borderId="14" xfId="0" applyFont="1" applyBorder="1" applyAlignment="1">
      <alignment vertical="center"/>
    </xf>
    <xf numFmtId="0" fontId="5" fillId="0" borderId="0" xfId="0" applyFont="1" applyAlignment="1">
      <alignment horizontal="right"/>
    </xf>
    <xf numFmtId="0" fontId="5" fillId="0" borderId="14" xfId="0" applyFont="1" applyBorder="1" applyAlignment="1">
      <alignment horizontal="left"/>
    </xf>
    <xf numFmtId="0" fontId="29" fillId="0" borderId="14" xfId="0" applyFont="1" applyBorder="1" applyAlignment="1">
      <alignment horizontal="left" vertical="center"/>
    </xf>
    <xf numFmtId="49" fontId="26" fillId="0" borderId="0" xfId="0" applyNumberFormat="1" applyFont="1" applyAlignment="1">
      <alignment horizontal="center" vertical="center"/>
    </xf>
    <xf numFmtId="0" fontId="26" fillId="0" borderId="0" xfId="0" applyFont="1" applyAlignment="1">
      <alignment vertical="center"/>
    </xf>
    <xf numFmtId="0" fontId="6" fillId="0" borderId="46" xfId="0" applyFont="1" applyBorder="1" applyAlignment="1">
      <alignment vertical="center"/>
    </xf>
    <xf numFmtId="0" fontId="0" fillId="0" borderId="46" xfId="0" applyBorder="1"/>
    <xf numFmtId="0" fontId="64" fillId="0" borderId="0" xfId="0" applyFont="1" applyAlignment="1">
      <alignment vertical="center"/>
    </xf>
    <xf numFmtId="0" fontId="6" fillId="0" borderId="152" xfId="0" applyFont="1" applyBorder="1" applyAlignment="1">
      <alignment horizontal="left" vertical="center"/>
    </xf>
    <xf numFmtId="0" fontId="15" fillId="4" borderId="83" xfId="0" applyFont="1" applyFill="1" applyBorder="1" applyAlignment="1">
      <alignment horizontal="center" vertical="center" wrapText="1"/>
    </xf>
    <xf numFmtId="3" fontId="26" fillId="0" borderId="83" xfId="0" applyNumberFormat="1" applyFont="1" applyBorder="1" applyAlignment="1">
      <alignment horizontal="right" vertical="center" wrapText="1"/>
    </xf>
    <xf numFmtId="3" fontId="6" fillId="6" borderId="83" xfId="0" applyNumberFormat="1" applyFont="1" applyFill="1" applyBorder="1" applyAlignment="1">
      <alignment horizontal="right" vertical="center" wrapText="1"/>
    </xf>
    <xf numFmtId="0" fontId="98" fillId="0" borderId="116" xfId="0" applyFont="1" applyBorder="1" applyAlignment="1">
      <alignment vertical="center"/>
    </xf>
    <xf numFmtId="3" fontId="6" fillId="0" borderId="0" xfId="0" applyNumberFormat="1" applyFont="1" applyAlignment="1">
      <alignment horizontal="left" vertical="center" indent="3"/>
    </xf>
    <xf numFmtId="0" fontId="99" fillId="0" borderId="0" xfId="0" applyFont="1" applyAlignment="1">
      <alignment horizontal="left" vertical="center" indent="6"/>
    </xf>
    <xf numFmtId="0" fontId="5" fillId="0" borderId="15" xfId="0" applyFont="1" applyBorder="1"/>
    <xf numFmtId="0" fontId="29" fillId="0" borderId="17" xfId="0" applyFont="1" applyBorder="1" applyAlignment="1">
      <alignment vertical="center"/>
    </xf>
    <xf numFmtId="0" fontId="41" fillId="0" borderId="0" xfId="0" applyFont="1" applyAlignment="1">
      <alignment horizontal="center" vertical="center"/>
    </xf>
    <xf numFmtId="0" fontId="29" fillId="0" borderId="0" xfId="0" applyFont="1" applyAlignment="1">
      <alignment horizontal="center" vertical="center"/>
    </xf>
    <xf numFmtId="0" fontId="36" fillId="0" borderId="0" xfId="0" applyFont="1" applyAlignment="1">
      <alignment horizontal="center" vertical="center"/>
    </xf>
    <xf numFmtId="14" fontId="29" fillId="0" borderId="0" xfId="0" applyNumberFormat="1" applyFont="1" applyAlignment="1">
      <alignment horizontal="center" vertical="center"/>
    </xf>
    <xf numFmtId="0" fontId="36" fillId="0" borderId="0" xfId="0" applyFont="1" applyAlignment="1">
      <alignment horizontal="right" vertical="center"/>
    </xf>
    <xf numFmtId="0" fontId="36" fillId="0" borderId="21" xfId="0" applyFont="1" applyBorder="1" applyAlignment="1">
      <alignment vertical="center"/>
    </xf>
    <xf numFmtId="0" fontId="36" fillId="0" borderId="22" xfId="0" applyFont="1" applyBorder="1" applyAlignment="1">
      <alignment vertical="center"/>
    </xf>
    <xf numFmtId="0" fontId="7" fillId="0" borderId="0" xfId="0" applyFont="1" applyAlignment="1">
      <alignment vertical="center"/>
    </xf>
    <xf numFmtId="0" fontId="36" fillId="0" borderId="21" xfId="0" applyFont="1" applyBorder="1" applyAlignment="1">
      <alignment horizontal="left" vertical="center"/>
    </xf>
    <xf numFmtId="0" fontId="36" fillId="0" borderId="22" xfId="0" applyFont="1" applyBorder="1" applyAlignment="1">
      <alignment horizontal="left" vertical="center"/>
    </xf>
    <xf numFmtId="0" fontId="29" fillId="6" borderId="21" xfId="0" applyFont="1" applyFill="1" applyBorder="1" applyAlignment="1">
      <alignment horizontal="left" vertical="center"/>
    </xf>
    <xf numFmtId="0" fontId="29" fillId="6" borderId="22" xfId="0" applyFont="1" applyFill="1" applyBorder="1" applyAlignment="1">
      <alignment horizontal="left" vertical="center"/>
    </xf>
    <xf numFmtId="0" fontId="7" fillId="0" borderId="21" xfId="0" applyFont="1" applyBorder="1" applyAlignment="1">
      <alignment horizontal="left" vertical="center"/>
    </xf>
    <xf numFmtId="0" fontId="7" fillId="0" borderId="22" xfId="0" applyFont="1" applyBorder="1" applyAlignment="1">
      <alignment horizontal="left" vertical="center"/>
    </xf>
    <xf numFmtId="0" fontId="85" fillId="0" borderId="0" xfId="0" applyFont="1" applyAlignment="1">
      <alignment horizontal="left" vertical="center"/>
    </xf>
    <xf numFmtId="49" fontId="36" fillId="2" borderId="0" xfId="0" applyNumberFormat="1" applyFont="1" applyFill="1" applyAlignment="1">
      <alignment horizontal="center" vertical="center"/>
    </xf>
    <xf numFmtId="0" fontId="29" fillId="2" borderId="15" xfId="0" applyFont="1" applyFill="1" applyBorder="1" applyAlignment="1">
      <alignment vertical="center"/>
    </xf>
    <xf numFmtId="0" fontId="29" fillId="2" borderId="14" xfId="0" applyFont="1" applyFill="1" applyBorder="1" applyAlignment="1">
      <alignment vertical="center"/>
    </xf>
    <xf numFmtId="0" fontId="29" fillId="2" borderId="17" xfId="0" applyFont="1" applyFill="1" applyBorder="1" applyAlignment="1">
      <alignment vertical="center"/>
    </xf>
    <xf numFmtId="0" fontId="5" fillId="2" borderId="0" xfId="0" applyFont="1" applyFill="1" applyAlignment="1">
      <alignment horizontal="right"/>
    </xf>
    <xf numFmtId="0" fontId="29" fillId="2" borderId="14" xfId="0" applyFont="1" applyFill="1" applyBorder="1" applyAlignment="1">
      <alignment horizontal="left" vertical="center"/>
    </xf>
    <xf numFmtId="0" fontId="42" fillId="2" borderId="14" xfId="0" applyFont="1" applyFill="1" applyBorder="1" applyAlignment="1">
      <alignment vertical="center"/>
    </xf>
    <xf numFmtId="0" fontId="5" fillId="2" borderId="15" xfId="0" applyFont="1" applyFill="1" applyBorder="1" applyAlignment="1">
      <alignment horizontal="left"/>
    </xf>
    <xf numFmtId="0" fontId="42" fillId="2" borderId="0" xfId="0" applyFont="1" applyFill="1"/>
    <xf numFmtId="0" fontId="41" fillId="2" borderId="0" xfId="0" applyFont="1" applyFill="1" applyAlignment="1">
      <alignment horizontal="center" vertical="center"/>
    </xf>
    <xf numFmtId="0" fontId="29" fillId="2" borderId="0" xfId="0" applyFont="1" applyFill="1" applyAlignment="1">
      <alignment horizontal="center" vertical="center"/>
    </xf>
    <xf numFmtId="0" fontId="36" fillId="2" borderId="0" xfId="0" applyFont="1" applyFill="1" applyAlignment="1">
      <alignment horizontal="center" vertical="center"/>
    </xf>
    <xf numFmtId="14" fontId="29" fillId="2" borderId="0" xfId="0" applyNumberFormat="1" applyFont="1" applyFill="1" applyAlignment="1">
      <alignment horizontal="center" vertical="center"/>
    </xf>
    <xf numFmtId="0" fontId="36" fillId="2" borderId="0" xfId="0" applyFont="1" applyFill="1" applyAlignment="1">
      <alignment horizontal="right" vertical="center"/>
    </xf>
    <xf numFmtId="0" fontId="29" fillId="4" borderId="24" xfId="0" applyFont="1" applyFill="1" applyBorder="1" applyAlignment="1">
      <alignment horizontal="center"/>
    </xf>
    <xf numFmtId="0" fontId="36" fillId="2" borderId="21" xfId="0" applyFont="1" applyFill="1" applyBorder="1" applyAlignment="1">
      <alignment horizontal="left" vertical="center"/>
    </xf>
    <xf numFmtId="0" fontId="36" fillId="2" borderId="22" xfId="0" applyFont="1" applyFill="1" applyBorder="1" applyAlignment="1">
      <alignment horizontal="left" vertical="center"/>
    </xf>
    <xf numFmtId="3" fontId="36" fillId="0" borderId="24" xfId="0" applyNumberFormat="1" applyFont="1" applyBorder="1" applyAlignment="1">
      <alignment vertical="center"/>
    </xf>
    <xf numFmtId="0" fontId="36" fillId="0" borderId="24" xfId="0" applyFont="1" applyBorder="1" applyAlignment="1">
      <alignment vertical="center"/>
    </xf>
    <xf numFmtId="0" fontId="36" fillId="2" borderId="0" xfId="0" applyFont="1" applyFill="1" applyAlignment="1">
      <alignment vertical="center"/>
    </xf>
    <xf numFmtId="0" fontId="29" fillId="2" borderId="0" xfId="0" applyFont="1" applyFill="1" applyAlignment="1">
      <alignment horizontal="center" vertical="top"/>
    </xf>
    <xf numFmtId="0" fontId="36" fillId="2" borderId="46" xfId="0" applyFont="1" applyFill="1" applyBorder="1"/>
    <xf numFmtId="0" fontId="7" fillId="2" borderId="47" xfId="0" applyFont="1" applyFill="1" applyBorder="1"/>
    <xf numFmtId="169" fontId="16" fillId="2" borderId="47" xfId="0" applyNumberFormat="1" applyFont="1" applyFill="1" applyBorder="1" applyAlignment="1" applyProtection="1">
      <alignment horizontal="center"/>
      <protection hidden="1"/>
    </xf>
    <xf numFmtId="0" fontId="36" fillId="2" borderId="47" xfId="0" applyFont="1" applyFill="1" applyBorder="1"/>
    <xf numFmtId="0" fontId="29" fillId="2" borderId="0" xfId="0" applyFont="1" applyFill="1" applyAlignment="1">
      <alignment vertical="top"/>
    </xf>
    <xf numFmtId="3" fontId="29" fillId="4" borderId="24" xfId="0" applyNumberFormat="1" applyFont="1" applyFill="1" applyBorder="1" applyAlignment="1">
      <alignment horizontal="center" vertical="center"/>
    </xf>
    <xf numFmtId="3" fontId="16" fillId="2" borderId="0" xfId="0" applyNumberFormat="1" applyFont="1" applyFill="1" applyAlignment="1">
      <alignment horizontal="center" vertical="center"/>
    </xf>
    <xf numFmtId="0" fontId="96" fillId="2" borderId="0" xfId="0" applyFont="1" applyFill="1" applyAlignment="1">
      <alignment vertical="center"/>
    </xf>
    <xf numFmtId="0" fontId="36" fillId="2" borderId="22" xfId="0" applyFont="1" applyFill="1" applyBorder="1" applyAlignment="1">
      <alignment vertical="center"/>
    </xf>
    <xf numFmtId="10" fontId="36" fillId="2" borderId="24" xfId="2" applyNumberFormat="1" applyFont="1" applyFill="1" applyBorder="1" applyAlignment="1">
      <alignment vertical="center"/>
    </xf>
    <xf numFmtId="0" fontId="36" fillId="2" borderId="23" xfId="0" applyFont="1" applyFill="1" applyBorder="1" applyAlignment="1">
      <alignment horizontal="left" vertical="center" wrapText="1"/>
    </xf>
    <xf numFmtId="0" fontId="29" fillId="2" borderId="22" xfId="0" applyFont="1" applyFill="1" applyBorder="1" applyAlignment="1">
      <alignment vertical="center"/>
    </xf>
    <xf numFmtId="10" fontId="29" fillId="2" borderId="24" xfId="2" applyNumberFormat="1" applyFont="1" applyFill="1" applyBorder="1" applyAlignment="1">
      <alignment vertical="center"/>
    </xf>
    <xf numFmtId="3" fontId="29" fillId="4" borderId="24" xfId="0" applyNumberFormat="1" applyFont="1" applyFill="1" applyBorder="1" applyAlignment="1">
      <alignment horizontal="center" vertical="center" wrapText="1"/>
    </xf>
    <xf numFmtId="0" fontId="29" fillId="2" borderId="15" xfId="0" applyFont="1" applyFill="1" applyBorder="1" applyAlignment="1">
      <alignment horizontal="left"/>
    </xf>
    <xf numFmtId="0" fontId="36" fillId="2" borderId="15" xfId="0" applyFont="1" applyFill="1" applyBorder="1"/>
    <xf numFmtId="169" fontId="16" fillId="2" borderId="46" xfId="0" applyNumberFormat="1" applyFont="1" applyFill="1" applyBorder="1" applyAlignment="1" applyProtection="1">
      <alignment horizontal="center"/>
      <protection hidden="1"/>
    </xf>
    <xf numFmtId="169" fontId="16" fillId="2" borderId="47" xfId="0" applyNumberFormat="1" applyFont="1" applyFill="1" applyBorder="1" applyProtection="1">
      <protection hidden="1"/>
    </xf>
    <xf numFmtId="0" fontId="29" fillId="2" borderId="139" xfId="0" applyFont="1" applyFill="1" applyBorder="1"/>
    <xf numFmtId="0" fontId="42" fillId="7" borderId="21" xfId="0" applyFont="1" applyFill="1" applyBorder="1" applyAlignment="1">
      <alignment vertical="center"/>
    </xf>
    <xf numFmtId="0" fontId="42" fillId="7" borderId="22" xfId="0" applyFont="1" applyFill="1" applyBorder="1" applyAlignment="1">
      <alignment vertical="center"/>
    </xf>
    <xf numFmtId="0" fontId="42" fillId="7" borderId="23" xfId="0" applyFont="1" applyFill="1" applyBorder="1" applyAlignment="1">
      <alignment vertical="center"/>
    </xf>
    <xf numFmtId="3" fontId="29" fillId="2" borderId="0" xfId="0" applyNumberFormat="1" applyFont="1" applyFill="1" applyAlignment="1">
      <alignment horizontal="center"/>
    </xf>
    <xf numFmtId="3" fontId="36" fillId="6" borderId="24" xfId="0" applyNumberFormat="1" applyFont="1" applyFill="1" applyBorder="1" applyAlignment="1" applyProtection="1">
      <alignment vertical="center"/>
      <protection locked="0"/>
    </xf>
    <xf numFmtId="0" fontId="36" fillId="2" borderId="1" xfId="0" applyFont="1" applyFill="1" applyBorder="1" applyAlignment="1">
      <alignment vertical="center"/>
    </xf>
    <xf numFmtId="0" fontId="36" fillId="2" borderId="2" xfId="0" applyFont="1" applyFill="1" applyBorder="1" applyAlignment="1">
      <alignment vertical="center"/>
    </xf>
    <xf numFmtId="0" fontId="36" fillId="2" borderId="3" xfId="0" applyFont="1" applyFill="1" applyBorder="1" applyAlignment="1">
      <alignment vertical="center"/>
    </xf>
    <xf numFmtId="0" fontId="29" fillId="2" borderId="9" xfId="0" applyFont="1" applyFill="1" applyBorder="1" applyAlignment="1">
      <alignment vertical="center"/>
    </xf>
    <xf numFmtId="0" fontId="29" fillId="2" borderId="10" xfId="0" applyFont="1" applyFill="1" applyBorder="1" applyAlignment="1">
      <alignment vertical="center"/>
    </xf>
    <xf numFmtId="0" fontId="29" fillId="2" borderId="11" xfId="0" applyFont="1" applyFill="1" applyBorder="1" applyAlignment="1">
      <alignment vertical="center"/>
    </xf>
    <xf numFmtId="0" fontId="42" fillId="0" borderId="21" xfId="0" applyFont="1" applyBorder="1" applyAlignment="1">
      <alignment vertical="center"/>
    </xf>
    <xf numFmtId="3" fontId="36" fillId="2" borderId="23" xfId="0" applyNumberFormat="1" applyFont="1" applyFill="1" applyBorder="1" applyAlignment="1">
      <alignment vertical="center"/>
    </xf>
    <xf numFmtId="169" fontId="88" fillId="4" borderId="3" xfId="0" applyNumberFormat="1" applyFont="1" applyFill="1" applyBorder="1" applyAlignment="1">
      <alignment horizontal="right" vertical="center"/>
    </xf>
    <xf numFmtId="3" fontId="100" fillId="2" borderId="0" xfId="0" applyNumberFormat="1" applyFont="1" applyFill="1"/>
    <xf numFmtId="3" fontId="36" fillId="2" borderId="0" xfId="0" applyNumberFormat="1" applyFont="1" applyFill="1"/>
    <xf numFmtId="3" fontId="29" fillId="2" borderId="78" xfId="0" applyNumberFormat="1" applyFont="1" applyFill="1" applyBorder="1" applyAlignment="1">
      <alignment horizontal="left"/>
    </xf>
    <xf numFmtId="3" fontId="29" fillId="2" borderId="78" xfId="0" applyNumberFormat="1" applyFont="1" applyFill="1" applyBorder="1"/>
    <xf numFmtId="3" fontId="16" fillId="2" borderId="0" xfId="0" applyNumberFormat="1" applyFont="1" applyFill="1" applyAlignment="1" applyProtection="1">
      <alignment horizontal="left"/>
      <protection hidden="1"/>
    </xf>
    <xf numFmtId="3" fontId="16" fillId="2" borderId="60" xfId="0" applyNumberFormat="1" applyFont="1" applyFill="1" applyBorder="1" applyAlignment="1" applyProtection="1">
      <alignment horizontal="center"/>
      <protection hidden="1"/>
    </xf>
    <xf numFmtId="3" fontId="16" fillId="2" borderId="79" xfId="0" applyNumberFormat="1" applyFont="1" applyFill="1" applyBorder="1" applyProtection="1">
      <protection hidden="1"/>
    </xf>
    <xf numFmtId="3" fontId="7" fillId="2" borderId="79" xfId="0" applyNumberFormat="1" applyFont="1" applyFill="1" applyBorder="1"/>
    <xf numFmtId="3" fontId="16" fillId="2" borderId="60" xfId="0" applyNumberFormat="1" applyFont="1" applyFill="1" applyBorder="1" applyAlignment="1" applyProtection="1">
      <alignment horizontal="right"/>
      <protection hidden="1"/>
    </xf>
    <xf numFmtId="0" fontId="16" fillId="2" borderId="60" xfId="0" applyFont="1" applyFill="1" applyBorder="1" applyAlignment="1" applyProtection="1">
      <alignment horizontal="left"/>
      <protection hidden="1"/>
    </xf>
    <xf numFmtId="3" fontId="16" fillId="2" borderId="78" xfId="0" applyNumberFormat="1" applyFont="1" applyFill="1" applyBorder="1" applyProtection="1">
      <protection hidden="1"/>
    </xf>
    <xf numFmtId="3" fontId="29" fillId="2" borderId="60" xfId="0" applyNumberFormat="1" applyFont="1" applyFill="1" applyBorder="1" applyAlignment="1">
      <alignment horizontal="left"/>
    </xf>
    <xf numFmtId="3" fontId="29" fillId="2" borderId="60" xfId="0" applyNumberFormat="1" applyFont="1" applyFill="1" applyBorder="1"/>
    <xf numFmtId="3" fontId="29" fillId="4" borderId="29" xfId="0" applyNumberFormat="1" applyFont="1" applyFill="1" applyBorder="1" applyAlignment="1">
      <alignment horizontal="center"/>
    </xf>
    <xf numFmtId="3" fontId="29" fillId="4" borderId="1" xfId="0" applyNumberFormat="1" applyFont="1" applyFill="1" applyBorder="1" applyAlignment="1">
      <alignment horizontal="center"/>
    </xf>
    <xf numFmtId="3" fontId="41" fillId="4" borderId="24" xfId="0" applyNumberFormat="1" applyFont="1" applyFill="1" applyBorder="1" applyAlignment="1">
      <alignment horizontal="center" vertical="center" wrapText="1"/>
    </xf>
    <xf numFmtId="3" fontId="41" fillId="4" borderId="23" xfId="0" applyNumberFormat="1" applyFont="1" applyFill="1" applyBorder="1" applyAlignment="1">
      <alignment horizontal="center" vertical="center" wrapText="1"/>
    </xf>
    <xf numFmtId="3" fontId="29" fillId="2" borderId="11" xfId="0" applyNumberFormat="1" applyFont="1" applyFill="1" applyBorder="1" applyAlignment="1">
      <alignment horizontal="right" vertical="center"/>
    </xf>
    <xf numFmtId="3" fontId="29" fillId="2" borderId="23" xfId="0" applyNumberFormat="1" applyFont="1" applyFill="1" applyBorder="1" applyAlignment="1">
      <alignment vertical="center"/>
    </xf>
    <xf numFmtId="3" fontId="36" fillId="2" borderId="11" xfId="0" applyNumberFormat="1" applyFont="1" applyFill="1" applyBorder="1" applyAlignment="1">
      <alignment vertical="center"/>
    </xf>
    <xf numFmtId="3" fontId="42" fillId="2" borderId="21" xfId="0" applyNumberFormat="1" applyFont="1" applyFill="1" applyBorder="1" applyAlignment="1">
      <alignment vertical="center"/>
    </xf>
    <xf numFmtId="3" fontId="41" fillId="2" borderId="23" xfId="0" applyNumberFormat="1" applyFont="1" applyFill="1" applyBorder="1" applyAlignment="1">
      <alignment horizontal="center" vertical="center"/>
    </xf>
    <xf numFmtId="3" fontId="29" fillId="2" borderId="2" xfId="0" applyNumberFormat="1" applyFont="1" applyFill="1" applyBorder="1"/>
    <xf numFmtId="3" fontId="36" fillId="2" borderId="2" xfId="0" applyNumberFormat="1" applyFont="1" applyFill="1" applyBorder="1"/>
    <xf numFmtId="3" fontId="41" fillId="2" borderId="21" xfId="0" applyNumberFormat="1" applyFont="1" applyFill="1" applyBorder="1" applyAlignment="1">
      <alignment horizontal="left" vertical="center"/>
    </xf>
    <xf numFmtId="0" fontId="4" fillId="0" borderId="0" xfId="0" applyFont="1"/>
    <xf numFmtId="0" fontId="4" fillId="0" borderId="0" xfId="0" applyFont="1" applyProtection="1">
      <protection locked="0"/>
    </xf>
    <xf numFmtId="0" fontId="56" fillId="2" borderId="21" xfId="0" applyFont="1" applyFill="1" applyBorder="1" applyAlignment="1">
      <alignment vertical="center"/>
    </xf>
    <xf numFmtId="0" fontId="29" fillId="4" borderId="29" xfId="0" applyFont="1" applyFill="1" applyBorder="1" applyAlignment="1">
      <alignment horizontal="center" vertical="center" wrapText="1"/>
    </xf>
    <xf numFmtId="0" fontId="29" fillId="2" borderId="139" xfId="0" applyFont="1" applyFill="1" applyBorder="1" applyAlignment="1">
      <alignment horizontal="right"/>
    </xf>
    <xf numFmtId="0" fontId="21" fillId="4" borderId="21" xfId="0" applyFont="1" applyFill="1" applyBorder="1" applyAlignment="1">
      <alignment horizontal="center" vertical="center"/>
    </xf>
    <xf numFmtId="9" fontId="29" fillId="4" borderId="24" xfId="0" applyNumberFormat="1" applyFont="1" applyFill="1" applyBorder="1" applyAlignment="1">
      <alignment horizontal="center" vertical="center" wrapText="1"/>
    </xf>
    <xf numFmtId="9" fontId="53" fillId="2" borderId="24" xfId="2" applyFont="1" applyFill="1" applyBorder="1" applyAlignment="1" applyProtection="1">
      <alignment vertical="center"/>
    </xf>
    <xf numFmtId="9" fontId="53" fillId="2" borderId="23" xfId="2" applyFont="1" applyFill="1" applyBorder="1" applyAlignment="1" applyProtection="1">
      <alignment vertical="center"/>
    </xf>
    <xf numFmtId="169" fontId="16" fillId="2" borderId="15" xfId="0" applyNumberFormat="1" applyFont="1" applyFill="1" applyBorder="1" applyProtection="1">
      <protection hidden="1"/>
    </xf>
    <xf numFmtId="3" fontId="29" fillId="4" borderId="29" xfId="0" applyNumberFormat="1" applyFont="1" applyFill="1" applyBorder="1" applyAlignment="1">
      <alignment horizontal="center" vertical="center"/>
    </xf>
    <xf numFmtId="9" fontId="29" fillId="4" borderId="29" xfId="0" applyNumberFormat="1" applyFont="1" applyFill="1" applyBorder="1" applyAlignment="1">
      <alignment horizontal="center" vertical="center" wrapText="1"/>
    </xf>
    <xf numFmtId="0" fontId="42" fillId="2" borderId="142" xfId="0" applyFont="1" applyFill="1" applyBorder="1" applyAlignment="1">
      <alignment vertical="center"/>
    </xf>
    <xf numFmtId="3" fontId="36" fillId="2" borderId="24" xfId="0" applyNumberFormat="1" applyFont="1" applyFill="1" applyBorder="1"/>
    <xf numFmtId="10" fontId="36" fillId="2" borderId="24" xfId="2" applyNumberFormat="1" applyFont="1" applyFill="1" applyBorder="1"/>
    <xf numFmtId="0" fontId="42" fillId="2" borderId="143" xfId="0" applyFont="1" applyFill="1" applyBorder="1" applyAlignment="1">
      <alignment vertical="center"/>
    </xf>
    <xf numFmtId="3" fontId="36" fillId="6" borderId="24" xfId="0" applyNumberFormat="1" applyFont="1" applyFill="1" applyBorder="1" applyProtection="1">
      <protection locked="0"/>
    </xf>
    <xf numFmtId="0" fontId="42" fillId="2" borderId="144" xfId="0" applyFont="1" applyFill="1" applyBorder="1" applyAlignment="1">
      <alignment vertical="center"/>
    </xf>
    <xf numFmtId="3" fontId="7" fillId="2" borderId="0" xfId="0" applyNumberFormat="1" applyFont="1" applyFill="1" applyAlignment="1">
      <alignment vertical="center"/>
    </xf>
    <xf numFmtId="3" fontId="36" fillId="2" borderId="29" xfId="0" applyNumberFormat="1" applyFont="1" applyFill="1" applyBorder="1" applyAlignment="1">
      <alignment vertical="center"/>
    </xf>
    <xf numFmtId="0" fontId="29" fillId="2" borderId="1" xfId="0" applyFont="1" applyFill="1" applyBorder="1" applyAlignment="1">
      <alignment vertical="center"/>
    </xf>
    <xf numFmtId="3" fontId="29" fillId="2" borderId="29" xfId="0" applyNumberFormat="1" applyFont="1" applyFill="1" applyBorder="1" applyAlignment="1">
      <alignment vertical="center"/>
    </xf>
    <xf numFmtId="0" fontId="36" fillId="2" borderId="9" xfId="0" applyFont="1" applyFill="1" applyBorder="1" applyAlignment="1">
      <alignment vertical="center"/>
    </xf>
    <xf numFmtId="3" fontId="36" fillId="2" borderId="19" xfId="0" applyNumberFormat="1" applyFont="1" applyFill="1" applyBorder="1" applyAlignment="1">
      <alignment vertical="center"/>
    </xf>
    <xf numFmtId="0" fontId="7" fillId="2" borderId="0" xfId="0" applyFont="1" applyFill="1" applyAlignment="1">
      <alignment horizontal="left"/>
    </xf>
    <xf numFmtId="169" fontId="16" fillId="2" borderId="47" xfId="0" applyNumberFormat="1" applyFont="1" applyFill="1" applyBorder="1" applyAlignment="1" applyProtection="1">
      <alignment horizontal="left"/>
      <protection hidden="1"/>
    </xf>
    <xf numFmtId="3" fontId="36" fillId="2" borderId="23" xfId="0" applyNumberFormat="1" applyFont="1" applyFill="1" applyBorder="1"/>
    <xf numFmtId="0" fontId="42" fillId="2" borderId="22" xfId="0" applyFont="1" applyFill="1" applyBorder="1" applyAlignment="1">
      <alignment vertical="center" wrapText="1"/>
    </xf>
    <xf numFmtId="0" fontId="42" fillId="2" borderId="23" xfId="0" applyFont="1" applyFill="1" applyBorder="1" applyAlignment="1">
      <alignment vertical="center" wrapText="1"/>
    </xf>
    <xf numFmtId="3" fontId="29" fillId="2" borderId="23" xfId="0" applyNumberFormat="1" applyFont="1" applyFill="1" applyBorder="1"/>
    <xf numFmtId="3" fontId="16" fillId="2" borderId="0" xfId="0" applyNumberFormat="1" applyFont="1" applyFill="1" applyAlignment="1">
      <alignment horizontal="right" vertical="center"/>
    </xf>
    <xf numFmtId="0" fontId="101" fillId="2" borderId="0" xfId="0" applyFont="1" applyFill="1" applyAlignment="1">
      <alignment vertical="center"/>
    </xf>
    <xf numFmtId="0" fontId="29" fillId="2" borderId="78" xfId="0" applyFont="1" applyFill="1" applyBorder="1" applyAlignment="1">
      <alignment horizontal="left"/>
    </xf>
    <xf numFmtId="0" fontId="16" fillId="2" borderId="10" xfId="0" applyFont="1" applyFill="1" applyBorder="1" applyAlignment="1">
      <alignment horizontal="center"/>
    </xf>
    <xf numFmtId="3" fontId="29" fillId="4" borderId="20" xfId="0" applyNumberFormat="1" applyFont="1" applyFill="1" applyBorder="1" applyAlignment="1">
      <alignment horizontal="center" vertical="center"/>
    </xf>
    <xf numFmtId="3" fontId="29" fillId="4" borderId="20" xfId="0" applyNumberFormat="1" applyFont="1" applyFill="1" applyBorder="1" applyAlignment="1">
      <alignment horizontal="center" vertical="center" wrapText="1"/>
    </xf>
    <xf numFmtId="0" fontId="7" fillId="0" borderId="24" xfId="0" applyFont="1" applyBorder="1" applyAlignment="1">
      <alignment vertical="center"/>
    </xf>
    <xf numFmtId="0" fontId="7" fillId="0" borderId="21" xfId="0" applyFont="1" applyBorder="1" applyAlignment="1">
      <alignment vertical="center"/>
    </xf>
    <xf numFmtId="169" fontId="16" fillId="2" borderId="0" xfId="0" applyNumberFormat="1" applyFont="1" applyFill="1" applyAlignment="1" applyProtection="1">
      <alignment horizontal="center"/>
      <protection hidden="1"/>
    </xf>
    <xf numFmtId="0" fontId="7" fillId="2" borderId="0" xfId="0" applyFont="1" applyFill="1" applyAlignment="1">
      <alignment vertical="center" wrapText="1"/>
    </xf>
    <xf numFmtId="0" fontId="36" fillId="2" borderId="22" xfId="0" applyFont="1" applyFill="1" applyBorder="1" applyAlignment="1">
      <alignment vertical="center" wrapText="1"/>
    </xf>
    <xf numFmtId="0" fontId="36" fillId="2" borderId="23" xfId="0" applyFont="1" applyFill="1" applyBorder="1" applyAlignment="1">
      <alignment vertical="center" wrapText="1"/>
    </xf>
    <xf numFmtId="0" fontId="26" fillId="2" borderId="48" xfId="0" applyFont="1" applyFill="1" applyBorder="1" applyAlignment="1">
      <alignment horizontal="left" vertical="center" indent="1"/>
    </xf>
    <xf numFmtId="0" fontId="26" fillId="2" borderId="51" xfId="0" applyFont="1" applyFill="1" applyBorder="1" applyAlignment="1">
      <alignment horizontal="left" vertical="center" indent="1"/>
    </xf>
    <xf numFmtId="0" fontId="26" fillId="2" borderId="54" xfId="0" applyFont="1" applyFill="1" applyBorder="1" applyAlignment="1">
      <alignment horizontal="left" vertical="center" indent="1"/>
    </xf>
    <xf numFmtId="0" fontId="26" fillId="2" borderId="57" xfId="0" applyFont="1" applyFill="1" applyBorder="1" applyAlignment="1">
      <alignment horizontal="left" vertical="center" indent="1"/>
    </xf>
    <xf numFmtId="0" fontId="31" fillId="0" borderId="66" xfId="0" applyFont="1" applyBorder="1" applyAlignment="1">
      <alignment horizontal="center" vertical="center" wrapText="1"/>
    </xf>
    <xf numFmtId="49" fontId="31" fillId="0" borderId="74" xfId="0" applyNumberFormat="1" applyFont="1" applyBorder="1" applyAlignment="1">
      <alignment horizontal="center" vertical="center" wrapText="1"/>
    </xf>
    <xf numFmtId="3" fontId="31" fillId="0" borderId="71" xfId="0" applyNumberFormat="1" applyFont="1" applyBorder="1" applyAlignment="1">
      <alignment vertical="center" wrapText="1"/>
    </xf>
    <xf numFmtId="3" fontId="31" fillId="0" borderId="72" xfId="0" applyNumberFormat="1" applyFont="1" applyBorder="1" applyAlignment="1">
      <alignment vertical="center" wrapText="1"/>
    </xf>
    <xf numFmtId="0" fontId="31" fillId="0" borderId="66" xfId="0" applyFont="1" applyBorder="1" applyAlignment="1">
      <alignment horizontal="left" vertical="center" wrapText="1" indent="1"/>
    </xf>
    <xf numFmtId="0" fontId="31" fillId="0" borderId="73" xfId="0" applyFont="1" applyBorder="1" applyAlignment="1">
      <alignment horizontal="center" vertical="center" wrapText="1"/>
    </xf>
    <xf numFmtId="170" fontId="31" fillId="2" borderId="71" xfId="0" applyNumberFormat="1" applyFont="1" applyFill="1" applyBorder="1" applyAlignment="1">
      <alignment vertical="center"/>
    </xf>
    <xf numFmtId="0" fontId="31" fillId="0" borderId="62" xfId="0" applyFont="1" applyBorder="1" applyAlignment="1">
      <alignment horizontal="left" vertical="center" wrapText="1" indent="1"/>
    </xf>
    <xf numFmtId="0" fontId="31" fillId="0" borderId="74" xfId="0" applyFont="1" applyBorder="1" applyAlignment="1">
      <alignment horizontal="center" vertical="center" wrapText="1"/>
    </xf>
    <xf numFmtId="3" fontId="31" fillId="0" borderId="62" xfId="0" applyNumberFormat="1" applyFont="1" applyBorder="1" applyAlignment="1">
      <alignment vertical="center" wrapText="1"/>
    </xf>
    <xf numFmtId="0" fontId="31" fillId="0" borderId="73" xfId="0" applyFont="1" applyBorder="1" applyAlignment="1">
      <alignment vertical="center" wrapText="1"/>
    </xf>
    <xf numFmtId="3" fontId="31" fillId="0" borderId="70" xfId="0" applyNumberFormat="1" applyFont="1" applyBorder="1" applyAlignment="1">
      <alignment vertical="center" wrapText="1"/>
    </xf>
    <xf numFmtId="0" fontId="31" fillId="0" borderId="71" xfId="0" applyFont="1" applyBorder="1" applyAlignment="1">
      <alignment horizontal="left" vertical="center" wrapText="1" indent="1"/>
    </xf>
    <xf numFmtId="0" fontId="31" fillId="0" borderId="70" xfId="0" applyFont="1" applyBorder="1" applyAlignment="1">
      <alignment horizontal="center" vertical="center" wrapText="1"/>
    </xf>
    <xf numFmtId="0" fontId="31" fillId="0" borderId="65" xfId="0" applyFont="1" applyBorder="1" applyAlignment="1">
      <alignment horizontal="center" vertical="center" wrapText="1"/>
    </xf>
    <xf numFmtId="0" fontId="102" fillId="0" borderId="68" xfId="0" applyFont="1" applyBorder="1" applyAlignment="1">
      <alignment horizontal="left" vertical="center" wrapText="1" indent="1"/>
    </xf>
    <xf numFmtId="3" fontId="31" fillId="0" borderId="75" xfId="0" applyNumberFormat="1" applyFont="1" applyBorder="1" applyAlignment="1" applyProtection="1">
      <alignment horizontal="right" wrapText="1"/>
      <protection locked="0"/>
    </xf>
    <xf numFmtId="3" fontId="14" fillId="0" borderId="76" xfId="0" applyNumberFormat="1" applyFont="1" applyBorder="1" applyAlignment="1" applyProtection="1">
      <alignment horizontal="right" wrapText="1"/>
      <protection locked="0"/>
    </xf>
    <xf numFmtId="0" fontId="103" fillId="0" borderId="68" xfId="0" applyFont="1" applyBorder="1" applyAlignment="1">
      <alignment horizontal="left" vertical="center" wrapText="1" indent="1"/>
    </xf>
    <xf numFmtId="3" fontId="31" fillId="0" borderId="77" xfId="0" applyNumberFormat="1" applyFont="1" applyBorder="1" applyAlignment="1" applyProtection="1">
      <alignment horizontal="right" wrapText="1"/>
      <protection locked="0"/>
    </xf>
    <xf numFmtId="3" fontId="31" fillId="0" borderId="76" xfId="0" applyNumberFormat="1" applyFont="1" applyBorder="1" applyAlignment="1" applyProtection="1">
      <alignment horizontal="right" wrapText="1"/>
      <protection locked="0"/>
    </xf>
    <xf numFmtId="0" fontId="2" fillId="2" borderId="0" xfId="0" applyFont="1" applyFill="1"/>
    <xf numFmtId="0" fontId="63" fillId="2" borderId="21" xfId="0" applyFont="1" applyFill="1" applyBorder="1" applyAlignment="1">
      <alignment vertical="center"/>
    </xf>
    <xf numFmtId="0" fontId="63" fillId="2" borderId="23" xfId="0" applyFont="1" applyFill="1" applyBorder="1" applyAlignment="1">
      <alignment vertical="center"/>
    </xf>
    <xf numFmtId="3" fontId="36" fillId="2" borderId="11" xfId="0" applyNumberFormat="1" applyFont="1" applyFill="1" applyBorder="1"/>
    <xf numFmtId="3" fontId="36" fillId="2" borderId="19" xfId="0" applyNumberFormat="1" applyFont="1" applyFill="1" applyBorder="1"/>
    <xf numFmtId="3" fontId="36" fillId="2" borderId="24" xfId="0" applyNumberFormat="1" applyFont="1" applyFill="1" applyBorder="1" applyProtection="1">
      <protection locked="0"/>
    </xf>
    <xf numFmtId="0" fontId="104" fillId="2" borderId="0" xfId="0" applyFont="1" applyFill="1"/>
    <xf numFmtId="3" fontId="36" fillId="2" borderId="19" xfId="0" applyNumberFormat="1" applyFont="1" applyFill="1" applyBorder="1" applyProtection="1">
      <protection locked="0"/>
    </xf>
    <xf numFmtId="3" fontId="29" fillId="2" borderId="11" xfId="0" applyNumberFormat="1" applyFont="1" applyFill="1" applyBorder="1"/>
    <xf numFmtId="3" fontId="6" fillId="2" borderId="11" xfId="0" applyNumberFormat="1" applyFont="1" applyFill="1" applyBorder="1"/>
    <xf numFmtId="3" fontId="29" fillId="2" borderId="24" xfId="0" applyNumberFormat="1" applyFont="1" applyFill="1" applyBorder="1"/>
    <xf numFmtId="0" fontId="50" fillId="2" borderId="24" xfId="0" applyFont="1" applyFill="1" applyBorder="1" applyAlignment="1" applyProtection="1">
      <alignment vertical="center"/>
      <protection locked="0"/>
    </xf>
    <xf numFmtId="3" fontId="21" fillId="2" borderId="0" xfId="0" applyNumberFormat="1" applyFont="1" applyFill="1" applyAlignment="1">
      <alignment vertical="center"/>
    </xf>
    <xf numFmtId="0" fontId="7" fillId="2" borderId="23" xfId="0" applyFont="1" applyFill="1" applyBorder="1"/>
    <xf numFmtId="10" fontId="105" fillId="2" borderId="23" xfId="2" applyNumberFormat="1" applyFont="1" applyFill="1" applyBorder="1" applyAlignment="1" applyProtection="1">
      <alignment vertical="center"/>
    </xf>
    <xf numFmtId="3" fontId="105" fillId="2" borderId="24" xfId="0" applyNumberFormat="1" applyFont="1" applyFill="1" applyBorder="1" applyAlignment="1">
      <alignment vertical="center"/>
    </xf>
    <xf numFmtId="10" fontId="105" fillId="2" borderId="24" xfId="0" applyNumberFormat="1" applyFont="1" applyFill="1" applyBorder="1" applyAlignment="1">
      <alignment vertical="center"/>
    </xf>
    <xf numFmtId="3" fontId="36" fillId="2" borderId="3" xfId="0" applyNumberFormat="1" applyFont="1" applyFill="1" applyBorder="1" applyAlignment="1">
      <alignment horizontal="right" vertical="center"/>
    </xf>
    <xf numFmtId="3" fontId="36" fillId="2" borderId="23" xfId="0" applyNumberFormat="1" applyFont="1" applyFill="1" applyBorder="1" applyAlignment="1">
      <alignment horizontal="right" vertical="center"/>
    </xf>
    <xf numFmtId="0" fontId="3" fillId="2" borderId="22" xfId="0" applyFont="1" applyFill="1" applyBorder="1"/>
    <xf numFmtId="0" fontId="3" fillId="2" borderId="23" xfId="0" applyFont="1" applyFill="1" applyBorder="1"/>
    <xf numFmtId="0" fontId="53" fillId="4" borderId="4" xfId="0" applyFont="1" applyFill="1" applyBorder="1" applyAlignment="1">
      <alignment horizontal="center"/>
    </xf>
    <xf numFmtId="0" fontId="53" fillId="4" borderId="19" xfId="0" applyFont="1" applyFill="1" applyBorder="1" applyAlignment="1">
      <alignment horizontal="center" wrapText="1"/>
    </xf>
    <xf numFmtId="0" fontId="63" fillId="2" borderId="22" xfId="0" applyFont="1" applyFill="1" applyBorder="1" applyAlignment="1">
      <alignment vertical="center"/>
    </xf>
    <xf numFmtId="3" fontId="26" fillId="2" borderId="23" xfId="0" applyNumberFormat="1" applyFont="1" applyFill="1" applyBorder="1" applyAlignment="1">
      <alignment horizontal="right" vertical="center"/>
    </xf>
    <xf numFmtId="3" fontId="26" fillId="2" borderId="21" xfId="0" applyNumberFormat="1" applyFont="1" applyFill="1" applyBorder="1" applyAlignment="1">
      <alignment horizontal="right" vertical="center"/>
    </xf>
    <xf numFmtId="10" fontId="26" fillId="2" borderId="24" xfId="2" applyNumberFormat="1" applyFont="1" applyFill="1" applyBorder="1" applyAlignment="1">
      <alignment horizontal="right" vertical="center"/>
    </xf>
    <xf numFmtId="3" fontId="26" fillId="2" borderId="22" xfId="0" applyNumberFormat="1" applyFont="1" applyFill="1" applyBorder="1" applyAlignment="1">
      <alignment horizontal="right" vertical="center"/>
    </xf>
    <xf numFmtId="3" fontId="21" fillId="2" borderId="22" xfId="0" applyNumberFormat="1" applyFont="1" applyFill="1" applyBorder="1" applyAlignment="1">
      <alignment horizontal="right" vertical="center"/>
    </xf>
    <xf numFmtId="3" fontId="21" fillId="2" borderId="21" xfId="0" applyNumberFormat="1" applyFont="1" applyFill="1" applyBorder="1" applyAlignment="1">
      <alignment horizontal="right" vertical="center"/>
    </xf>
    <xf numFmtId="10" fontId="21" fillId="2" borderId="24" xfId="2" applyNumberFormat="1" applyFont="1" applyFill="1" applyBorder="1" applyAlignment="1">
      <alignment horizontal="right" vertical="center"/>
    </xf>
    <xf numFmtId="3" fontId="26" fillId="2" borderId="3" xfId="0" applyNumberFormat="1" applyFont="1" applyFill="1" applyBorder="1" applyAlignment="1">
      <alignment vertical="center"/>
    </xf>
    <xf numFmtId="10" fontId="26" fillId="2" borderId="29" xfId="2" applyNumberFormat="1" applyFont="1" applyFill="1" applyBorder="1" applyAlignment="1" applyProtection="1">
      <alignment vertical="center"/>
    </xf>
    <xf numFmtId="3" fontId="26" fillId="2" borderId="29" xfId="0" applyNumberFormat="1" applyFont="1" applyFill="1" applyBorder="1" applyAlignment="1" applyProtection="1">
      <alignment vertical="center"/>
      <protection locked="0"/>
    </xf>
    <xf numFmtId="3" fontId="26" fillId="2" borderId="23" xfId="0" applyNumberFormat="1" applyFont="1" applyFill="1" applyBorder="1" applyAlignment="1">
      <alignment vertical="center"/>
    </xf>
    <xf numFmtId="10" fontId="50" fillId="2" borderId="29" xfId="2" applyNumberFormat="1" applyFont="1" applyFill="1" applyBorder="1" applyAlignment="1" applyProtection="1">
      <alignment vertical="center"/>
    </xf>
    <xf numFmtId="3" fontId="50" fillId="2" borderId="29" xfId="0" applyNumberFormat="1" applyFont="1" applyFill="1" applyBorder="1" applyAlignment="1" applyProtection="1">
      <alignment vertical="center"/>
      <protection locked="0"/>
    </xf>
    <xf numFmtId="3" fontId="53" fillId="2" borderId="3" xfId="0" applyNumberFormat="1" applyFont="1" applyFill="1" applyBorder="1" applyAlignment="1">
      <alignment vertical="center"/>
    </xf>
    <xf numFmtId="3" fontId="53" fillId="2" borderId="29" xfId="0" applyNumberFormat="1" applyFont="1" applyFill="1" applyBorder="1" applyAlignment="1">
      <alignment vertical="center"/>
    </xf>
    <xf numFmtId="3" fontId="50" fillId="2" borderId="3" xfId="0" applyNumberFormat="1" applyFont="1" applyFill="1" applyBorder="1" applyAlignment="1">
      <alignment vertical="center"/>
    </xf>
    <xf numFmtId="3" fontId="53" fillId="2" borderId="22" xfId="0" applyNumberFormat="1" applyFont="1" applyFill="1" applyBorder="1" applyAlignment="1">
      <alignment vertical="center"/>
    </xf>
    <xf numFmtId="10" fontId="53" fillId="2" borderId="24" xfId="2" applyNumberFormat="1" applyFont="1" applyFill="1" applyBorder="1" applyAlignment="1" applyProtection="1">
      <alignment vertical="center"/>
    </xf>
    <xf numFmtId="169" fontId="16" fillId="2" borderId="0" xfId="0" applyNumberFormat="1" applyFont="1" applyFill="1" applyProtection="1">
      <protection hidden="1"/>
    </xf>
    <xf numFmtId="0" fontId="36" fillId="2" borderId="2" xfId="0" applyFont="1" applyFill="1" applyBorder="1" applyAlignment="1">
      <alignment vertical="top"/>
    </xf>
    <xf numFmtId="0" fontId="26" fillId="2" borderId="21" xfId="0" applyFont="1" applyFill="1" applyBorder="1" applyAlignment="1">
      <alignment vertical="center"/>
    </xf>
    <xf numFmtId="0" fontId="26" fillId="2" borderId="22" xfId="0" applyFont="1" applyFill="1" applyBorder="1" applyAlignment="1">
      <alignment vertical="center"/>
    </xf>
    <xf numFmtId="0" fontId="26" fillId="2" borderId="23" xfId="0" applyFont="1" applyFill="1" applyBorder="1" applyAlignment="1">
      <alignment vertical="center"/>
    </xf>
    <xf numFmtId="3" fontId="26" fillId="2" borderId="24" xfId="0" applyNumberFormat="1" applyFont="1" applyFill="1" applyBorder="1" applyAlignment="1">
      <alignment vertical="center"/>
    </xf>
    <xf numFmtId="10" fontId="26" fillId="2" borderId="24" xfId="2" applyNumberFormat="1" applyFont="1" applyFill="1" applyBorder="1" applyAlignment="1">
      <alignment vertical="center"/>
    </xf>
    <xf numFmtId="3" fontId="0" fillId="2" borderId="24" xfId="0" applyNumberFormat="1" applyFill="1" applyBorder="1"/>
    <xf numFmtId="0" fontId="63" fillId="2" borderId="3" xfId="0" applyFont="1" applyFill="1" applyBorder="1" applyAlignment="1">
      <alignment vertical="center"/>
    </xf>
    <xf numFmtId="3" fontId="21" fillId="2" borderId="23" xfId="0" applyNumberFormat="1" applyFont="1" applyFill="1" applyBorder="1" applyAlignment="1">
      <alignment vertical="center"/>
    </xf>
    <xf numFmtId="0" fontId="6" fillId="2" borderId="22" xfId="0" applyFont="1" applyFill="1" applyBorder="1" applyAlignment="1">
      <alignment vertical="center"/>
    </xf>
    <xf numFmtId="0" fontId="6" fillId="2" borderId="23" xfId="0" applyFont="1" applyFill="1" applyBorder="1" applyAlignment="1">
      <alignment vertical="center"/>
    </xf>
    <xf numFmtId="3" fontId="6" fillId="2" borderId="24" xfId="0" applyNumberFormat="1" applyFont="1" applyFill="1" applyBorder="1" applyAlignment="1">
      <alignment vertical="center"/>
    </xf>
    <xf numFmtId="10" fontId="6" fillId="2" borderId="24" xfId="2" applyNumberFormat="1" applyFont="1" applyFill="1" applyBorder="1" applyAlignment="1">
      <alignment vertical="center"/>
    </xf>
    <xf numFmtId="0" fontId="31" fillId="2" borderId="11" xfId="0" applyFont="1" applyFill="1" applyBorder="1" applyAlignment="1">
      <alignment vertical="center"/>
    </xf>
    <xf numFmtId="3" fontId="36" fillId="18" borderId="24" xfId="0" applyNumberFormat="1" applyFont="1" applyFill="1" applyBorder="1" applyAlignment="1">
      <alignment vertical="center"/>
    </xf>
    <xf numFmtId="49" fontId="15" fillId="2" borderId="10" xfId="3" applyNumberFormat="1" applyFont="1" applyFill="1" applyBorder="1" applyAlignment="1">
      <alignment horizontal="center"/>
    </xf>
    <xf numFmtId="0" fontId="5" fillId="2" borderId="0" xfId="0" applyFont="1" applyFill="1" applyAlignment="1">
      <alignment horizontal="center"/>
    </xf>
    <xf numFmtId="0" fontId="9" fillId="2" borderId="4" xfId="0" applyFont="1" applyFill="1" applyBorder="1" applyAlignment="1">
      <alignment horizontal="center"/>
    </xf>
    <xf numFmtId="0" fontId="9" fillId="2" borderId="0" xfId="0" applyFont="1" applyFill="1" applyAlignment="1">
      <alignment horizontal="center"/>
    </xf>
    <xf numFmtId="0" fontId="9" fillId="2" borderId="5" xfId="0" applyFont="1" applyFill="1" applyBorder="1" applyAlignment="1">
      <alignment horizontal="center"/>
    </xf>
    <xf numFmtId="0" fontId="10" fillId="2" borderId="4" xfId="0" applyFont="1" applyFill="1" applyBorder="1" applyAlignment="1">
      <alignment horizontal="center"/>
    </xf>
    <xf numFmtId="0" fontId="10" fillId="2" borderId="0" xfId="0" applyFont="1" applyFill="1" applyAlignment="1">
      <alignment horizontal="center"/>
    </xf>
    <xf numFmtId="0" fontId="10" fillId="2" borderId="5" xfId="0" applyFont="1" applyFill="1" applyBorder="1" applyAlignment="1">
      <alignment horizontal="center"/>
    </xf>
    <xf numFmtId="0" fontId="6" fillId="2" borderId="6" xfId="0" applyFont="1" applyFill="1" applyBorder="1" applyAlignment="1">
      <alignment horizontal="center"/>
    </xf>
    <xf numFmtId="0" fontId="6" fillId="2" borderId="7" xfId="0" applyFont="1" applyFill="1" applyBorder="1" applyAlignment="1">
      <alignment horizontal="center"/>
    </xf>
    <xf numFmtId="0" fontId="6" fillId="2" borderId="8" xfId="0" applyFont="1" applyFill="1" applyBorder="1" applyAlignment="1">
      <alignment horizontal="center"/>
    </xf>
    <xf numFmtId="3" fontId="6" fillId="2" borderId="6" xfId="0" applyNumberFormat="1" applyFont="1" applyFill="1" applyBorder="1" applyAlignment="1">
      <alignment horizontal="center"/>
    </xf>
    <xf numFmtId="0" fontId="13" fillId="2" borderId="4" xfId="0" applyFont="1" applyFill="1" applyBorder="1" applyAlignment="1">
      <alignment horizontal="center" vertical="center"/>
    </xf>
    <xf numFmtId="0" fontId="13" fillId="2" borderId="0" xfId="0" applyFont="1" applyFill="1" applyAlignment="1">
      <alignment horizontal="center" vertical="center"/>
    </xf>
    <xf numFmtId="0" fontId="13" fillId="2" borderId="5" xfId="0" applyFont="1" applyFill="1" applyBorder="1" applyAlignment="1">
      <alignment horizontal="center" vertical="center"/>
    </xf>
    <xf numFmtId="0" fontId="7" fillId="2" borderId="2" xfId="0" applyFont="1" applyFill="1" applyBorder="1" applyAlignment="1">
      <alignment horizontal="center"/>
    </xf>
    <xf numFmtId="0" fontId="15" fillId="2" borderId="4" xfId="3" applyFont="1" applyFill="1" applyBorder="1" applyAlignment="1">
      <alignment horizontal="center"/>
    </xf>
    <xf numFmtId="0" fontId="15" fillId="2" borderId="0" xfId="3" applyFont="1" applyFill="1" applyAlignment="1">
      <alignment horizontal="center"/>
    </xf>
    <xf numFmtId="0" fontId="15" fillId="2" borderId="5" xfId="3" applyFont="1" applyFill="1" applyBorder="1" applyAlignment="1">
      <alignment horizontal="center"/>
    </xf>
    <xf numFmtId="0" fontId="6" fillId="2" borderId="12" xfId="0" applyFont="1" applyFill="1" applyBorder="1" applyAlignment="1">
      <alignment horizontal="left"/>
    </xf>
    <xf numFmtId="0" fontId="6" fillId="2" borderId="14" xfId="0" applyFont="1" applyFill="1" applyBorder="1" applyAlignment="1">
      <alignment horizontal="left"/>
    </xf>
    <xf numFmtId="0" fontId="6" fillId="2" borderId="15" xfId="0" applyFont="1" applyFill="1" applyBorder="1" applyAlignment="1">
      <alignment horizontal="left"/>
    </xf>
    <xf numFmtId="0" fontId="6" fillId="2" borderId="16" xfId="0" applyFont="1" applyFill="1" applyBorder="1" applyAlignment="1">
      <alignment horizontal="left"/>
    </xf>
    <xf numFmtId="0" fontId="22" fillId="2" borderId="4" xfId="0" applyFont="1" applyFill="1" applyBorder="1" applyAlignment="1">
      <alignment horizontal="center" vertical="center"/>
    </xf>
    <xf numFmtId="0" fontId="22" fillId="2" borderId="0" xfId="0" applyFont="1" applyFill="1" applyAlignment="1">
      <alignment horizontal="center" vertical="center"/>
    </xf>
    <xf numFmtId="0" fontId="22" fillId="2" borderId="5" xfId="0" applyFont="1" applyFill="1" applyBorder="1" applyAlignment="1">
      <alignment horizontal="center" vertical="center"/>
    </xf>
    <xf numFmtId="0" fontId="7" fillId="2" borderId="10" xfId="0" applyFont="1" applyFill="1" applyBorder="1" applyAlignment="1">
      <alignment horizontal="center"/>
    </xf>
    <xf numFmtId="164" fontId="21" fillId="2" borderId="9" xfId="0" applyNumberFormat="1" applyFont="1" applyFill="1" applyBorder="1" applyAlignment="1">
      <alignment horizontal="center"/>
    </xf>
    <xf numFmtId="164" fontId="21" fillId="2" borderId="11" xfId="0" applyNumberFormat="1" applyFont="1" applyFill="1" applyBorder="1" applyAlignment="1">
      <alignment horizontal="center"/>
    </xf>
    <xf numFmtId="0" fontId="6" fillId="2" borderId="1" xfId="0" applyFont="1" applyFill="1" applyBorder="1" applyAlignment="1">
      <alignment horizontal="center"/>
    </xf>
    <xf numFmtId="0" fontId="6" fillId="2" borderId="2" xfId="0" applyFont="1" applyFill="1" applyBorder="1" applyAlignment="1">
      <alignment horizontal="center"/>
    </xf>
    <xf numFmtId="0" fontId="6" fillId="2" borderId="3" xfId="0" applyFont="1" applyFill="1" applyBorder="1" applyAlignment="1">
      <alignment horizontal="center"/>
    </xf>
    <xf numFmtId="0" fontId="24" fillId="2" borderId="4" xfId="0" applyFont="1" applyFill="1" applyBorder="1" applyAlignment="1">
      <alignment horizontal="center"/>
    </xf>
    <xf numFmtId="0" fontId="24" fillId="2" borderId="0" xfId="0" applyFont="1" applyFill="1" applyAlignment="1">
      <alignment horizontal="center"/>
    </xf>
    <xf numFmtId="0" fontId="24" fillId="2" borderId="5" xfId="0" applyFont="1" applyFill="1" applyBorder="1" applyAlignment="1">
      <alignment horizontal="center"/>
    </xf>
    <xf numFmtId="0" fontId="6" fillId="2" borderId="10" xfId="0" applyFont="1" applyFill="1" applyBorder="1" applyAlignment="1">
      <alignment horizontal="left"/>
    </xf>
    <xf numFmtId="0" fontId="26" fillId="2" borderId="9" xfId="0" applyFont="1" applyFill="1" applyBorder="1" applyAlignment="1">
      <alignment horizontal="left"/>
    </xf>
    <xf numFmtId="0" fontId="26" fillId="2" borderId="10" xfId="0" applyFont="1" applyFill="1" applyBorder="1" applyAlignment="1">
      <alignment horizontal="left"/>
    </xf>
    <xf numFmtId="166" fontId="26" fillId="2" borderId="10" xfId="1" applyFont="1" applyFill="1" applyBorder="1" applyAlignment="1" applyProtection="1">
      <alignment horizontal="left"/>
    </xf>
    <xf numFmtId="166" fontId="26" fillId="2" borderId="11" xfId="1" applyFont="1" applyFill="1" applyBorder="1" applyAlignment="1" applyProtection="1">
      <alignment horizontal="left"/>
    </xf>
    <xf numFmtId="0" fontId="27" fillId="2" borderId="4" xfId="0" applyFont="1" applyFill="1" applyBorder="1" applyAlignment="1">
      <alignment horizontal="center"/>
    </xf>
    <xf numFmtId="0" fontId="27" fillId="2" borderId="0" xfId="0" applyFont="1" applyFill="1" applyAlignment="1">
      <alignment horizontal="center"/>
    </xf>
    <xf numFmtId="0" fontId="27" fillId="2" borderId="5" xfId="0" applyFont="1" applyFill="1" applyBorder="1" applyAlignment="1">
      <alignment horizontal="center"/>
    </xf>
    <xf numFmtId="0" fontId="6" fillId="2" borderId="4" xfId="0" applyFont="1" applyFill="1" applyBorder="1" applyAlignment="1">
      <alignment horizontal="center"/>
    </xf>
    <xf numFmtId="0" fontId="6" fillId="2" borderId="0" xfId="0" applyFont="1" applyFill="1" applyAlignment="1">
      <alignment horizontal="center"/>
    </xf>
    <xf numFmtId="0" fontId="31" fillId="2" borderId="0" xfId="0" applyFont="1" applyFill="1" applyAlignment="1">
      <alignment horizontal="right"/>
    </xf>
    <xf numFmtId="0" fontId="31" fillId="2" borderId="0" xfId="0" applyFont="1" applyFill="1" applyAlignment="1">
      <alignment horizontal="center"/>
    </xf>
    <xf numFmtId="0" fontId="28" fillId="2" borderId="0" xfId="0" applyFont="1" applyFill="1" applyAlignment="1">
      <alignment horizontal="center"/>
    </xf>
    <xf numFmtId="166" fontId="30" fillId="2" borderId="22" xfId="1" applyFont="1" applyFill="1" applyBorder="1" applyAlignment="1">
      <alignment horizontal="left"/>
    </xf>
    <xf numFmtId="166" fontId="30" fillId="2" borderId="23" xfId="1" applyFont="1" applyFill="1" applyBorder="1" applyAlignment="1">
      <alignment horizontal="left"/>
    </xf>
    <xf numFmtId="0" fontId="6" fillId="2" borderId="22" xfId="0" applyFont="1" applyFill="1" applyBorder="1" applyAlignment="1">
      <alignment horizontal="center"/>
    </xf>
    <xf numFmtId="0" fontId="31" fillId="2" borderId="0" xfId="0" applyFont="1" applyFill="1" applyAlignment="1">
      <alignment horizontal="left"/>
    </xf>
    <xf numFmtId="14" fontId="21" fillId="2" borderId="10" xfId="0" applyNumberFormat="1" applyFont="1" applyFill="1" applyBorder="1" applyAlignment="1">
      <alignment horizontal="center"/>
    </xf>
    <xf numFmtId="0" fontId="31" fillId="2" borderId="2" xfId="0" applyFont="1" applyFill="1" applyBorder="1" applyAlignment="1">
      <alignment horizontal="center"/>
    </xf>
    <xf numFmtId="0" fontId="31" fillId="2" borderId="3" xfId="0" applyFont="1" applyFill="1" applyBorder="1" applyAlignment="1">
      <alignment horizontal="center"/>
    </xf>
    <xf numFmtId="0" fontId="21" fillId="2" borderId="9" xfId="0" applyFont="1" applyFill="1" applyBorder="1" applyAlignment="1">
      <alignment horizontal="center"/>
    </xf>
    <xf numFmtId="0" fontId="21" fillId="2" borderId="10" xfId="0" applyFont="1" applyFill="1" applyBorder="1" applyAlignment="1">
      <alignment horizontal="center"/>
    </xf>
    <xf numFmtId="0" fontId="21" fillId="2" borderId="11" xfId="0" applyFont="1" applyFill="1" applyBorder="1" applyAlignment="1">
      <alignment horizontal="center"/>
    </xf>
    <xf numFmtId="0" fontId="21" fillId="2" borderId="9" xfId="1" applyNumberFormat="1" applyFont="1" applyFill="1" applyBorder="1" applyAlignment="1">
      <alignment horizontal="center"/>
    </xf>
    <xf numFmtId="0" fontId="21" fillId="2" borderId="11" xfId="1" applyNumberFormat="1" applyFont="1" applyFill="1" applyBorder="1" applyAlignment="1">
      <alignment horizontal="center"/>
    </xf>
    <xf numFmtId="0" fontId="17" fillId="2" borderId="9" xfId="1" applyNumberFormat="1" applyFont="1" applyFill="1" applyBorder="1" applyAlignment="1">
      <alignment horizontal="center"/>
    </xf>
    <xf numFmtId="0" fontId="17" fillId="2" borderId="10" xfId="1" applyNumberFormat="1" applyFont="1" applyFill="1" applyBorder="1" applyAlignment="1">
      <alignment horizontal="center"/>
    </xf>
    <xf numFmtId="0" fontId="17" fillId="2" borderId="11" xfId="1" applyNumberFormat="1" applyFont="1" applyFill="1" applyBorder="1" applyAlignment="1">
      <alignment horizontal="center"/>
    </xf>
    <xf numFmtId="168" fontId="21" fillId="2" borderId="9" xfId="0" applyNumberFormat="1" applyFont="1" applyFill="1" applyBorder="1" applyAlignment="1">
      <alignment horizontal="center"/>
    </xf>
    <xf numFmtId="168" fontId="21" fillId="2" borderId="10" xfId="0" applyNumberFormat="1" applyFont="1" applyFill="1" applyBorder="1" applyAlignment="1">
      <alignment horizontal="center"/>
    </xf>
    <xf numFmtId="168" fontId="21" fillId="2" borderId="11" xfId="0" applyNumberFormat="1" applyFont="1" applyFill="1" applyBorder="1" applyAlignment="1">
      <alignment horizontal="center"/>
    </xf>
    <xf numFmtId="1" fontId="21" fillId="2" borderId="9" xfId="0" applyNumberFormat="1" applyFont="1" applyFill="1" applyBorder="1" applyAlignment="1">
      <alignment horizontal="center"/>
    </xf>
    <xf numFmtId="1" fontId="21" fillId="2" borderId="10" xfId="0" applyNumberFormat="1" applyFont="1" applyFill="1" applyBorder="1" applyAlignment="1">
      <alignment horizontal="center"/>
    </xf>
    <xf numFmtId="1" fontId="21" fillId="2" borderId="11" xfId="0" applyNumberFormat="1" applyFont="1" applyFill="1" applyBorder="1" applyAlignment="1">
      <alignment horizontal="center"/>
    </xf>
    <xf numFmtId="0" fontId="31" fillId="2" borderId="21" xfId="0" applyFont="1" applyFill="1" applyBorder="1" applyAlignment="1">
      <alignment horizontal="center"/>
    </xf>
    <xf numFmtId="0" fontId="31" fillId="2" borderId="22" xfId="0" applyFont="1" applyFill="1" applyBorder="1" applyAlignment="1">
      <alignment horizontal="center"/>
    </xf>
    <xf numFmtId="0" fontId="31" fillId="2" borderId="23" xfId="0" applyFont="1" applyFill="1" applyBorder="1" applyAlignment="1">
      <alignment horizontal="center"/>
    </xf>
    <xf numFmtId="0" fontId="31" fillId="2" borderId="5" xfId="0" applyFont="1" applyFill="1" applyBorder="1" applyAlignment="1">
      <alignment horizontal="center"/>
    </xf>
    <xf numFmtId="0" fontId="31" fillId="2" borderId="9" xfId="0" applyFont="1" applyFill="1" applyBorder="1" applyAlignment="1">
      <alignment horizontal="center"/>
    </xf>
    <xf numFmtId="0" fontId="31" fillId="2" borderId="10" xfId="0" applyFont="1" applyFill="1" applyBorder="1" applyAlignment="1">
      <alignment horizontal="center"/>
    </xf>
    <xf numFmtId="0" fontId="31" fillId="2" borderId="11" xfId="0" applyFont="1" applyFill="1" applyBorder="1" applyAlignment="1">
      <alignment horizontal="center"/>
    </xf>
    <xf numFmtId="0" fontId="21" fillId="2" borderId="24" xfId="0" applyFont="1" applyFill="1" applyBorder="1" applyAlignment="1">
      <alignment horizontal="center"/>
    </xf>
    <xf numFmtId="1" fontId="21" fillId="2" borderId="24" xfId="0" applyNumberFormat="1" applyFont="1" applyFill="1" applyBorder="1" applyAlignment="1">
      <alignment horizontal="center"/>
    </xf>
    <xf numFmtId="0" fontId="14" fillId="2" borderId="2" xfId="4" applyFill="1" applyBorder="1" applyAlignment="1" applyProtection="1">
      <alignment horizontal="center" vertical="top"/>
      <protection hidden="1"/>
    </xf>
    <xf numFmtId="14" fontId="21" fillId="2" borderId="9" xfId="0" applyNumberFormat="1" applyFont="1" applyFill="1" applyBorder="1" applyAlignment="1">
      <alignment horizontal="center"/>
    </xf>
    <xf numFmtId="14" fontId="21" fillId="2" borderId="11" xfId="0" applyNumberFormat="1" applyFont="1" applyFill="1" applyBorder="1" applyAlignment="1">
      <alignment horizontal="center"/>
    </xf>
    <xf numFmtId="0" fontId="31" fillId="2" borderId="28" xfId="0" applyFont="1" applyFill="1" applyBorder="1" applyAlignment="1">
      <alignment horizontal="center" vertical="center"/>
    </xf>
    <xf numFmtId="0" fontId="6" fillId="2" borderId="9" xfId="0" applyFont="1" applyFill="1" applyBorder="1" applyAlignment="1">
      <alignment horizontal="center"/>
    </xf>
    <xf numFmtId="0" fontId="6" fillId="2" borderId="10" xfId="0" applyFont="1" applyFill="1" applyBorder="1" applyAlignment="1">
      <alignment horizontal="center"/>
    </xf>
    <xf numFmtId="0" fontId="6" fillId="2" borderId="11" xfId="0" applyFont="1" applyFill="1" applyBorder="1" applyAlignment="1">
      <alignment horizontal="center"/>
    </xf>
    <xf numFmtId="0" fontId="34" fillId="2" borderId="0" xfId="0" applyFont="1" applyFill="1" applyAlignment="1">
      <alignment horizontal="center"/>
    </xf>
    <xf numFmtId="0" fontId="29" fillId="2" borderId="17" xfId="0" applyFont="1" applyFill="1" applyBorder="1" applyAlignment="1">
      <alignment horizontal="right"/>
    </xf>
    <xf numFmtId="0" fontId="29" fillId="2" borderId="0" xfId="0" applyFont="1" applyFill="1" applyAlignment="1">
      <alignment horizontal="center"/>
    </xf>
    <xf numFmtId="0" fontId="37" fillId="2" borderId="21" xfId="4" applyFont="1" applyFill="1" applyBorder="1" applyAlignment="1" applyProtection="1">
      <alignment horizontal="center" vertical="center"/>
      <protection hidden="1"/>
    </xf>
    <xf numFmtId="0" fontId="37" fillId="2" borderId="22" xfId="4" applyFont="1" applyFill="1" applyBorder="1" applyAlignment="1" applyProtection="1">
      <alignment horizontal="center" vertical="center"/>
      <protection hidden="1"/>
    </xf>
    <xf numFmtId="0" fontId="37" fillId="2" borderId="23" xfId="4" applyFont="1" applyFill="1" applyBorder="1" applyAlignment="1" applyProtection="1">
      <alignment horizontal="center" vertical="center"/>
      <protection hidden="1"/>
    </xf>
    <xf numFmtId="0" fontId="37" fillId="2" borderId="1" xfId="4" applyFont="1" applyFill="1" applyBorder="1" applyAlignment="1" applyProtection="1">
      <alignment horizontal="center" vertical="center"/>
      <protection hidden="1"/>
    </xf>
    <xf numFmtId="0" fontId="37" fillId="2" borderId="2" xfId="4" applyFont="1" applyFill="1" applyBorder="1" applyAlignment="1" applyProtection="1">
      <alignment horizontal="center" vertical="center"/>
      <protection hidden="1"/>
    </xf>
    <xf numFmtId="0" fontId="37" fillId="2" borderId="3" xfId="4" applyFont="1" applyFill="1" applyBorder="1" applyAlignment="1" applyProtection="1">
      <alignment horizontal="center" vertical="center"/>
      <protection hidden="1"/>
    </xf>
    <xf numFmtId="0" fontId="26" fillId="2" borderId="1" xfId="0" applyFont="1" applyFill="1" applyBorder="1" applyAlignment="1">
      <alignment horizontal="center"/>
    </xf>
    <xf numFmtId="0" fontId="26" fillId="2" borderId="3" xfId="0" applyFont="1" applyFill="1" applyBorder="1" applyAlignment="1">
      <alignment horizontal="center"/>
    </xf>
    <xf numFmtId="0" fontId="37" fillId="2" borderId="1" xfId="4" applyFont="1" applyFill="1" applyBorder="1" applyAlignment="1" applyProtection="1">
      <alignment horizontal="center"/>
      <protection hidden="1"/>
    </xf>
    <xf numFmtId="0" fontId="37" fillId="2" borderId="2" xfId="4" applyFont="1" applyFill="1" applyBorder="1" applyAlignment="1" applyProtection="1">
      <alignment horizontal="center"/>
      <protection hidden="1"/>
    </xf>
    <xf numFmtId="0" fontId="37" fillId="2" borderId="3" xfId="4" applyFont="1" applyFill="1" applyBorder="1" applyAlignment="1" applyProtection="1">
      <alignment horizontal="center"/>
      <protection hidden="1"/>
    </xf>
    <xf numFmtId="0" fontId="26" fillId="2" borderId="4" xfId="0" applyFont="1" applyFill="1" applyBorder="1" applyAlignment="1">
      <alignment horizontal="center"/>
    </xf>
    <xf numFmtId="0" fontId="26" fillId="2" borderId="0" xfId="0" applyFont="1" applyFill="1" applyAlignment="1">
      <alignment horizontal="center"/>
    </xf>
    <xf numFmtId="0" fontId="26" fillId="2" borderId="5" xfId="0" applyFont="1" applyFill="1" applyBorder="1" applyAlignment="1">
      <alignment horizontal="center"/>
    </xf>
    <xf numFmtId="0" fontId="37" fillId="2" borderId="4" xfId="4" applyFont="1" applyFill="1" applyBorder="1" applyAlignment="1" applyProtection="1">
      <alignment horizontal="center" vertical="center"/>
      <protection hidden="1"/>
    </xf>
    <xf numFmtId="0" fontId="37" fillId="2" borderId="0" xfId="4" applyFont="1" applyFill="1" applyAlignment="1" applyProtection="1">
      <alignment horizontal="center" vertical="center"/>
      <protection hidden="1"/>
    </xf>
    <xf numFmtId="0" fontId="37" fillId="2" borderId="5" xfId="4" applyFont="1" applyFill="1" applyBorder="1" applyAlignment="1" applyProtection="1">
      <alignment horizontal="center" vertical="center"/>
      <protection hidden="1"/>
    </xf>
    <xf numFmtId="0" fontId="37" fillId="2" borderId="4" xfId="4" applyFont="1" applyFill="1" applyBorder="1" applyAlignment="1" applyProtection="1">
      <alignment horizontal="center"/>
      <protection hidden="1"/>
    </xf>
    <xf numFmtId="0" fontId="37" fillId="2" borderId="0" xfId="4" applyFont="1" applyFill="1" applyAlignment="1" applyProtection="1">
      <alignment horizontal="center"/>
      <protection hidden="1"/>
    </xf>
    <xf numFmtId="0" fontId="37" fillId="2" borderId="5" xfId="4" applyFont="1" applyFill="1" applyBorder="1" applyAlignment="1" applyProtection="1">
      <alignment horizontal="center"/>
      <protection hidden="1"/>
    </xf>
    <xf numFmtId="0" fontId="26" fillId="2" borderId="9" xfId="0" applyFont="1" applyFill="1" applyBorder="1" applyAlignment="1">
      <alignment horizontal="center"/>
    </xf>
    <xf numFmtId="0" fontId="26" fillId="2" borderId="11" xfId="0" applyFont="1" applyFill="1" applyBorder="1" applyAlignment="1">
      <alignment horizontal="center"/>
    </xf>
    <xf numFmtId="0" fontId="37" fillId="2" borderId="9" xfId="4" applyFont="1" applyFill="1" applyBorder="1" applyAlignment="1" applyProtection="1">
      <alignment horizontal="center"/>
      <protection hidden="1"/>
    </xf>
    <xf numFmtId="0" fontId="37" fillId="2" borderId="10" xfId="4" applyFont="1" applyFill="1" applyBorder="1" applyAlignment="1" applyProtection="1">
      <alignment horizontal="center"/>
      <protection hidden="1"/>
    </xf>
    <xf numFmtId="0" fontId="37" fillId="2" borderId="11" xfId="4" applyFont="1" applyFill="1" applyBorder="1" applyAlignment="1" applyProtection="1">
      <alignment horizontal="center"/>
      <protection hidden="1"/>
    </xf>
    <xf numFmtId="0" fontId="6" fillId="2" borderId="1" xfId="0" applyFont="1" applyFill="1" applyBorder="1" applyAlignment="1">
      <alignment horizontal="left" vertical="top" wrapText="1"/>
    </xf>
    <xf numFmtId="0" fontId="6" fillId="2" borderId="2" xfId="0" applyFont="1" applyFill="1" applyBorder="1" applyAlignment="1">
      <alignment horizontal="left" vertical="top" wrapText="1"/>
    </xf>
    <xf numFmtId="0" fontId="6" fillId="2" borderId="3" xfId="0" applyFont="1" applyFill="1" applyBorder="1" applyAlignment="1">
      <alignment horizontal="left" vertical="top" wrapText="1"/>
    </xf>
    <xf numFmtId="0" fontId="6" fillId="2" borderId="4" xfId="0" applyFont="1" applyFill="1" applyBorder="1" applyAlignment="1">
      <alignment horizontal="left" vertical="top" wrapText="1"/>
    </xf>
    <xf numFmtId="0" fontId="6" fillId="2" borderId="0" xfId="0" applyFont="1" applyFill="1" applyAlignment="1">
      <alignment horizontal="left" vertical="top" wrapText="1"/>
    </xf>
    <xf numFmtId="0" fontId="6" fillId="2" borderId="5" xfId="0" applyFont="1" applyFill="1" applyBorder="1" applyAlignment="1">
      <alignment horizontal="left" vertical="top" wrapText="1"/>
    </xf>
    <xf numFmtId="0" fontId="6" fillId="2" borderId="9" xfId="0" applyFont="1" applyFill="1" applyBorder="1" applyAlignment="1">
      <alignment horizontal="left" vertical="top" wrapText="1"/>
    </xf>
    <xf numFmtId="0" fontId="6" fillId="2" borderId="10" xfId="0" applyFont="1" applyFill="1" applyBorder="1" applyAlignment="1">
      <alignment horizontal="left" vertical="top" wrapText="1"/>
    </xf>
    <xf numFmtId="0" fontId="6" fillId="2" borderId="11" xfId="0" applyFont="1" applyFill="1" applyBorder="1" applyAlignment="1">
      <alignment horizontal="left" vertical="top" wrapText="1"/>
    </xf>
    <xf numFmtId="3" fontId="6" fillId="2" borderId="1" xfId="0" applyNumberFormat="1" applyFont="1" applyFill="1" applyBorder="1" applyAlignment="1">
      <alignment horizontal="center"/>
    </xf>
    <xf numFmtId="170" fontId="6" fillId="2" borderId="4" xfId="1" applyNumberFormat="1" applyFont="1" applyFill="1" applyBorder="1" applyAlignment="1">
      <alignment horizontal="center"/>
    </xf>
    <xf numFmtId="170" fontId="6" fillId="2" borderId="5" xfId="1" applyNumberFormat="1" applyFont="1" applyFill="1" applyBorder="1" applyAlignment="1">
      <alignment horizontal="center"/>
    </xf>
    <xf numFmtId="10" fontId="6" fillId="2" borderId="4" xfId="2" applyNumberFormat="1" applyFont="1" applyFill="1" applyBorder="1" applyAlignment="1">
      <alignment horizontal="center"/>
    </xf>
    <xf numFmtId="10" fontId="6" fillId="2" borderId="0" xfId="2" applyNumberFormat="1" applyFont="1" applyFill="1" applyBorder="1" applyAlignment="1">
      <alignment horizontal="center"/>
    </xf>
    <xf numFmtId="10" fontId="6" fillId="2" borderId="5" xfId="2" applyNumberFormat="1" applyFont="1" applyFill="1" applyBorder="1" applyAlignment="1">
      <alignment horizontal="center"/>
    </xf>
    <xf numFmtId="3" fontId="6" fillId="2" borderId="9" xfId="0" applyNumberFormat="1" applyFont="1" applyFill="1" applyBorder="1" applyAlignment="1">
      <alignment horizontal="center"/>
    </xf>
    <xf numFmtId="10" fontId="6" fillId="2" borderId="0" xfId="2" applyNumberFormat="1" applyFont="1" applyFill="1" applyAlignment="1">
      <alignment horizontal="center"/>
    </xf>
    <xf numFmtId="0" fontId="6" fillId="2" borderId="21" xfId="0" applyFont="1" applyFill="1" applyBorder="1" applyAlignment="1">
      <alignment horizontal="left" vertical="center"/>
    </xf>
    <xf numFmtId="0" fontId="6" fillId="2" borderId="22" xfId="0" applyFont="1" applyFill="1" applyBorder="1" applyAlignment="1">
      <alignment horizontal="left" vertical="center"/>
    </xf>
    <xf numFmtId="0" fontId="6" fillId="2" borderId="23" xfId="0" applyFont="1" applyFill="1" applyBorder="1" applyAlignment="1">
      <alignment horizontal="left" vertical="center"/>
    </xf>
    <xf numFmtId="170" fontId="6" fillId="2" borderId="21" xfId="1" applyNumberFormat="1" applyFont="1" applyFill="1" applyBorder="1" applyAlignment="1">
      <alignment horizontal="center" vertical="center"/>
    </xf>
    <xf numFmtId="170" fontId="6" fillId="2" borderId="23" xfId="1" applyNumberFormat="1" applyFont="1" applyFill="1" applyBorder="1" applyAlignment="1">
      <alignment horizontal="center" vertical="center"/>
    </xf>
    <xf numFmtId="10" fontId="6" fillId="2" borderId="21" xfId="0" applyNumberFormat="1" applyFont="1" applyFill="1" applyBorder="1" applyAlignment="1">
      <alignment horizontal="center"/>
    </xf>
    <xf numFmtId="0" fontId="6" fillId="2" borderId="23" xfId="0" applyFont="1" applyFill="1" applyBorder="1" applyAlignment="1">
      <alignment horizontal="center"/>
    </xf>
    <xf numFmtId="0" fontId="26" fillId="2" borderId="21" xfId="0" applyFont="1" applyFill="1" applyBorder="1" applyAlignment="1">
      <alignment horizontal="left" vertical="center"/>
    </xf>
    <xf numFmtId="0" fontId="26" fillId="2" borderId="22" xfId="0" applyFont="1" applyFill="1" applyBorder="1" applyAlignment="1">
      <alignment horizontal="left" vertical="center"/>
    </xf>
    <xf numFmtId="0" fontId="26" fillId="2" borderId="23" xfId="0" applyFont="1" applyFill="1" applyBorder="1" applyAlignment="1">
      <alignment horizontal="left" vertical="center"/>
    </xf>
    <xf numFmtId="10" fontId="6" fillId="2" borderId="21" xfId="2" applyNumberFormat="1" applyFont="1" applyFill="1" applyBorder="1" applyAlignment="1">
      <alignment horizontal="center"/>
    </xf>
    <xf numFmtId="10" fontId="6" fillId="2" borderId="22" xfId="2" applyNumberFormat="1" applyFont="1" applyFill="1" applyBorder="1" applyAlignment="1">
      <alignment horizontal="center"/>
    </xf>
    <xf numFmtId="10" fontId="6" fillId="2" borderId="23" xfId="2" applyNumberFormat="1" applyFont="1" applyFill="1" applyBorder="1" applyAlignment="1">
      <alignment horizontal="center"/>
    </xf>
    <xf numFmtId="0" fontId="15" fillId="2" borderId="0" xfId="4" applyFont="1" applyFill="1" applyAlignment="1" applyProtection="1">
      <alignment horizontal="center"/>
      <protection hidden="1"/>
    </xf>
    <xf numFmtId="0" fontId="17" fillId="2" borderId="0" xfId="4" applyFont="1" applyFill="1" applyAlignment="1" applyProtection="1">
      <alignment horizontal="center"/>
      <protection hidden="1"/>
    </xf>
    <xf numFmtId="0" fontId="17" fillId="2" borderId="0" xfId="3" applyFont="1" applyFill="1" applyAlignment="1" applyProtection="1">
      <alignment horizontal="center"/>
      <protection hidden="1"/>
    </xf>
    <xf numFmtId="0" fontId="17" fillId="4" borderId="1" xfId="3" applyFont="1" applyFill="1" applyBorder="1" applyAlignment="1" applyProtection="1">
      <alignment horizontal="center" vertical="center"/>
      <protection hidden="1"/>
    </xf>
    <xf numFmtId="0" fontId="17" fillId="4" borderId="3" xfId="3" applyFont="1" applyFill="1" applyBorder="1" applyAlignment="1" applyProtection="1">
      <alignment horizontal="center" vertical="center"/>
      <protection hidden="1"/>
    </xf>
    <xf numFmtId="0" fontId="17" fillId="4" borderId="9" xfId="3" applyFont="1" applyFill="1" applyBorder="1" applyAlignment="1" applyProtection="1">
      <alignment horizontal="center" vertical="center"/>
      <protection hidden="1"/>
    </xf>
    <xf numFmtId="0" fontId="17" fillId="4" borderId="11" xfId="3" applyFont="1" applyFill="1" applyBorder="1" applyAlignment="1" applyProtection="1">
      <alignment horizontal="center" vertical="center"/>
      <protection hidden="1"/>
    </xf>
    <xf numFmtId="0" fontId="17" fillId="4" borderId="29" xfId="3" applyFont="1" applyFill="1" applyBorder="1" applyAlignment="1" applyProtection="1">
      <alignment horizontal="center" wrapText="1"/>
      <protection hidden="1"/>
    </xf>
    <xf numFmtId="0" fontId="17" fillId="4" borderId="19" xfId="3" applyFont="1" applyFill="1" applyBorder="1" applyAlignment="1" applyProtection="1">
      <alignment horizontal="center" wrapText="1"/>
      <protection hidden="1"/>
    </xf>
    <xf numFmtId="2" fontId="14" fillId="2" borderId="33" xfId="3" applyNumberFormat="1" applyFill="1" applyBorder="1" applyAlignment="1" applyProtection="1">
      <alignment horizontal="left"/>
      <protection locked="0"/>
    </xf>
    <xf numFmtId="2" fontId="14" fillId="2" borderId="34" xfId="3" applyNumberFormat="1" applyFill="1" applyBorder="1" applyAlignment="1" applyProtection="1">
      <alignment horizontal="left"/>
      <protection locked="0"/>
    </xf>
    <xf numFmtId="2" fontId="14" fillId="2" borderId="30" xfId="3" applyNumberFormat="1" applyFill="1" applyBorder="1" applyAlignment="1" applyProtection="1">
      <alignment horizontal="left"/>
      <protection locked="0"/>
    </xf>
    <xf numFmtId="2" fontId="14" fillId="2" borderId="31" xfId="3" applyNumberFormat="1" applyFill="1" applyBorder="1" applyAlignment="1" applyProtection="1">
      <alignment horizontal="left"/>
      <protection locked="0"/>
    </xf>
    <xf numFmtId="0" fontId="17" fillId="4" borderId="2" xfId="3" applyFont="1" applyFill="1" applyBorder="1" applyAlignment="1" applyProtection="1">
      <alignment horizontal="center" vertical="center"/>
      <protection hidden="1"/>
    </xf>
    <xf numFmtId="0" fontId="17" fillId="4" borderId="10" xfId="3" applyFont="1" applyFill="1" applyBorder="1" applyAlignment="1" applyProtection="1">
      <alignment horizontal="center" vertical="center"/>
      <protection hidden="1"/>
    </xf>
    <xf numFmtId="0" fontId="17" fillId="4" borderId="21" xfId="3" applyFont="1" applyFill="1" applyBorder="1" applyAlignment="1" applyProtection="1">
      <alignment horizontal="center"/>
      <protection hidden="1"/>
    </xf>
    <xf numFmtId="0" fontId="17" fillId="4" borderId="23" xfId="3" applyFont="1" applyFill="1" applyBorder="1" applyAlignment="1" applyProtection="1">
      <alignment horizontal="center"/>
      <protection hidden="1"/>
    </xf>
    <xf numFmtId="0" fontId="14" fillId="2" borderId="33" xfId="3" applyFill="1" applyBorder="1" applyAlignment="1" applyProtection="1">
      <alignment horizontal="left"/>
      <protection locked="0"/>
    </xf>
    <xf numFmtId="0" fontId="14" fillId="2" borderId="34" xfId="3" applyFill="1" applyBorder="1" applyAlignment="1" applyProtection="1">
      <alignment horizontal="left"/>
      <protection locked="0"/>
    </xf>
    <xf numFmtId="0" fontId="14" fillId="2" borderId="38" xfId="3" applyFill="1" applyBorder="1" applyAlignment="1" applyProtection="1">
      <alignment horizontal="left"/>
      <protection locked="0"/>
    </xf>
    <xf numFmtId="0" fontId="14" fillId="2" borderId="33" xfId="3" applyFill="1" applyBorder="1" applyAlignment="1" applyProtection="1">
      <alignment horizontal="left" vertical="center"/>
      <protection locked="0"/>
    </xf>
    <xf numFmtId="0" fontId="14" fillId="2" borderId="38" xfId="3" applyFill="1" applyBorder="1" applyAlignment="1" applyProtection="1">
      <alignment horizontal="left" vertical="center"/>
      <protection locked="0"/>
    </xf>
    <xf numFmtId="0" fontId="14" fillId="2" borderId="34" xfId="3" applyFill="1" applyBorder="1" applyAlignment="1" applyProtection="1">
      <alignment horizontal="left" vertical="center"/>
      <protection locked="0"/>
    </xf>
    <xf numFmtId="0" fontId="17" fillId="4" borderId="22" xfId="3" applyFont="1" applyFill="1" applyBorder="1" applyAlignment="1" applyProtection="1">
      <alignment horizontal="center"/>
      <protection hidden="1"/>
    </xf>
    <xf numFmtId="0" fontId="14" fillId="2" borderId="39" xfId="3" applyFill="1" applyBorder="1" applyAlignment="1" applyProtection="1">
      <alignment horizontal="left"/>
      <protection locked="0"/>
    </xf>
    <xf numFmtId="0" fontId="14" fillId="2" borderId="40" xfId="3" applyFill="1" applyBorder="1" applyAlignment="1" applyProtection="1">
      <alignment horizontal="left"/>
      <protection locked="0"/>
    </xf>
    <xf numFmtId="0" fontId="14" fillId="4" borderId="21" xfId="3" applyFill="1" applyBorder="1" applyAlignment="1" applyProtection="1">
      <alignment horizontal="center"/>
      <protection hidden="1"/>
    </xf>
    <xf numFmtId="0" fontId="14" fillId="4" borderId="23" xfId="3" applyFill="1" applyBorder="1" applyAlignment="1" applyProtection="1">
      <alignment horizontal="center"/>
      <protection hidden="1"/>
    </xf>
    <xf numFmtId="0" fontId="14" fillId="2" borderId="30" xfId="3" applyFill="1" applyBorder="1" applyAlignment="1" applyProtection="1">
      <alignment horizontal="left"/>
      <protection locked="0"/>
    </xf>
    <xf numFmtId="0" fontId="14" fillId="2" borderId="35" xfId="3" applyFill="1" applyBorder="1" applyAlignment="1" applyProtection="1">
      <alignment horizontal="left"/>
      <protection locked="0"/>
    </xf>
    <xf numFmtId="0" fontId="14" fillId="2" borderId="31" xfId="3" applyFill="1" applyBorder="1" applyAlignment="1" applyProtection="1">
      <alignment horizontal="left"/>
      <protection locked="0"/>
    </xf>
    <xf numFmtId="0" fontId="14" fillId="2" borderId="39" xfId="3" applyFill="1" applyBorder="1" applyAlignment="1" applyProtection="1">
      <alignment horizontal="left" vertical="center"/>
      <protection locked="0"/>
    </xf>
    <xf numFmtId="0" fontId="14" fillId="2" borderId="41" xfId="3" applyFill="1" applyBorder="1" applyAlignment="1" applyProtection="1">
      <alignment horizontal="left" vertical="center"/>
      <protection locked="0"/>
    </xf>
    <xf numFmtId="0" fontId="14" fillId="2" borderId="40" xfId="3" applyFill="1" applyBorder="1" applyAlignment="1" applyProtection="1">
      <alignment horizontal="left" vertical="center"/>
      <protection locked="0"/>
    </xf>
    <xf numFmtId="0" fontId="6" fillId="4" borderId="24" xfId="0" applyFont="1" applyFill="1" applyBorder="1" applyAlignment="1">
      <alignment horizontal="center" vertical="center"/>
    </xf>
    <xf numFmtId="0" fontId="39" fillId="0" borderId="42" xfId="0" applyFont="1" applyBorder="1" applyAlignment="1">
      <alignment horizontal="center" vertical="center" wrapText="1"/>
    </xf>
    <xf numFmtId="0" fontId="31" fillId="0" borderId="43" xfId="0" applyFont="1" applyBorder="1" applyAlignment="1">
      <alignment horizontal="center" vertical="center" wrapText="1"/>
    </xf>
    <xf numFmtId="0" fontId="31" fillId="0" borderId="44" xfId="0" applyFont="1" applyBorder="1" applyAlignment="1">
      <alignment horizontal="center" vertical="center" wrapText="1"/>
    </xf>
    <xf numFmtId="0" fontId="31" fillId="0" borderId="45" xfId="0" applyFont="1" applyBorder="1" applyAlignment="1">
      <alignment horizontal="center" vertical="center" wrapText="1"/>
    </xf>
    <xf numFmtId="0" fontId="21" fillId="2" borderId="17" xfId="0" applyFont="1" applyFill="1" applyBorder="1" applyAlignment="1">
      <alignment horizontal="right"/>
    </xf>
    <xf numFmtId="0" fontId="17" fillId="2" borderId="0" xfId="0" applyFont="1" applyFill="1" applyAlignment="1">
      <alignment horizontal="center"/>
    </xf>
    <xf numFmtId="0" fontId="6" fillId="4" borderId="29" xfId="0" applyFont="1" applyFill="1" applyBorder="1" applyAlignment="1">
      <alignment horizontal="center" vertical="center"/>
    </xf>
    <xf numFmtId="0" fontId="6" fillId="4" borderId="20" xfId="0" applyFont="1" applyFill="1" applyBorder="1" applyAlignment="1">
      <alignment horizontal="center" vertical="center"/>
    </xf>
    <xf numFmtId="0" fontId="6" fillId="4" borderId="19" xfId="0" applyFont="1" applyFill="1" applyBorder="1" applyAlignment="1">
      <alignment horizontal="center" vertical="center"/>
    </xf>
    <xf numFmtId="0" fontId="6" fillId="4" borderId="1" xfId="0" applyFont="1" applyFill="1" applyBorder="1" applyAlignment="1">
      <alignment horizontal="center" vertical="center"/>
    </xf>
    <xf numFmtId="0" fontId="6" fillId="4" borderId="2" xfId="0" applyFont="1" applyFill="1" applyBorder="1" applyAlignment="1">
      <alignment horizontal="center" vertical="center"/>
    </xf>
    <xf numFmtId="0" fontId="6" fillId="4" borderId="3" xfId="0" applyFont="1" applyFill="1" applyBorder="1" applyAlignment="1">
      <alignment horizontal="center" vertical="center"/>
    </xf>
    <xf numFmtId="0" fontId="6" fillId="4" borderId="4" xfId="0" applyFont="1" applyFill="1" applyBorder="1" applyAlignment="1">
      <alignment horizontal="center" vertical="center"/>
    </xf>
    <xf numFmtId="0" fontId="6" fillId="4" borderId="0" xfId="0" applyFont="1" applyFill="1" applyAlignment="1">
      <alignment horizontal="center" vertical="center"/>
    </xf>
    <xf numFmtId="0" fontId="6" fillId="4" borderId="5" xfId="0" applyFont="1" applyFill="1" applyBorder="1" applyAlignment="1">
      <alignment horizontal="center" vertical="center"/>
    </xf>
    <xf numFmtId="0" fontId="6" fillId="4" borderId="9" xfId="0" applyFont="1" applyFill="1" applyBorder="1" applyAlignment="1">
      <alignment horizontal="center" vertical="center"/>
    </xf>
    <xf numFmtId="0" fontId="6" fillId="4" borderId="10" xfId="0" applyFont="1" applyFill="1" applyBorder="1" applyAlignment="1">
      <alignment horizontal="center" vertical="center"/>
    </xf>
    <xf numFmtId="0" fontId="6" fillId="4" borderId="11" xfId="0" applyFont="1" applyFill="1" applyBorder="1" applyAlignment="1">
      <alignment horizontal="center" vertical="center"/>
    </xf>
    <xf numFmtId="0" fontId="6" fillId="4" borderId="21" xfId="0" applyFont="1" applyFill="1" applyBorder="1" applyAlignment="1">
      <alignment horizontal="center"/>
    </xf>
    <xf numFmtId="0" fontId="6" fillId="4" borderId="22" xfId="0" applyFont="1" applyFill="1" applyBorder="1" applyAlignment="1">
      <alignment horizontal="center"/>
    </xf>
    <xf numFmtId="0" fontId="6" fillId="4" borderId="23" xfId="0" applyFont="1" applyFill="1" applyBorder="1" applyAlignment="1">
      <alignment horizontal="center"/>
    </xf>
    <xf numFmtId="0" fontId="6" fillId="4" borderId="24" xfId="0" applyFont="1" applyFill="1" applyBorder="1" applyAlignment="1">
      <alignment horizontal="center" wrapText="1"/>
    </xf>
    <xf numFmtId="0" fontId="21" fillId="4" borderId="29" xfId="0" applyFont="1" applyFill="1" applyBorder="1" applyAlignment="1">
      <alignment horizontal="center" vertical="center"/>
    </xf>
    <xf numFmtId="0" fontId="21" fillId="4" borderId="20" xfId="0" applyFont="1" applyFill="1" applyBorder="1" applyAlignment="1">
      <alignment horizontal="center" vertical="center"/>
    </xf>
    <xf numFmtId="0" fontId="21" fillId="4" borderId="19" xfId="0" applyFont="1" applyFill="1" applyBorder="1" applyAlignment="1">
      <alignment horizontal="center" vertical="center"/>
    </xf>
    <xf numFmtId="0" fontId="21" fillId="4" borderId="1" xfId="0" applyFont="1" applyFill="1" applyBorder="1" applyAlignment="1">
      <alignment horizontal="center" vertical="center"/>
    </xf>
    <xf numFmtId="0" fontId="21" fillId="4" borderId="2" xfId="0" applyFont="1" applyFill="1" applyBorder="1" applyAlignment="1">
      <alignment horizontal="center" vertical="center"/>
    </xf>
    <xf numFmtId="0" fontId="21" fillId="4" borderId="3" xfId="0" applyFont="1" applyFill="1" applyBorder="1" applyAlignment="1">
      <alignment horizontal="center" vertical="center"/>
    </xf>
    <xf numFmtId="0" fontId="21" fillId="4" borderId="4" xfId="0" applyFont="1" applyFill="1" applyBorder="1" applyAlignment="1">
      <alignment horizontal="center" vertical="center"/>
    </xf>
    <xf numFmtId="0" fontId="21" fillId="4" borderId="0" xfId="0" applyFont="1" applyFill="1" applyAlignment="1">
      <alignment horizontal="center" vertical="center"/>
    </xf>
    <xf numFmtId="0" fontId="21" fillId="4" borderId="5" xfId="0" applyFont="1" applyFill="1" applyBorder="1" applyAlignment="1">
      <alignment horizontal="center" vertical="center"/>
    </xf>
    <xf numFmtId="0" fontId="21" fillId="4" borderId="9" xfId="0" applyFont="1" applyFill="1" applyBorder="1" applyAlignment="1">
      <alignment horizontal="center" vertical="center"/>
    </xf>
    <xf numFmtId="0" fontId="21" fillId="4" borderId="10" xfId="0" applyFont="1" applyFill="1" applyBorder="1" applyAlignment="1">
      <alignment horizontal="center" vertical="center"/>
    </xf>
    <xf numFmtId="0" fontId="21" fillId="4" borderId="11" xfId="0" applyFont="1" applyFill="1" applyBorder="1" applyAlignment="1">
      <alignment horizontal="center" vertical="center"/>
    </xf>
    <xf numFmtId="0" fontId="5" fillId="4" borderId="29" xfId="0" applyFont="1" applyFill="1" applyBorder="1" applyAlignment="1">
      <alignment horizontal="center" vertical="center"/>
    </xf>
    <xf numFmtId="0" fontId="5" fillId="4" borderId="20" xfId="0" applyFont="1" applyFill="1" applyBorder="1" applyAlignment="1">
      <alignment horizontal="center" vertical="center"/>
    </xf>
    <xf numFmtId="0" fontId="5" fillId="4" borderId="19" xfId="0" applyFont="1" applyFill="1" applyBorder="1" applyAlignment="1">
      <alignment horizontal="center" vertical="center"/>
    </xf>
    <xf numFmtId="0" fontId="95" fillId="4" borderId="29" xfId="0" applyFont="1" applyFill="1" applyBorder="1" applyAlignment="1">
      <alignment horizontal="center"/>
    </xf>
    <xf numFmtId="0" fontId="95" fillId="4" borderId="20" xfId="0" applyFont="1" applyFill="1" applyBorder="1" applyAlignment="1">
      <alignment horizontal="center"/>
    </xf>
    <xf numFmtId="0" fontId="30" fillId="2" borderId="0" xfId="0" applyFont="1" applyFill="1" applyAlignment="1">
      <alignment horizontal="center"/>
    </xf>
    <xf numFmtId="169" fontId="47" fillId="2" borderId="0" xfId="0" applyNumberFormat="1" applyFont="1" applyFill="1" applyAlignment="1" applyProtection="1">
      <alignment horizontal="left"/>
      <protection hidden="1"/>
    </xf>
    <xf numFmtId="0" fontId="46" fillId="2" borderId="17" xfId="0" applyFont="1" applyFill="1" applyBorder="1" applyAlignment="1">
      <alignment horizontal="right" vertical="center"/>
    </xf>
    <xf numFmtId="0" fontId="16" fillId="2" borderId="0" xfId="0" applyFont="1" applyFill="1" applyAlignment="1">
      <alignment horizontal="center"/>
    </xf>
    <xf numFmtId="0" fontId="39" fillId="0" borderId="58" xfId="0" applyFont="1" applyBorder="1" applyAlignment="1">
      <alignment horizontal="center" vertical="center" wrapText="1"/>
    </xf>
    <xf numFmtId="0" fontId="31" fillId="0" borderId="59" xfId="0" applyFont="1" applyBorder="1" applyAlignment="1">
      <alignment horizontal="center" vertical="center" wrapText="1"/>
    </xf>
    <xf numFmtId="0" fontId="15" fillId="0" borderId="61" xfId="0" applyFont="1" applyBorder="1" applyAlignment="1">
      <alignment horizontal="center" vertical="center"/>
    </xf>
    <xf numFmtId="0" fontId="50" fillId="4" borderId="62" xfId="0" applyFont="1" applyFill="1" applyBorder="1" applyAlignment="1">
      <alignment horizontal="center" vertical="center" wrapText="1"/>
    </xf>
    <xf numFmtId="0" fontId="50" fillId="4" borderId="66" xfId="0" applyFont="1" applyFill="1" applyBorder="1" applyAlignment="1">
      <alignment horizontal="center" vertical="center" wrapText="1"/>
    </xf>
    <xf numFmtId="0" fontId="50" fillId="4" borderId="70" xfId="0" applyFont="1" applyFill="1" applyBorder="1" applyAlignment="1">
      <alignment horizontal="center" vertical="center" wrapText="1"/>
    </xf>
    <xf numFmtId="0" fontId="53" fillId="4" borderId="63" xfId="0" applyFont="1" applyFill="1" applyBorder="1" applyAlignment="1">
      <alignment horizontal="center" vertical="center" wrapText="1"/>
    </xf>
    <xf numFmtId="0" fontId="53" fillId="4" borderId="64" xfId="0" applyFont="1" applyFill="1" applyBorder="1" applyAlignment="1">
      <alignment horizontal="center" vertical="center" wrapText="1"/>
    </xf>
    <xf numFmtId="0" fontId="53" fillId="4" borderId="65" xfId="0" applyFont="1" applyFill="1" applyBorder="1" applyAlignment="1">
      <alignment horizontal="center" vertical="center" wrapText="1"/>
    </xf>
    <xf numFmtId="0" fontId="53" fillId="4" borderId="51" xfId="0" applyFont="1" applyFill="1" applyBorder="1" applyAlignment="1">
      <alignment horizontal="center" vertical="center" wrapText="1"/>
    </xf>
    <xf numFmtId="0" fontId="53" fillId="4" borderId="0" xfId="0" applyFont="1" applyFill="1" applyAlignment="1">
      <alignment horizontal="center" vertical="center" wrapText="1"/>
    </xf>
    <xf numFmtId="0" fontId="53" fillId="4" borderId="67" xfId="0" applyFont="1" applyFill="1" applyBorder="1" applyAlignment="1">
      <alignment horizontal="center" vertical="center" wrapText="1"/>
    </xf>
    <xf numFmtId="0" fontId="53" fillId="4" borderId="68" xfId="0" applyFont="1" applyFill="1" applyBorder="1" applyAlignment="1">
      <alignment horizontal="center" vertical="center" wrapText="1"/>
    </xf>
    <xf numFmtId="0" fontId="53" fillId="4" borderId="61" xfId="0" applyFont="1" applyFill="1" applyBorder="1" applyAlignment="1">
      <alignment horizontal="center" vertical="center" wrapText="1"/>
    </xf>
    <xf numFmtId="0" fontId="53" fillId="4" borderId="69" xfId="0" applyFont="1" applyFill="1" applyBorder="1" applyAlignment="1">
      <alignment horizontal="center" vertical="center" wrapText="1"/>
    </xf>
    <xf numFmtId="0" fontId="53" fillId="4" borderId="62" xfId="0" applyFont="1" applyFill="1" applyBorder="1" applyAlignment="1">
      <alignment horizontal="center" vertical="center" wrapText="1"/>
    </xf>
    <xf numFmtId="0" fontId="53" fillId="4" borderId="66" xfId="0" applyFont="1" applyFill="1" applyBorder="1" applyAlignment="1">
      <alignment horizontal="center" vertical="center" wrapText="1"/>
    </xf>
    <xf numFmtId="0" fontId="53" fillId="4" borderId="70" xfId="0" applyFont="1" applyFill="1" applyBorder="1" applyAlignment="1">
      <alignment horizontal="center" vertical="center" wrapText="1"/>
    </xf>
    <xf numFmtId="0" fontId="31" fillId="0" borderId="51" xfId="0" applyFont="1" applyBorder="1" applyAlignment="1">
      <alignment horizontal="left" vertical="center" wrapText="1" indent="1"/>
    </xf>
    <xf numFmtId="0" fontId="31" fillId="0" borderId="0" xfId="0" applyFont="1" applyAlignment="1">
      <alignment horizontal="left" vertical="center" wrapText="1" indent="1"/>
    </xf>
    <xf numFmtId="0" fontId="31" fillId="0" borderId="67" xfId="0" applyFont="1" applyBorder="1" applyAlignment="1">
      <alignment horizontal="left" vertical="center" wrapText="1" indent="1"/>
    </xf>
    <xf numFmtId="0" fontId="53" fillId="6" borderId="72" xfId="0" applyFont="1" applyFill="1" applyBorder="1" applyAlignment="1">
      <alignment horizontal="left" vertical="center" wrapText="1" indent="1"/>
    </xf>
    <xf numFmtId="0" fontId="53" fillId="6" borderId="73" xfId="0" applyFont="1" applyFill="1" applyBorder="1" applyAlignment="1">
      <alignment horizontal="left" vertical="center" wrapText="1" indent="1"/>
    </xf>
    <xf numFmtId="0" fontId="53" fillId="6" borderId="74" xfId="0" applyFont="1" applyFill="1" applyBorder="1" applyAlignment="1">
      <alignment horizontal="left" vertical="center" wrapText="1" indent="1"/>
    </xf>
    <xf numFmtId="0" fontId="53" fillId="0" borderId="51" xfId="0" applyFont="1" applyBorder="1" applyAlignment="1">
      <alignment horizontal="left" vertical="center" wrapText="1" indent="1"/>
    </xf>
    <xf numFmtId="0" fontId="53" fillId="0" borderId="0" xfId="0" applyFont="1" applyAlignment="1">
      <alignment horizontal="left" vertical="center" wrapText="1" indent="1"/>
    </xf>
    <xf numFmtId="0" fontId="53" fillId="0" borderId="67" xfId="0" applyFont="1" applyBorder="1" applyAlignment="1">
      <alignment horizontal="left" vertical="center" wrapText="1" indent="1"/>
    </xf>
    <xf numFmtId="0" fontId="31" fillId="0" borderId="62" xfId="0" applyFont="1" applyBorder="1" applyAlignment="1">
      <alignment horizontal="left" vertical="center" wrapText="1"/>
    </xf>
    <xf numFmtId="0" fontId="31" fillId="0" borderId="70" xfId="0" applyFont="1" applyBorder="1" applyAlignment="1">
      <alignment horizontal="left" vertical="center" wrapText="1"/>
    </xf>
    <xf numFmtId="0" fontId="31" fillId="0" borderId="62" xfId="0" applyFont="1" applyBorder="1" applyAlignment="1">
      <alignment horizontal="center" vertical="center" wrapText="1"/>
    </xf>
    <xf numFmtId="0" fontId="31" fillId="0" borderId="70" xfId="0" applyFont="1" applyBorder="1" applyAlignment="1">
      <alignment horizontal="center" vertical="center" wrapText="1"/>
    </xf>
    <xf numFmtId="3" fontId="31" fillId="0" borderId="71" xfId="0" applyNumberFormat="1" applyFont="1" applyBorder="1" applyAlignment="1">
      <alignment horizontal="right" vertical="center" wrapText="1"/>
    </xf>
    <xf numFmtId="0" fontId="6" fillId="2" borderId="15" xfId="0" applyFont="1" applyFill="1" applyBorder="1" applyAlignment="1">
      <alignment horizontal="center"/>
    </xf>
    <xf numFmtId="0" fontId="15" fillId="2" borderId="0" xfId="0" applyFont="1" applyFill="1" applyAlignment="1">
      <alignment horizontal="center"/>
    </xf>
    <xf numFmtId="0" fontId="53" fillId="4" borderId="29" xfId="0" applyFont="1" applyFill="1" applyBorder="1" applyAlignment="1">
      <alignment horizontal="center" vertical="center"/>
    </xf>
    <xf numFmtId="0" fontId="53" fillId="4" borderId="20" xfId="0" applyFont="1" applyFill="1" applyBorder="1" applyAlignment="1">
      <alignment horizontal="center" vertical="center"/>
    </xf>
    <xf numFmtId="0" fontId="53" fillId="4" borderId="19" xfId="0" applyFont="1" applyFill="1" applyBorder="1" applyAlignment="1">
      <alignment horizontal="center" vertical="center"/>
    </xf>
    <xf numFmtId="0" fontId="53" fillId="4" borderId="1" xfId="0" applyFont="1" applyFill="1" applyBorder="1" applyAlignment="1">
      <alignment horizontal="center" vertical="center"/>
    </xf>
    <xf numFmtId="0" fontId="53" fillId="4" borderId="2" xfId="0" applyFont="1" applyFill="1" applyBorder="1" applyAlignment="1">
      <alignment horizontal="center" vertical="center"/>
    </xf>
    <xf numFmtId="0" fontId="53" fillId="4" borderId="3" xfId="0" applyFont="1" applyFill="1" applyBorder="1" applyAlignment="1">
      <alignment horizontal="center" vertical="center"/>
    </xf>
    <xf numFmtId="0" fontId="53" fillId="4" borderId="4" xfId="0" applyFont="1" applyFill="1" applyBorder="1" applyAlignment="1">
      <alignment horizontal="center" vertical="center"/>
    </xf>
    <xf numFmtId="0" fontId="53" fillId="4" borderId="0" xfId="0" applyFont="1" applyFill="1" applyAlignment="1">
      <alignment horizontal="center" vertical="center"/>
    </xf>
    <xf numFmtId="0" fontId="53" fillId="4" borderId="5" xfId="0" applyFont="1" applyFill="1" applyBorder="1" applyAlignment="1">
      <alignment horizontal="center" vertical="center"/>
    </xf>
    <xf numFmtId="0" fontId="53" fillId="4" borderId="9" xfId="0" applyFont="1" applyFill="1" applyBorder="1" applyAlignment="1">
      <alignment horizontal="center" vertical="center"/>
    </xf>
    <xf numFmtId="0" fontId="53" fillId="4" borderId="10" xfId="0" applyFont="1" applyFill="1" applyBorder="1" applyAlignment="1">
      <alignment horizontal="center" vertical="center"/>
    </xf>
    <xf numFmtId="0" fontId="53" fillId="4" borderId="11" xfId="0" applyFont="1" applyFill="1" applyBorder="1" applyAlignment="1">
      <alignment horizontal="center" vertical="center"/>
    </xf>
    <xf numFmtId="0" fontId="53" fillId="4" borderId="29" xfId="0" applyFont="1" applyFill="1" applyBorder="1" applyAlignment="1">
      <alignment horizontal="center" vertical="center" wrapText="1"/>
    </xf>
    <xf numFmtId="0" fontId="53" fillId="4" borderId="19" xfId="0" applyFont="1" applyFill="1" applyBorder="1" applyAlignment="1">
      <alignment horizontal="center" vertical="center" wrapText="1"/>
    </xf>
    <xf numFmtId="0" fontId="28" fillId="0" borderId="83" xfId="0" applyFont="1" applyBorder="1" applyAlignment="1">
      <alignment horizontal="left" vertical="center"/>
    </xf>
    <xf numFmtId="0" fontId="38" fillId="2" borderId="0" xfId="0" applyFont="1" applyFill="1" applyAlignment="1" applyProtection="1">
      <alignment horizontal="center"/>
      <protection hidden="1"/>
    </xf>
    <xf numFmtId="49" fontId="38" fillId="2" borderId="0" xfId="0" applyNumberFormat="1" applyFont="1" applyFill="1" applyAlignment="1" applyProtection="1">
      <alignment horizontal="center"/>
      <protection hidden="1"/>
    </xf>
    <xf numFmtId="0" fontId="15" fillId="2" borderId="0" xfId="0" applyFont="1" applyFill="1" applyAlignment="1">
      <alignment horizontal="center" vertical="center"/>
    </xf>
    <xf numFmtId="1" fontId="15" fillId="2" borderId="14" xfId="0" applyNumberFormat="1" applyFont="1" applyFill="1" applyBorder="1" applyAlignment="1" applyProtection="1">
      <alignment horizontal="left" vertical="center"/>
      <protection hidden="1"/>
    </xf>
    <xf numFmtId="0" fontId="15" fillId="2" borderId="17" xfId="0" applyFont="1" applyFill="1" applyBorder="1" applyAlignment="1" applyProtection="1">
      <alignment horizontal="right" vertical="center"/>
      <protection hidden="1"/>
    </xf>
    <xf numFmtId="0" fontId="15" fillId="0" borderId="0" xfId="0" applyFont="1" applyAlignment="1">
      <alignment horizontal="center" vertical="center"/>
    </xf>
    <xf numFmtId="0" fontId="28" fillId="8" borderId="80" xfId="0" applyFont="1" applyFill="1" applyBorder="1" applyAlignment="1">
      <alignment horizontal="center" vertical="center"/>
    </xf>
    <xf numFmtId="0" fontId="28" fillId="8" borderId="81" xfId="0" applyFont="1" applyFill="1" applyBorder="1" applyAlignment="1">
      <alignment horizontal="center" vertical="center"/>
    </xf>
    <xf numFmtId="0" fontId="28" fillId="8" borderId="82" xfId="0" applyFont="1" applyFill="1" applyBorder="1" applyAlignment="1">
      <alignment horizontal="center" vertical="center"/>
    </xf>
    <xf numFmtId="0" fontId="59" fillId="0" borderId="83" xfId="0" applyFont="1" applyBorder="1" applyAlignment="1">
      <alignment horizontal="left" vertical="center"/>
    </xf>
    <xf numFmtId="0" fontId="59" fillId="0" borderId="80" xfId="0" applyFont="1" applyBorder="1" applyAlignment="1">
      <alignment horizontal="left" vertical="center"/>
    </xf>
    <xf numFmtId="0" fontId="59" fillId="0" borderId="81" xfId="0" applyFont="1" applyBorder="1" applyAlignment="1">
      <alignment horizontal="left" vertical="center"/>
    </xf>
    <xf numFmtId="0" fontId="59" fillId="0" borderId="82" xfId="0" applyFont="1" applyBorder="1" applyAlignment="1">
      <alignment horizontal="left" vertical="center"/>
    </xf>
    <xf numFmtId="0" fontId="60" fillId="2" borderId="0" xfId="0" applyFont="1" applyFill="1" applyAlignment="1">
      <alignment horizontal="left" vertical="top"/>
    </xf>
    <xf numFmtId="0" fontId="61" fillId="2" borderId="0" xfId="0" applyFont="1" applyFill="1" applyAlignment="1">
      <alignment horizontal="left" vertical="top"/>
    </xf>
    <xf numFmtId="0" fontId="28" fillId="0" borderId="83" xfId="0" applyFont="1" applyBorder="1" applyAlignment="1">
      <alignment horizontal="left" vertical="center" wrapText="1"/>
    </xf>
    <xf numFmtId="0" fontId="6" fillId="2" borderId="0" xfId="0" applyFont="1" applyFill="1" applyAlignment="1" applyProtection="1">
      <alignment horizontal="center"/>
      <protection locked="0"/>
    </xf>
    <xf numFmtId="0" fontId="31" fillId="0" borderId="84" xfId="0" applyFont="1" applyBorder="1" applyAlignment="1">
      <alignment horizontal="center" vertical="center" wrapText="1"/>
    </xf>
    <xf numFmtId="0" fontId="31" fillId="0" borderId="85" xfId="0" applyFont="1" applyBorder="1" applyAlignment="1">
      <alignment horizontal="center" vertical="center" wrapText="1"/>
    </xf>
    <xf numFmtId="0" fontId="31" fillId="0" borderId="86" xfId="0" applyFont="1" applyBorder="1" applyAlignment="1">
      <alignment horizontal="center" vertical="center" wrapText="1"/>
    </xf>
    <xf numFmtId="0" fontId="31" fillId="0" borderId="87" xfId="0" applyFont="1" applyBorder="1" applyAlignment="1">
      <alignment horizontal="center" vertical="center" wrapText="1"/>
    </xf>
    <xf numFmtId="0" fontId="6" fillId="2" borderId="0" xfId="0" applyFont="1" applyFill="1" applyAlignment="1">
      <alignment horizontal="right"/>
    </xf>
    <xf numFmtId="0" fontId="56" fillId="4" borderId="21" xfId="0" applyFont="1" applyFill="1" applyBorder="1" applyAlignment="1">
      <alignment horizontal="center" vertical="center"/>
    </xf>
    <xf numFmtId="0" fontId="56" fillId="4" borderId="23" xfId="0" applyFont="1" applyFill="1" applyBorder="1" applyAlignment="1">
      <alignment horizontal="center" vertical="center"/>
    </xf>
    <xf numFmtId="0" fontId="56" fillId="4" borderId="1" xfId="0" applyFont="1" applyFill="1" applyBorder="1" applyAlignment="1">
      <alignment horizontal="center" vertical="center"/>
    </xf>
    <xf numFmtId="0" fontId="56" fillId="4" borderId="3" xfId="0" applyFont="1" applyFill="1" applyBorder="1" applyAlignment="1">
      <alignment horizontal="center" vertical="center"/>
    </xf>
    <xf numFmtId="0" fontId="56" fillId="4" borderId="24" xfId="0" applyFont="1" applyFill="1" applyBorder="1" applyAlignment="1">
      <alignment horizontal="center" vertical="center"/>
    </xf>
    <xf numFmtId="0" fontId="14" fillId="2" borderId="91" xfId="0" applyFont="1" applyFill="1" applyBorder="1" applyAlignment="1" applyProtection="1">
      <alignment horizontal="left" vertical="top"/>
      <protection locked="0"/>
    </xf>
    <xf numFmtId="3" fontId="64" fillId="4" borderId="4" xfId="0" applyNumberFormat="1" applyFont="1" applyFill="1" applyBorder="1" applyAlignment="1">
      <alignment horizontal="center" vertical="center"/>
    </xf>
    <xf numFmtId="3" fontId="64" fillId="4" borderId="0" xfId="0" applyNumberFormat="1" applyFont="1" applyFill="1" applyAlignment="1">
      <alignment horizontal="center" vertical="center"/>
    </xf>
    <xf numFmtId="3" fontId="64" fillId="4" borderId="2" xfId="0" applyNumberFormat="1" applyFont="1" applyFill="1" applyBorder="1" applyAlignment="1">
      <alignment horizontal="center" vertical="center"/>
    </xf>
    <xf numFmtId="3" fontId="64" fillId="4" borderId="3" xfId="0" applyNumberFormat="1" applyFont="1" applyFill="1" applyBorder="1" applyAlignment="1">
      <alignment horizontal="center" vertical="center"/>
    </xf>
    <xf numFmtId="3" fontId="64" fillId="4" borderId="9" xfId="0" applyNumberFormat="1" applyFont="1" applyFill="1" applyBorder="1" applyAlignment="1">
      <alignment horizontal="center" vertical="center"/>
    </xf>
    <xf numFmtId="3" fontId="64" fillId="4" borderId="10" xfId="0" applyNumberFormat="1" applyFont="1" applyFill="1" applyBorder="1" applyAlignment="1">
      <alignment horizontal="center" vertical="center"/>
    </xf>
    <xf numFmtId="3" fontId="64" fillId="4" borderId="11" xfId="0" applyNumberFormat="1" applyFont="1" applyFill="1" applyBorder="1" applyAlignment="1">
      <alignment horizontal="center" vertical="center"/>
    </xf>
    <xf numFmtId="0" fontId="6" fillId="4" borderId="29" xfId="0" applyFont="1" applyFill="1" applyBorder="1" applyAlignment="1">
      <alignment horizontal="center" vertical="center" wrapText="1"/>
    </xf>
    <xf numFmtId="0" fontId="6" fillId="4" borderId="89" xfId="0" applyFont="1" applyFill="1" applyBorder="1" applyAlignment="1">
      <alignment horizontal="center" vertical="center" wrapText="1"/>
    </xf>
    <xf numFmtId="0" fontId="6" fillId="4" borderId="88" xfId="0" applyFont="1" applyFill="1" applyBorder="1" applyAlignment="1">
      <alignment horizontal="center" vertical="center" wrapText="1"/>
    </xf>
    <xf numFmtId="0" fontId="6" fillId="4" borderId="90" xfId="0" applyFont="1" applyFill="1" applyBorder="1" applyAlignment="1">
      <alignment horizontal="center" vertical="center" wrapText="1"/>
    </xf>
    <xf numFmtId="3" fontId="63" fillId="2" borderId="21" xfId="0" applyNumberFormat="1" applyFont="1" applyFill="1" applyBorder="1" applyAlignment="1" applyProtection="1">
      <alignment horizontal="left" vertical="center"/>
      <protection locked="0"/>
    </xf>
    <xf numFmtId="3" fontId="63" fillId="2" borderId="23" xfId="0" applyNumberFormat="1" applyFont="1" applyFill="1" applyBorder="1" applyAlignment="1" applyProtection="1">
      <alignment horizontal="left" vertical="center"/>
      <protection locked="0"/>
    </xf>
    <xf numFmtId="0" fontId="56" fillId="2" borderId="96" xfId="0" applyFont="1" applyFill="1" applyBorder="1" applyAlignment="1" applyProtection="1">
      <alignment horizontal="left" vertical="center"/>
      <protection locked="0"/>
    </xf>
    <xf numFmtId="0" fontId="56" fillId="2" borderId="97" xfId="0" applyFont="1" applyFill="1" applyBorder="1" applyAlignment="1" applyProtection="1">
      <alignment horizontal="left" vertical="center"/>
      <protection locked="0"/>
    </xf>
    <xf numFmtId="0" fontId="56" fillId="2" borderId="98" xfId="0" applyFont="1" applyFill="1" applyBorder="1" applyAlignment="1" applyProtection="1">
      <alignment horizontal="left" vertical="center"/>
      <protection locked="0"/>
    </xf>
    <xf numFmtId="0" fontId="21" fillId="4" borderId="93" xfId="0" applyFont="1" applyFill="1" applyBorder="1" applyAlignment="1">
      <alignment horizontal="center"/>
    </xf>
    <xf numFmtId="0" fontId="21" fillId="4" borderId="94" xfId="0" applyFont="1" applyFill="1" applyBorder="1" applyAlignment="1">
      <alignment horizontal="center"/>
    </xf>
    <xf numFmtId="0" fontId="21" fillId="4" borderId="95" xfId="0" applyFont="1" applyFill="1" applyBorder="1" applyAlignment="1">
      <alignment horizontal="center"/>
    </xf>
    <xf numFmtId="0" fontId="37" fillId="2" borderId="96" xfId="0" applyFont="1" applyFill="1" applyBorder="1" applyAlignment="1" applyProtection="1">
      <alignment horizontal="left" vertical="center" wrapText="1"/>
      <protection locked="0"/>
    </xf>
    <xf numFmtId="0" fontId="37" fillId="2" borderId="97" xfId="0" applyFont="1" applyFill="1" applyBorder="1" applyAlignment="1" applyProtection="1">
      <alignment horizontal="left" vertical="center"/>
      <protection locked="0"/>
    </xf>
    <xf numFmtId="0" fontId="37" fillId="2" borderId="98" xfId="0" applyFont="1" applyFill="1" applyBorder="1" applyAlignment="1" applyProtection="1">
      <alignment horizontal="left" vertical="center"/>
      <protection locked="0"/>
    </xf>
    <xf numFmtId="0" fontId="21" fillId="4" borderId="102" xfId="0" applyFont="1" applyFill="1" applyBorder="1" applyAlignment="1">
      <alignment horizontal="center"/>
    </xf>
    <xf numFmtId="0" fontId="21" fillId="4" borderId="22" xfId="0" applyFont="1" applyFill="1" applyBorder="1" applyAlignment="1">
      <alignment horizontal="center"/>
    </xf>
    <xf numFmtId="0" fontId="21" fillId="4" borderId="103" xfId="0" applyFont="1" applyFill="1" applyBorder="1" applyAlignment="1">
      <alignment horizontal="center"/>
    </xf>
    <xf numFmtId="0" fontId="46" fillId="4" borderId="104" xfId="0" applyFont="1" applyFill="1" applyBorder="1" applyAlignment="1">
      <alignment horizontal="center" vertical="center"/>
    </xf>
    <xf numFmtId="0" fontId="46" fillId="4" borderId="2" xfId="0" applyFont="1" applyFill="1" applyBorder="1" applyAlignment="1">
      <alignment horizontal="center" vertical="center"/>
    </xf>
    <xf numFmtId="0" fontId="46" fillId="4" borderId="105" xfId="0" applyFont="1" applyFill="1" applyBorder="1" applyAlignment="1">
      <alignment horizontal="center" vertical="center"/>
    </xf>
    <xf numFmtId="0" fontId="21" fillId="4" borderId="106" xfId="0" applyFont="1" applyFill="1" applyBorder="1" applyAlignment="1">
      <alignment horizontal="center"/>
    </xf>
    <xf numFmtId="0" fontId="21" fillId="4" borderId="10" xfId="0" applyFont="1" applyFill="1" applyBorder="1" applyAlignment="1">
      <alignment horizontal="center"/>
    </xf>
    <xf numFmtId="0" fontId="21" fillId="4" borderId="107" xfId="0" applyFont="1" applyFill="1" applyBorder="1" applyAlignment="1">
      <alignment horizontal="center"/>
    </xf>
    <xf numFmtId="0" fontId="37" fillId="2" borderId="99" xfId="0" applyFont="1" applyFill="1" applyBorder="1" applyAlignment="1" applyProtection="1">
      <alignment horizontal="left" vertical="center" wrapText="1"/>
      <protection locked="0"/>
    </xf>
    <xf numFmtId="0" fontId="37" fillId="2" borderId="100" xfId="0" applyFont="1" applyFill="1" applyBorder="1" applyAlignment="1" applyProtection="1">
      <alignment horizontal="left" vertical="center"/>
      <protection locked="0"/>
    </xf>
    <xf numFmtId="0" fontId="37" fillId="2" borderId="101" xfId="0" applyFont="1" applyFill="1" applyBorder="1" applyAlignment="1" applyProtection="1">
      <alignment horizontal="left" vertical="center"/>
      <protection locked="0"/>
    </xf>
    <xf numFmtId="0" fontId="37" fillId="2" borderId="162" xfId="0" applyFont="1" applyFill="1" applyBorder="1" applyAlignment="1" applyProtection="1">
      <alignment horizontal="left" vertical="center" wrapText="1"/>
      <protection locked="0"/>
    </xf>
    <xf numFmtId="0" fontId="37" fillId="2" borderId="26" xfId="0" applyFont="1" applyFill="1" applyBorder="1" applyAlignment="1" applyProtection="1">
      <alignment horizontal="left" vertical="center"/>
      <protection locked="0"/>
    </xf>
    <xf numFmtId="0" fontId="37" fillId="2" borderId="163" xfId="0" applyFont="1" applyFill="1" applyBorder="1" applyAlignment="1" applyProtection="1">
      <alignment horizontal="left" vertical="center"/>
      <protection locked="0"/>
    </xf>
    <xf numFmtId="0" fontId="42" fillId="2" borderId="21" xfId="0" applyFont="1" applyFill="1" applyBorder="1" applyAlignment="1">
      <alignment vertical="center"/>
    </xf>
    <xf numFmtId="0" fontId="42" fillId="2" borderId="23" xfId="0" applyFont="1" applyFill="1" applyBorder="1" applyAlignment="1">
      <alignment vertical="center"/>
    </xf>
    <xf numFmtId="169" fontId="15" fillId="2" borderId="14" xfId="0" applyNumberFormat="1" applyFont="1" applyFill="1" applyBorder="1" applyAlignment="1" applyProtection="1">
      <alignment horizontal="left"/>
      <protection hidden="1"/>
    </xf>
    <xf numFmtId="0" fontId="6" fillId="2" borderId="17" xfId="0" applyFont="1" applyFill="1" applyBorder="1" applyAlignment="1">
      <alignment horizontal="right"/>
    </xf>
    <xf numFmtId="0" fontId="46" fillId="4" borderId="24" xfId="0" applyFont="1" applyFill="1" applyBorder="1" applyAlignment="1">
      <alignment horizontal="center" vertical="center" wrapText="1"/>
    </xf>
    <xf numFmtId="3" fontId="46" fillId="4" borderId="29" xfId="0" applyNumberFormat="1" applyFont="1" applyFill="1" applyBorder="1" applyAlignment="1">
      <alignment horizontal="center" vertical="center" wrapText="1"/>
    </xf>
    <xf numFmtId="3" fontId="46" fillId="4" borderId="19" xfId="0" applyNumberFormat="1" applyFont="1" applyFill="1" applyBorder="1" applyAlignment="1">
      <alignment horizontal="center" vertical="center" wrapText="1"/>
    </xf>
    <xf numFmtId="0" fontId="21" fillId="4" borderId="9" xfId="0" applyFont="1" applyFill="1" applyBorder="1" applyAlignment="1">
      <alignment horizontal="left" vertical="center"/>
    </xf>
    <xf numFmtId="0" fontId="21" fillId="4" borderId="11" xfId="0" applyFont="1" applyFill="1" applyBorder="1" applyAlignment="1">
      <alignment horizontal="left" vertical="center"/>
    </xf>
    <xf numFmtId="0" fontId="41" fillId="2" borderId="21" xfId="0" applyFont="1" applyFill="1" applyBorder="1" applyAlignment="1">
      <alignment vertical="center"/>
    </xf>
    <xf numFmtId="0" fontId="41" fillId="2" borderId="23" xfId="0" applyFont="1" applyFill="1" applyBorder="1" applyAlignment="1">
      <alignment vertical="center"/>
    </xf>
    <xf numFmtId="0" fontId="14" fillId="2" borderId="91" xfId="0" applyFont="1" applyFill="1" applyBorder="1" applyAlignment="1">
      <alignment horizontal="left" vertical="top"/>
    </xf>
    <xf numFmtId="169" fontId="15" fillId="2" borderId="79" xfId="0" applyNumberFormat="1" applyFont="1" applyFill="1" applyBorder="1" applyAlignment="1" applyProtection="1">
      <alignment horizontal="left"/>
      <protection hidden="1"/>
    </xf>
    <xf numFmtId="0" fontId="6" fillId="2" borderId="60" xfId="0" applyFont="1" applyFill="1" applyBorder="1" applyAlignment="1">
      <alignment horizontal="right"/>
    </xf>
    <xf numFmtId="0" fontId="15" fillId="2" borderId="10" xfId="0" applyFont="1" applyFill="1" applyBorder="1" applyAlignment="1">
      <alignment horizontal="center" vertical="center"/>
    </xf>
    <xf numFmtId="0" fontId="31" fillId="4" borderId="21" xfId="0" applyFont="1" applyFill="1" applyBorder="1" applyAlignment="1">
      <alignment horizontal="center"/>
    </xf>
    <xf numFmtId="0" fontId="31" fillId="4" borderId="22" xfId="0" applyFont="1" applyFill="1" applyBorder="1" applyAlignment="1">
      <alignment horizontal="center"/>
    </xf>
    <xf numFmtId="0" fontId="31" fillId="4" borderId="23" xfId="0" applyFont="1" applyFill="1" applyBorder="1" applyAlignment="1">
      <alignment horizontal="center"/>
    </xf>
    <xf numFmtId="0" fontId="31" fillId="4" borderId="24" xfId="0" applyFont="1" applyFill="1" applyBorder="1" applyAlignment="1">
      <alignment horizontal="center"/>
    </xf>
    <xf numFmtId="0" fontId="63" fillId="2" borderId="21" xfId="0" applyFont="1" applyFill="1" applyBorder="1" applyAlignment="1">
      <alignment vertical="center"/>
    </xf>
    <xf numFmtId="0" fontId="63" fillId="2" borderId="23" xfId="0" applyFont="1" applyFill="1" applyBorder="1" applyAlignment="1">
      <alignment vertical="center"/>
    </xf>
    <xf numFmtId="0" fontId="46" fillId="2" borderId="21" xfId="0" applyFont="1" applyFill="1" applyBorder="1" applyAlignment="1">
      <alignment horizontal="left" vertical="center" wrapText="1"/>
    </xf>
    <xf numFmtId="0" fontId="46" fillId="2" borderId="23" xfId="0" applyFont="1" applyFill="1" applyBorder="1" applyAlignment="1">
      <alignment horizontal="left" vertical="center" wrapText="1"/>
    </xf>
    <xf numFmtId="3" fontId="42" fillId="2" borderId="21" xfId="0" applyNumberFormat="1" applyFont="1" applyFill="1" applyBorder="1" applyAlignment="1">
      <alignment vertical="center"/>
    </xf>
    <xf numFmtId="3" fontId="42" fillId="2" borderId="23" xfId="0" applyNumberFormat="1" applyFont="1" applyFill="1" applyBorder="1" applyAlignment="1">
      <alignment vertical="center"/>
    </xf>
    <xf numFmtId="3" fontId="29" fillId="2" borderId="0" xfId="0" applyNumberFormat="1" applyFont="1" applyFill="1" applyAlignment="1" applyProtection="1">
      <alignment horizontal="center"/>
      <protection locked="0"/>
    </xf>
    <xf numFmtId="0" fontId="36" fillId="0" borderId="84" xfId="0" applyFont="1" applyBorder="1" applyAlignment="1">
      <alignment horizontal="center" vertical="center" wrapText="1"/>
    </xf>
    <xf numFmtId="0" fontId="36" fillId="0" borderId="85" xfId="0" applyFont="1" applyBorder="1" applyAlignment="1">
      <alignment horizontal="center" vertical="center" wrapText="1"/>
    </xf>
    <xf numFmtId="0" fontId="36" fillId="0" borderId="86" xfId="0" applyFont="1" applyBorder="1" applyAlignment="1">
      <alignment horizontal="center" vertical="center" wrapText="1"/>
    </xf>
    <xf numFmtId="0" fontId="36" fillId="0" borderId="87" xfId="0" applyFont="1" applyBorder="1" applyAlignment="1">
      <alignment horizontal="center" vertical="center" wrapText="1"/>
    </xf>
    <xf numFmtId="3" fontId="16" fillId="2" borderId="10" xfId="0" applyNumberFormat="1" applyFont="1" applyFill="1" applyBorder="1" applyAlignment="1">
      <alignment horizontal="center" vertical="center"/>
    </xf>
    <xf numFmtId="3" fontId="29" fillId="4" borderId="1" xfId="0" applyNumberFormat="1" applyFont="1" applyFill="1" applyBorder="1" applyAlignment="1">
      <alignment horizontal="right" vertical="center"/>
    </xf>
    <xf numFmtId="3" fontId="29" fillId="4" borderId="3" xfId="0" applyNumberFormat="1" applyFont="1" applyFill="1" applyBorder="1" applyAlignment="1">
      <alignment horizontal="right" vertical="center"/>
    </xf>
    <xf numFmtId="3" fontId="29" fillId="4" borderId="9" xfId="0" applyNumberFormat="1" applyFont="1" applyFill="1" applyBorder="1" applyAlignment="1">
      <alignment horizontal="left" vertical="center"/>
    </xf>
    <xf numFmtId="3" fontId="29" fillId="4" borderId="11" xfId="0" applyNumberFormat="1" applyFont="1" applyFill="1" applyBorder="1" applyAlignment="1">
      <alignment horizontal="left" vertical="center"/>
    </xf>
    <xf numFmtId="0" fontId="96" fillId="2" borderId="91" xfId="0" applyFont="1" applyFill="1" applyBorder="1" applyAlignment="1" applyProtection="1">
      <alignment horizontal="left" vertical="top"/>
      <protection locked="0"/>
    </xf>
    <xf numFmtId="3" fontId="41" fillId="2" borderId="21" xfId="0" applyNumberFormat="1" applyFont="1" applyFill="1" applyBorder="1" applyAlignment="1">
      <alignment vertical="center"/>
    </xf>
    <xf numFmtId="3" fontId="41" fillId="2" borderId="23" xfId="0" applyNumberFormat="1" applyFont="1" applyFill="1" applyBorder="1" applyAlignment="1">
      <alignment vertical="center"/>
    </xf>
    <xf numFmtId="3" fontId="6" fillId="2" borderId="60" xfId="0" applyNumberFormat="1" applyFont="1" applyFill="1" applyBorder="1" applyAlignment="1">
      <alignment horizontal="right"/>
    </xf>
    <xf numFmtId="3" fontId="6" fillId="2" borderId="0" xfId="0" applyNumberFormat="1" applyFont="1" applyFill="1" applyAlignment="1">
      <alignment horizontal="right"/>
    </xf>
    <xf numFmtId="3" fontId="15" fillId="2" borderId="10" xfId="0" applyNumberFormat="1" applyFont="1" applyFill="1" applyBorder="1" applyAlignment="1">
      <alignment horizontal="center" vertical="center"/>
    </xf>
    <xf numFmtId="3" fontId="53" fillId="4" borderId="109" xfId="0" applyNumberFormat="1" applyFont="1" applyFill="1" applyBorder="1" applyAlignment="1">
      <alignment horizontal="center" vertical="center" wrapText="1"/>
    </xf>
    <xf numFmtId="0" fontId="53" fillId="4" borderId="110" xfId="0" applyFont="1" applyFill="1" applyBorder="1" applyAlignment="1">
      <alignment horizontal="center" vertical="center" wrapText="1"/>
    </xf>
    <xf numFmtId="0" fontId="53" fillId="4" borderId="111" xfId="0" applyFont="1" applyFill="1" applyBorder="1" applyAlignment="1">
      <alignment horizontal="center" vertical="center" wrapText="1"/>
    </xf>
    <xf numFmtId="0" fontId="53" fillId="4" borderId="83" xfId="0" applyFont="1" applyFill="1" applyBorder="1" applyAlignment="1">
      <alignment horizontal="center" vertical="center" wrapText="1"/>
    </xf>
    <xf numFmtId="0" fontId="53" fillId="4" borderId="80" xfId="0" applyFont="1" applyFill="1" applyBorder="1" applyAlignment="1">
      <alignment horizontal="center" vertical="center" wrapText="1"/>
    </xf>
    <xf numFmtId="0" fontId="53" fillId="4" borderId="82" xfId="0" applyFont="1" applyFill="1" applyBorder="1" applyAlignment="1">
      <alignment horizontal="center" vertical="center" wrapText="1"/>
    </xf>
    <xf numFmtId="0" fontId="50" fillId="4" borderId="112" xfId="0" applyFont="1" applyFill="1" applyBorder="1" applyAlignment="1">
      <alignment horizontal="center" wrapText="1"/>
    </xf>
    <xf numFmtId="0" fontId="50" fillId="4" borderId="20" xfId="0" applyFont="1" applyFill="1" applyBorder="1" applyAlignment="1">
      <alignment horizontal="center" wrapText="1"/>
    </xf>
    <xf numFmtId="0" fontId="50" fillId="4" borderId="113" xfId="0" applyFont="1" applyFill="1" applyBorder="1" applyAlignment="1">
      <alignment horizontal="center" wrapText="1"/>
    </xf>
    <xf numFmtId="0" fontId="50" fillId="4" borderId="83" xfId="0" applyFont="1" applyFill="1" applyBorder="1" applyAlignment="1">
      <alignment horizontal="center" vertical="center" wrapText="1"/>
    </xf>
    <xf numFmtId="3" fontId="53" fillId="4" borderId="114" xfId="0" applyNumberFormat="1" applyFont="1" applyFill="1" applyBorder="1" applyAlignment="1">
      <alignment horizontal="left" vertical="center" wrapText="1" indent="1"/>
    </xf>
    <xf numFmtId="0" fontId="53" fillId="4" borderId="89" xfId="0" applyFont="1" applyFill="1" applyBorder="1" applyAlignment="1">
      <alignment horizontal="left" vertical="center" wrapText="1" indent="1"/>
    </xf>
    <xf numFmtId="0" fontId="53" fillId="4" borderId="115" xfId="0" applyFont="1" applyFill="1" applyBorder="1" applyAlignment="1">
      <alignment horizontal="left" vertical="center" wrapText="1" indent="1"/>
    </xf>
    <xf numFmtId="0" fontId="26" fillId="0" borderId="117" xfId="0" applyFont="1" applyBorder="1" applyAlignment="1">
      <alignment horizontal="left" vertical="center" wrapText="1" indent="1"/>
    </xf>
    <xf numFmtId="0" fontId="26" fillId="0" borderId="0" xfId="0" applyFont="1" applyAlignment="1">
      <alignment horizontal="left" vertical="center" wrapText="1" indent="1"/>
    </xf>
    <xf numFmtId="0" fontId="26" fillId="0" borderId="118" xfId="0" applyFont="1" applyBorder="1" applyAlignment="1">
      <alignment horizontal="left" vertical="center" wrapText="1" indent="1"/>
    </xf>
    <xf numFmtId="3" fontId="26" fillId="0" borderId="80" xfId="0" applyNumberFormat="1" applyFont="1" applyBorder="1" applyAlignment="1" applyProtection="1">
      <alignment horizontal="right" vertical="center" wrapText="1"/>
      <protection locked="0"/>
    </xf>
    <xf numFmtId="3" fontId="26" fillId="0" borderId="82" xfId="0" applyNumberFormat="1" applyFont="1" applyBorder="1" applyAlignment="1" applyProtection="1">
      <alignment horizontal="right" vertical="center" wrapText="1"/>
      <protection locked="0"/>
    </xf>
    <xf numFmtId="3" fontId="26" fillId="0" borderId="80" xfId="0" applyNumberFormat="1" applyFont="1" applyBorder="1" applyAlignment="1">
      <alignment horizontal="right" vertical="center" wrapText="1"/>
    </xf>
    <xf numFmtId="3" fontId="26" fillId="0" borderId="82" xfId="0" applyNumberFormat="1" applyFont="1" applyBorder="1" applyAlignment="1">
      <alignment horizontal="right" vertical="center" wrapText="1"/>
    </xf>
    <xf numFmtId="0" fontId="26" fillId="0" borderId="84" xfId="0" applyFont="1" applyBorder="1" applyAlignment="1">
      <alignment horizontal="left" vertical="center" wrapText="1" indent="1"/>
    </xf>
    <xf numFmtId="0" fontId="26" fillId="0" borderId="116" xfId="0" applyFont="1" applyBorder="1" applyAlignment="1">
      <alignment horizontal="left" vertical="center" wrapText="1" indent="1"/>
    </xf>
    <xf numFmtId="0" fontId="26" fillId="0" borderId="85" xfId="0" applyFont="1" applyBorder="1" applyAlignment="1">
      <alignment horizontal="left" vertical="center" wrapText="1" indent="1"/>
    </xf>
    <xf numFmtId="0" fontId="6" fillId="6" borderId="80" xfId="0" applyFont="1" applyFill="1" applyBorder="1" applyAlignment="1">
      <alignment horizontal="left" vertical="center" wrapText="1" indent="1"/>
    </xf>
    <xf numFmtId="0" fontId="6" fillId="6" borderId="81" xfId="0" applyFont="1" applyFill="1" applyBorder="1" applyAlignment="1">
      <alignment horizontal="left" vertical="center" wrapText="1" indent="1"/>
    </xf>
    <xf numFmtId="0" fontId="6" fillId="6" borderId="82" xfId="0" applyFont="1" applyFill="1" applyBorder="1" applyAlignment="1">
      <alignment horizontal="left" vertical="center" wrapText="1" indent="1"/>
    </xf>
    <xf numFmtId="3" fontId="6" fillId="6" borderId="80" xfId="0" applyNumberFormat="1" applyFont="1" applyFill="1" applyBorder="1" applyAlignment="1">
      <alignment horizontal="right" vertical="center" wrapText="1"/>
    </xf>
    <xf numFmtId="3" fontId="6" fillId="6" borderId="82" xfId="0" applyNumberFormat="1" applyFont="1" applyFill="1" applyBorder="1" applyAlignment="1">
      <alignment horizontal="right" vertical="center" wrapText="1"/>
    </xf>
    <xf numFmtId="0" fontId="6" fillId="5" borderId="119" xfId="0" applyFont="1" applyFill="1" applyBorder="1" applyAlignment="1">
      <alignment horizontal="left" vertical="center" wrapText="1" indent="1"/>
    </xf>
    <xf numFmtId="0" fontId="6" fillId="5" borderId="120" xfId="0" applyFont="1" applyFill="1" applyBorder="1" applyAlignment="1">
      <alignment horizontal="left" vertical="center" wrapText="1" indent="1"/>
    </xf>
    <xf numFmtId="0" fontId="6" fillId="5" borderId="121" xfId="0" applyFont="1" applyFill="1" applyBorder="1" applyAlignment="1">
      <alignment horizontal="left" vertical="center" wrapText="1" indent="1"/>
    </xf>
    <xf numFmtId="3" fontId="6" fillId="5" borderId="80" xfId="0" applyNumberFormat="1" applyFont="1" applyFill="1" applyBorder="1" applyAlignment="1">
      <alignment horizontal="right" vertical="center" wrapText="1"/>
    </xf>
    <xf numFmtId="3" fontId="6" fillId="5" borderId="82" xfId="0" applyNumberFormat="1" applyFont="1" applyFill="1" applyBorder="1" applyAlignment="1">
      <alignment horizontal="right" vertical="center" wrapText="1"/>
    </xf>
    <xf numFmtId="0" fontId="14" fillId="2" borderId="122" xfId="0" applyFont="1" applyFill="1" applyBorder="1" applyAlignment="1" applyProtection="1">
      <alignment horizontal="left" vertical="top"/>
      <protection locked="0"/>
    </xf>
    <xf numFmtId="3" fontId="21" fillId="4" borderId="1" xfId="0" applyNumberFormat="1" applyFont="1" applyFill="1" applyBorder="1" applyAlignment="1">
      <alignment horizontal="center" vertical="center"/>
    </xf>
    <xf numFmtId="0" fontId="21" fillId="4" borderId="102" xfId="0" applyFont="1" applyFill="1" applyBorder="1" applyAlignment="1" applyProtection="1">
      <alignment horizontal="center" vertical="center"/>
      <protection locked="0"/>
    </xf>
    <xf numFmtId="0" fontId="21" fillId="4" borderId="22" xfId="0" applyFont="1" applyFill="1" applyBorder="1" applyAlignment="1" applyProtection="1">
      <alignment horizontal="center" vertical="center"/>
      <protection locked="0"/>
    </xf>
    <xf numFmtId="0" fontId="21" fillId="4" borderId="23" xfId="0" applyFont="1" applyFill="1" applyBorder="1" applyAlignment="1" applyProtection="1">
      <alignment horizontal="center" vertical="center"/>
      <protection locked="0"/>
    </xf>
    <xf numFmtId="3" fontId="6" fillId="2" borderId="17" xfId="0" applyNumberFormat="1" applyFont="1" applyFill="1" applyBorder="1" applyAlignment="1">
      <alignment horizontal="right"/>
    </xf>
    <xf numFmtId="0" fontId="21" fillId="4" borderId="6" xfId="0" applyFont="1" applyFill="1" applyBorder="1" applyAlignment="1">
      <alignment horizontal="center" vertical="center"/>
    </xf>
    <xf numFmtId="0" fontId="21" fillId="4" borderId="7" xfId="0" applyFont="1" applyFill="1" applyBorder="1" applyAlignment="1">
      <alignment horizontal="center" vertical="center"/>
    </xf>
    <xf numFmtId="0" fontId="21" fillId="4" borderId="8" xfId="0" applyFont="1" applyFill="1" applyBorder="1" applyAlignment="1">
      <alignment horizontal="center" vertical="center"/>
    </xf>
    <xf numFmtId="0" fontId="31" fillId="2" borderId="126" xfId="0" applyFont="1" applyFill="1" applyBorder="1" applyAlignment="1" applyProtection="1">
      <alignment horizontal="left"/>
      <protection locked="0"/>
    </xf>
    <xf numFmtId="0" fontId="31" fillId="2" borderId="0" xfId="0" applyFont="1" applyFill="1" applyAlignment="1" applyProtection="1">
      <alignment horizontal="left"/>
      <protection locked="0"/>
    </xf>
    <xf numFmtId="0" fontId="31" fillId="2" borderId="127" xfId="0" applyFont="1" applyFill="1" applyBorder="1" applyAlignment="1" applyProtection="1">
      <alignment horizontal="left"/>
      <protection locked="0"/>
    </xf>
    <xf numFmtId="0" fontId="31" fillId="2" borderId="102" xfId="0" applyFont="1" applyFill="1" applyBorder="1" applyAlignment="1" applyProtection="1">
      <alignment horizontal="left"/>
      <protection locked="0"/>
    </xf>
    <xf numFmtId="0" fontId="31" fillId="2" borderId="22" xfId="0" applyFont="1" applyFill="1" applyBorder="1" applyAlignment="1" applyProtection="1">
      <alignment horizontal="left"/>
      <protection locked="0"/>
    </xf>
    <xf numFmtId="0" fontId="31" fillId="2" borderId="23" xfId="0" applyFont="1" applyFill="1" applyBorder="1" applyAlignment="1" applyProtection="1">
      <alignment horizontal="left"/>
      <protection locked="0"/>
    </xf>
    <xf numFmtId="0" fontId="17" fillId="2" borderId="129" xfId="0" applyFont="1" applyFill="1" applyBorder="1" applyAlignment="1">
      <alignment horizontal="left" vertical="center"/>
    </xf>
    <xf numFmtId="0" fontId="26" fillId="2" borderId="0" xfId="0" applyFont="1" applyFill="1" applyAlignment="1" applyProtection="1">
      <alignment horizontal="center"/>
      <protection locked="0"/>
    </xf>
    <xf numFmtId="0" fontId="15" fillId="2" borderId="10" xfId="0" applyFont="1" applyFill="1" applyBorder="1" applyAlignment="1">
      <alignment horizontal="center" vertical="top"/>
    </xf>
    <xf numFmtId="3" fontId="46" fillId="4" borderId="9" xfId="0" applyNumberFormat="1" applyFont="1" applyFill="1" applyBorder="1" applyAlignment="1">
      <alignment horizontal="center" vertical="center" wrapText="1"/>
    </xf>
    <xf numFmtId="0" fontId="46" fillId="4" borderId="11" xfId="0" applyFont="1" applyFill="1" applyBorder="1" applyAlignment="1">
      <alignment horizontal="center" vertical="center" wrapText="1"/>
    </xf>
    <xf numFmtId="0" fontId="21" fillId="4" borderId="21" xfId="0" applyFont="1" applyFill="1" applyBorder="1" applyAlignment="1">
      <alignment horizontal="center" vertical="center"/>
    </xf>
    <xf numFmtId="0" fontId="21" fillId="4" borderId="22" xfId="0" applyFont="1" applyFill="1" applyBorder="1" applyAlignment="1">
      <alignment horizontal="center" vertical="center"/>
    </xf>
    <xf numFmtId="0" fontId="31" fillId="2" borderId="21" xfId="0" applyFont="1" applyFill="1" applyBorder="1" applyAlignment="1" applyProtection="1">
      <alignment horizontal="left"/>
      <protection locked="0"/>
    </xf>
    <xf numFmtId="3" fontId="21" fillId="4" borderId="21" xfId="0" applyNumberFormat="1" applyFont="1" applyFill="1" applyBorder="1" applyAlignment="1">
      <alignment horizontal="center" vertical="center"/>
    </xf>
    <xf numFmtId="0" fontId="21" fillId="4" borderId="23" xfId="0" applyFont="1" applyFill="1" applyBorder="1" applyAlignment="1">
      <alignment horizontal="center" vertical="center"/>
    </xf>
    <xf numFmtId="0" fontId="14" fillId="2" borderId="130" xfId="0" applyFont="1" applyFill="1" applyBorder="1" applyAlignment="1" applyProtection="1">
      <alignment horizontal="left" vertical="top"/>
      <protection locked="0"/>
    </xf>
    <xf numFmtId="0" fontId="31" fillId="2" borderId="1" xfId="0" applyFont="1" applyFill="1" applyBorder="1" applyAlignment="1">
      <alignment horizontal="left" vertical="center" wrapText="1"/>
    </xf>
    <xf numFmtId="0" fontId="31" fillId="2" borderId="2" xfId="0" applyFont="1" applyFill="1" applyBorder="1" applyAlignment="1">
      <alignment horizontal="left" vertical="center" wrapText="1"/>
    </xf>
    <xf numFmtId="0" fontId="56" fillId="2" borderId="21" xfId="0" applyFont="1" applyFill="1" applyBorder="1" applyAlignment="1">
      <alignment vertical="center"/>
    </xf>
    <xf numFmtId="0" fontId="56" fillId="2" borderId="23" xfId="0" applyFont="1" applyFill="1" applyBorder="1" applyAlignment="1">
      <alignment vertical="center"/>
    </xf>
    <xf numFmtId="0" fontId="46" fillId="2" borderId="21" xfId="0" applyFont="1" applyFill="1" applyBorder="1" applyAlignment="1">
      <alignment vertical="center"/>
    </xf>
    <xf numFmtId="0" fontId="46" fillId="2" borderId="23" xfId="0" applyFont="1" applyFill="1" applyBorder="1" applyAlignment="1">
      <alignment vertical="center"/>
    </xf>
    <xf numFmtId="0" fontId="14" fillId="19" borderId="166" xfId="0" applyFont="1" applyFill="1" applyBorder="1"/>
    <xf numFmtId="0" fontId="36" fillId="2" borderId="0" xfId="0" applyFont="1" applyFill="1" applyAlignment="1">
      <alignment horizontal="center"/>
    </xf>
    <xf numFmtId="3" fontId="29" fillId="2" borderId="17" xfId="0" applyNumberFormat="1" applyFont="1" applyFill="1" applyBorder="1" applyAlignment="1">
      <alignment horizontal="right"/>
    </xf>
    <xf numFmtId="0" fontId="16" fillId="2" borderId="10" xfId="0" applyFont="1" applyFill="1" applyBorder="1" applyAlignment="1">
      <alignment horizontal="center" vertical="top"/>
    </xf>
    <xf numFmtId="3" fontId="29" fillId="4" borderId="21" xfId="0" applyNumberFormat="1" applyFont="1" applyFill="1" applyBorder="1" applyAlignment="1">
      <alignment horizontal="center" vertical="center" wrapText="1"/>
    </xf>
    <xf numFmtId="0" fontId="29" fillId="4" borderId="23" xfId="0" applyFont="1" applyFill="1" applyBorder="1" applyAlignment="1">
      <alignment horizontal="center" vertical="center" wrapText="1"/>
    </xf>
    <xf numFmtId="49" fontId="52" fillId="0" borderId="0" xfId="0" applyNumberFormat="1" applyFont="1" applyAlignment="1">
      <alignment horizontal="center" vertical="center" wrapText="1"/>
    </xf>
    <xf numFmtId="0" fontId="21" fillId="4" borderId="21" xfId="0" applyFont="1" applyFill="1" applyBorder="1" applyAlignment="1">
      <alignment horizontal="center" vertical="center" wrapText="1"/>
    </xf>
    <xf numFmtId="0" fontId="21" fillId="4" borderId="23" xfId="0" applyFont="1" applyFill="1" applyBorder="1" applyAlignment="1">
      <alignment horizontal="center" vertical="center" wrapText="1"/>
    </xf>
    <xf numFmtId="0" fontId="21" fillId="2" borderId="21" xfId="0" applyFont="1" applyFill="1" applyBorder="1" applyAlignment="1">
      <alignment horizontal="center"/>
    </xf>
    <xf numFmtId="0" fontId="21" fillId="2" borderId="23" xfId="0" applyFont="1" applyFill="1" applyBorder="1" applyAlignment="1">
      <alignment horizontal="center"/>
    </xf>
    <xf numFmtId="0" fontId="21" fillId="2" borderId="21" xfId="0" applyFont="1" applyFill="1" applyBorder="1" applyAlignment="1">
      <alignment horizontal="left"/>
    </xf>
    <xf numFmtId="0" fontId="21" fillId="2" borderId="23" xfId="0" applyFont="1" applyFill="1" applyBorder="1" applyAlignment="1">
      <alignment horizontal="left"/>
    </xf>
    <xf numFmtId="0" fontId="21" fillId="2" borderId="1" xfId="0" applyFont="1" applyFill="1" applyBorder="1" applyAlignment="1">
      <alignment horizontal="center" vertical="center"/>
    </xf>
    <xf numFmtId="0" fontId="21" fillId="2" borderId="3" xfId="0" applyFont="1" applyFill="1" applyBorder="1" applyAlignment="1">
      <alignment horizontal="center" vertical="center"/>
    </xf>
    <xf numFmtId="0" fontId="21" fillId="2" borderId="4" xfId="0" applyFont="1" applyFill="1" applyBorder="1" applyAlignment="1">
      <alignment horizontal="center" vertical="center"/>
    </xf>
    <xf numFmtId="0" fontId="21" fillId="2" borderId="5" xfId="0" applyFont="1" applyFill="1" applyBorder="1" applyAlignment="1">
      <alignment horizontal="center" vertical="center"/>
    </xf>
    <xf numFmtId="0" fontId="21" fillId="2" borderId="9" xfId="0" applyFont="1" applyFill="1" applyBorder="1" applyAlignment="1">
      <alignment horizontal="center" vertical="center"/>
    </xf>
    <xf numFmtId="0" fontId="21" fillId="2" borderId="11" xfId="0" applyFont="1" applyFill="1" applyBorder="1" applyAlignment="1">
      <alignment horizontal="center" vertical="center"/>
    </xf>
    <xf numFmtId="0" fontId="74" fillId="0" borderId="80" xfId="0" applyFont="1" applyBorder="1" applyAlignment="1">
      <alignment horizontal="center" vertical="center" wrapText="1"/>
    </xf>
    <xf numFmtId="0" fontId="74" fillId="0" borderId="81" xfId="0" applyFont="1" applyBorder="1" applyAlignment="1">
      <alignment horizontal="center" vertical="center" wrapText="1"/>
    </xf>
    <xf numFmtId="0" fontId="74" fillId="0" borderId="82" xfId="0" applyFont="1" applyBorder="1" applyAlignment="1">
      <alignment horizontal="center" vertical="center" wrapText="1"/>
    </xf>
    <xf numFmtId="49" fontId="31" fillId="0" borderId="0" xfId="0" applyNumberFormat="1" applyFont="1" applyAlignment="1">
      <alignment horizontal="center" vertical="center"/>
    </xf>
    <xf numFmtId="0" fontId="31" fillId="0" borderId="80" xfId="0" applyFont="1" applyBorder="1" applyAlignment="1">
      <alignment horizontal="center" vertical="center" wrapText="1"/>
    </xf>
    <xf numFmtId="0" fontId="31" fillId="0" borderId="82" xfId="0" applyFont="1" applyBorder="1" applyAlignment="1">
      <alignment horizontal="center" vertical="center" wrapText="1"/>
    </xf>
    <xf numFmtId="0" fontId="53" fillId="0" borderId="0" xfId="0" applyFont="1" applyAlignment="1">
      <alignment horizontal="left" vertical="center"/>
    </xf>
    <xf numFmtId="0" fontId="53" fillId="0" borderId="15" xfId="0" applyFont="1" applyBorder="1" applyAlignment="1">
      <alignment horizontal="left" vertical="center"/>
    </xf>
    <xf numFmtId="3" fontId="53" fillId="0" borderId="0" xfId="0" applyNumberFormat="1" applyFont="1" applyAlignment="1">
      <alignment horizontal="left" vertical="center"/>
    </xf>
    <xf numFmtId="3" fontId="53" fillId="0" borderId="17" xfId="0" applyNumberFormat="1" applyFont="1" applyBorder="1" applyAlignment="1">
      <alignment horizontal="right" vertical="center"/>
    </xf>
    <xf numFmtId="0" fontId="53" fillId="0" borderId="17" xfId="0" applyFont="1" applyBorder="1" applyAlignment="1">
      <alignment horizontal="right" vertical="center"/>
    </xf>
    <xf numFmtId="3" fontId="53" fillId="4" borderId="83" xfId="0" applyNumberFormat="1" applyFont="1" applyFill="1" applyBorder="1" applyAlignment="1">
      <alignment horizontal="center" vertical="center" wrapText="1"/>
    </xf>
    <xf numFmtId="0" fontId="53" fillId="4" borderId="81" xfId="0" applyFont="1" applyFill="1" applyBorder="1" applyAlignment="1">
      <alignment horizontal="center" vertical="center" wrapText="1"/>
    </xf>
    <xf numFmtId="0" fontId="74" fillId="0" borderId="83" xfId="0" applyFont="1" applyBorder="1" applyAlignment="1">
      <alignment horizontal="left" vertical="center" wrapText="1" indent="1"/>
    </xf>
    <xf numFmtId="0" fontId="50" fillId="10" borderId="24" xfId="0" applyFont="1" applyFill="1" applyBorder="1" applyAlignment="1">
      <alignment horizontal="center" vertical="center" wrapText="1"/>
    </xf>
    <xf numFmtId="0" fontId="50" fillId="0" borderId="164" xfId="0" applyFont="1" applyBorder="1" applyAlignment="1" applyProtection="1">
      <alignment horizontal="center" vertical="center" wrapText="1"/>
      <protection locked="0"/>
    </xf>
    <xf numFmtId="0" fontId="50" fillId="0" borderId="81" xfId="0" applyFont="1" applyBorder="1" applyAlignment="1" applyProtection="1">
      <alignment horizontal="center" vertical="center" wrapText="1"/>
      <protection locked="0"/>
    </xf>
    <xf numFmtId="0" fontId="50" fillId="0" borderId="82" xfId="0" applyFont="1" applyBorder="1" applyAlignment="1" applyProtection="1">
      <alignment horizontal="center" vertical="center" wrapText="1"/>
      <protection locked="0"/>
    </xf>
    <xf numFmtId="0" fontId="53" fillId="0" borderId="83" xfId="0" applyFont="1" applyBorder="1" applyAlignment="1">
      <alignment horizontal="left" vertical="center" wrapText="1" indent="1"/>
    </xf>
    <xf numFmtId="0" fontId="50" fillId="0" borderId="80" xfId="0" applyFont="1" applyBorder="1" applyAlignment="1" applyProtection="1">
      <alignment horizontal="center" vertical="center" wrapText="1"/>
      <protection locked="0"/>
    </xf>
    <xf numFmtId="0" fontId="53" fillId="0" borderId="80" xfId="0" applyFont="1" applyBorder="1" applyAlignment="1">
      <alignment horizontal="center" vertical="center" wrapText="1"/>
    </xf>
    <xf numFmtId="0" fontId="53" fillId="0" borderId="81" xfId="0" applyFont="1" applyBorder="1" applyAlignment="1">
      <alignment horizontal="center" vertical="center" wrapText="1"/>
    </xf>
    <xf numFmtId="0" fontId="53" fillId="0" borderId="82" xfId="0" applyFont="1" applyBorder="1" applyAlignment="1">
      <alignment horizontal="center" vertical="center" wrapText="1"/>
    </xf>
    <xf numFmtId="0" fontId="53" fillId="0" borderId="84" xfId="0" applyFont="1" applyBorder="1" applyAlignment="1">
      <alignment horizontal="center" vertical="center" wrapText="1"/>
    </xf>
    <xf numFmtId="0" fontId="53" fillId="0" borderId="116" xfId="0" applyFont="1" applyBorder="1" applyAlignment="1">
      <alignment horizontal="center" vertical="center" wrapText="1"/>
    </xf>
    <xf numFmtId="0" fontId="53" fillId="0" borderId="85" xfId="0" applyFont="1" applyBorder="1" applyAlignment="1">
      <alignment horizontal="center" vertical="center" wrapText="1"/>
    </xf>
    <xf numFmtId="0" fontId="53" fillId="0" borderId="117" xfId="0" applyFont="1" applyBorder="1" applyAlignment="1">
      <alignment horizontal="center" vertical="center" wrapText="1"/>
    </xf>
    <xf numFmtId="0" fontId="53" fillId="0" borderId="0" xfId="0" applyFont="1" applyAlignment="1">
      <alignment horizontal="center" vertical="center" wrapText="1"/>
    </xf>
    <xf numFmtId="0" fontId="53" fillId="0" borderId="118" xfId="0" applyFont="1" applyBorder="1" applyAlignment="1">
      <alignment horizontal="center" vertical="center" wrapText="1"/>
    </xf>
    <xf numFmtId="0" fontId="50" fillId="0" borderId="84" xfId="0" applyFont="1" applyBorder="1" applyAlignment="1" applyProtection="1">
      <alignment horizontal="center" vertical="center" wrapText="1"/>
      <protection locked="0"/>
    </xf>
    <xf numFmtId="0" fontId="50" fillId="0" borderId="116" xfId="0" applyFont="1" applyBorder="1" applyAlignment="1" applyProtection="1">
      <alignment horizontal="center" vertical="center" wrapText="1"/>
      <protection locked="0"/>
    </xf>
    <xf numFmtId="0" fontId="50" fillId="0" borderId="85" xfId="0" applyFont="1" applyBorder="1" applyAlignment="1" applyProtection="1">
      <alignment horizontal="center" vertical="center" wrapText="1"/>
      <protection locked="0"/>
    </xf>
    <xf numFmtId="0" fontId="50" fillId="0" borderId="86" xfId="0" applyFont="1" applyBorder="1" applyAlignment="1" applyProtection="1">
      <alignment horizontal="center" vertical="center" wrapText="1"/>
      <protection locked="0"/>
    </xf>
    <xf numFmtId="0" fontId="50" fillId="0" borderId="134" xfId="0" applyFont="1" applyBorder="1" applyAlignment="1" applyProtection="1">
      <alignment horizontal="center" vertical="center" wrapText="1"/>
      <protection locked="0"/>
    </xf>
    <xf numFmtId="0" fontId="50" fillId="0" borderId="87" xfId="0" applyFont="1" applyBorder="1" applyAlignment="1" applyProtection="1">
      <alignment horizontal="center" vertical="center" wrapText="1"/>
      <protection locked="0"/>
    </xf>
    <xf numFmtId="0" fontId="53" fillId="10" borderId="24" xfId="0" applyFont="1" applyFill="1" applyBorder="1" applyAlignment="1">
      <alignment horizontal="center" vertical="center" wrapText="1"/>
    </xf>
    <xf numFmtId="3" fontId="53" fillId="0" borderId="135" xfId="0" applyNumberFormat="1" applyFont="1" applyBorder="1" applyAlignment="1">
      <alignment horizontal="right" vertical="center"/>
    </xf>
    <xf numFmtId="0" fontId="53" fillId="0" borderId="135" xfId="0" applyFont="1" applyBorder="1" applyAlignment="1">
      <alignment horizontal="right" vertical="center"/>
    </xf>
    <xf numFmtId="0" fontId="15" fillId="2" borderId="0" xfId="0" applyFont="1" applyFill="1" applyAlignment="1">
      <alignment horizontal="center" vertical="top"/>
    </xf>
    <xf numFmtId="3" fontId="21" fillId="4" borderId="2" xfId="0" applyNumberFormat="1" applyFont="1" applyFill="1" applyBorder="1" applyAlignment="1">
      <alignment horizontal="center" vertical="center"/>
    </xf>
    <xf numFmtId="3" fontId="21" fillId="4" borderId="3" xfId="0" applyNumberFormat="1" applyFont="1" applyFill="1" applyBorder="1" applyAlignment="1">
      <alignment horizontal="center" vertical="center"/>
    </xf>
    <xf numFmtId="0" fontId="46" fillId="2" borderId="22" xfId="0" applyFont="1" applyFill="1" applyBorder="1" applyAlignment="1">
      <alignment vertical="center"/>
    </xf>
    <xf numFmtId="3" fontId="31" fillId="4" borderId="21" xfId="0" applyNumberFormat="1" applyFont="1" applyFill="1" applyBorder="1" applyAlignment="1">
      <alignment horizontal="center" vertical="center"/>
    </xf>
    <xf numFmtId="0" fontId="31" fillId="4" borderId="22" xfId="0" applyFont="1" applyFill="1" applyBorder="1" applyAlignment="1">
      <alignment horizontal="center" vertical="center"/>
    </xf>
    <xf numFmtId="0" fontId="31" fillId="4" borderId="23" xfId="0" applyFont="1" applyFill="1" applyBorder="1" applyAlignment="1">
      <alignment horizontal="center" vertical="center"/>
    </xf>
    <xf numFmtId="0" fontId="63" fillId="2" borderId="22" xfId="0" applyFont="1" applyFill="1" applyBorder="1" applyAlignment="1">
      <alignment vertical="center"/>
    </xf>
    <xf numFmtId="0" fontId="56" fillId="2" borderId="21" xfId="0" applyFont="1" applyFill="1" applyBorder="1" applyAlignment="1">
      <alignment horizontal="center" vertical="center" wrapText="1"/>
    </xf>
    <xf numFmtId="0" fontId="56" fillId="2" borderId="23" xfId="0" applyFont="1" applyFill="1" applyBorder="1" applyAlignment="1">
      <alignment horizontal="center" vertical="center" wrapText="1"/>
    </xf>
    <xf numFmtId="0" fontId="52" fillId="0" borderId="84" xfId="0" applyFont="1" applyBorder="1" applyAlignment="1">
      <alignment horizontal="center" vertical="center" wrapText="1"/>
    </xf>
    <xf numFmtId="0" fontId="52" fillId="0" borderId="85" xfId="0" applyFont="1" applyBorder="1" applyAlignment="1">
      <alignment horizontal="center" vertical="center" wrapText="1"/>
    </xf>
    <xf numFmtId="0" fontId="52" fillId="0" borderId="86" xfId="0" applyFont="1" applyBorder="1" applyAlignment="1">
      <alignment horizontal="center" vertical="center" wrapText="1"/>
    </xf>
    <xf numFmtId="0" fontId="52" fillId="0" borderId="87" xfId="0" applyFont="1" applyBorder="1" applyAlignment="1">
      <alignment horizontal="center" vertical="center" wrapText="1"/>
    </xf>
    <xf numFmtId="3" fontId="31" fillId="4" borderId="1" xfId="0" applyNumberFormat="1" applyFont="1" applyFill="1" applyBorder="1" applyAlignment="1">
      <alignment horizontal="center" vertical="center"/>
    </xf>
    <xf numFmtId="0" fontId="56" fillId="2" borderId="21" xfId="0" applyFont="1" applyFill="1" applyBorder="1" applyAlignment="1" applyProtection="1">
      <alignment horizontal="left" vertical="center"/>
      <protection locked="0"/>
    </xf>
    <xf numFmtId="0" fontId="56" fillId="2" borderId="23" xfId="0" applyFont="1" applyFill="1" applyBorder="1" applyAlignment="1" applyProtection="1">
      <alignment horizontal="left" vertical="center"/>
      <protection locked="0"/>
    </xf>
    <xf numFmtId="3" fontId="31" fillId="4" borderId="1" xfId="0" applyNumberFormat="1" applyFont="1" applyFill="1" applyBorder="1" applyAlignment="1">
      <alignment horizontal="center"/>
    </xf>
    <xf numFmtId="0" fontId="56" fillId="2" borderId="21" xfId="0" applyFont="1" applyFill="1" applyBorder="1" applyAlignment="1">
      <alignment horizontal="left" vertical="center" wrapText="1"/>
    </xf>
    <xf numFmtId="0" fontId="56" fillId="2" borderId="23" xfId="0" applyFont="1" applyFill="1" applyBorder="1" applyAlignment="1">
      <alignment horizontal="left" vertical="center" wrapText="1"/>
    </xf>
    <xf numFmtId="0" fontId="17" fillId="2" borderId="2" xfId="0" applyFont="1" applyFill="1" applyBorder="1" applyAlignment="1">
      <alignment vertical="center"/>
    </xf>
    <xf numFmtId="0" fontId="31" fillId="4" borderId="21" xfId="0" applyFont="1" applyFill="1" applyBorder="1" applyAlignment="1">
      <alignment horizontal="center" vertical="center"/>
    </xf>
    <xf numFmtId="0" fontId="31" fillId="11" borderId="1" xfId="0" applyFont="1" applyFill="1" applyBorder="1" applyAlignment="1">
      <alignment horizontal="center"/>
    </xf>
    <xf numFmtId="0" fontId="31" fillId="11" borderId="2" xfId="0" applyFont="1" applyFill="1" applyBorder="1" applyAlignment="1">
      <alignment horizontal="center"/>
    </xf>
    <xf numFmtId="0" fontId="31" fillId="11" borderId="9" xfId="0" applyFont="1" applyFill="1" applyBorder="1" applyAlignment="1">
      <alignment horizontal="center"/>
    </xf>
    <xf numFmtId="0" fontId="31" fillId="11" borderId="10" xfId="0" applyFont="1" applyFill="1" applyBorder="1" applyAlignment="1">
      <alignment horizontal="center"/>
    </xf>
    <xf numFmtId="0" fontId="31" fillId="11" borderId="3" xfId="0" applyFont="1" applyFill="1" applyBorder="1" applyAlignment="1">
      <alignment horizontal="center"/>
    </xf>
    <xf numFmtId="0" fontId="31" fillId="11" borderId="11" xfId="0" applyFont="1" applyFill="1" applyBorder="1" applyAlignment="1">
      <alignment horizontal="center"/>
    </xf>
    <xf numFmtId="3" fontId="31" fillId="2" borderId="29" xfId="0" applyNumberFormat="1" applyFont="1" applyFill="1" applyBorder="1" applyAlignment="1">
      <alignment horizontal="center"/>
    </xf>
    <xf numFmtId="3" fontId="31" fillId="2" borderId="19" xfId="0" applyNumberFormat="1" applyFont="1" applyFill="1" applyBorder="1" applyAlignment="1">
      <alignment horizontal="center"/>
    </xf>
    <xf numFmtId="3" fontId="31" fillId="11" borderId="29" xfId="0" applyNumberFormat="1" applyFont="1" applyFill="1" applyBorder="1" applyAlignment="1">
      <alignment horizontal="center"/>
    </xf>
    <xf numFmtId="3" fontId="31" fillId="11" borderId="19" xfId="0" applyNumberFormat="1" applyFont="1" applyFill="1" applyBorder="1" applyAlignment="1">
      <alignment horizontal="center"/>
    </xf>
    <xf numFmtId="0" fontId="21" fillId="2" borderId="19" xfId="0" applyFont="1" applyFill="1" applyBorder="1" applyAlignment="1">
      <alignment horizontal="right"/>
    </xf>
    <xf numFmtId="0" fontId="21" fillId="2" borderId="24" xfId="0" applyFont="1" applyFill="1" applyBorder="1" applyAlignment="1">
      <alignment horizontal="right"/>
    </xf>
    <xf numFmtId="3" fontId="6" fillId="2" borderId="0" xfId="0" applyNumberFormat="1" applyFont="1" applyFill="1" applyAlignment="1" applyProtection="1">
      <alignment horizontal="center"/>
      <protection locked="0"/>
    </xf>
    <xf numFmtId="3" fontId="15" fillId="2" borderId="10" xfId="0" applyNumberFormat="1" applyFont="1" applyFill="1" applyBorder="1" applyAlignment="1">
      <alignment horizontal="center" vertical="top"/>
    </xf>
    <xf numFmtId="3" fontId="31" fillId="4" borderId="3" xfId="0" applyNumberFormat="1" applyFont="1" applyFill="1" applyBorder="1" applyAlignment="1">
      <alignment horizontal="center" vertical="center"/>
    </xf>
    <xf numFmtId="3" fontId="31" fillId="4" borderId="9" xfId="0" applyNumberFormat="1" applyFont="1" applyFill="1" applyBorder="1" applyAlignment="1">
      <alignment horizontal="center" vertical="center"/>
    </xf>
    <xf numFmtId="3" fontId="31" fillId="4" borderId="11" xfId="0" applyNumberFormat="1" applyFont="1" applyFill="1" applyBorder="1" applyAlignment="1">
      <alignment horizontal="center" vertical="center"/>
    </xf>
    <xf numFmtId="3" fontId="31" fillId="4" borderId="29" xfId="0" applyNumberFormat="1" applyFont="1" applyFill="1" applyBorder="1" applyAlignment="1">
      <alignment horizontal="center" vertical="center"/>
    </xf>
    <xf numFmtId="3" fontId="31" fillId="4" borderId="19" xfId="0" applyNumberFormat="1" applyFont="1" applyFill="1" applyBorder="1" applyAlignment="1">
      <alignment horizontal="center" vertical="center"/>
    </xf>
    <xf numFmtId="3" fontId="31" fillId="4" borderId="29" xfId="0" applyNumberFormat="1" applyFont="1" applyFill="1" applyBorder="1" applyAlignment="1">
      <alignment horizontal="center" vertical="center" wrapText="1"/>
    </xf>
    <xf numFmtId="3" fontId="31" fillId="4" borderId="19" xfId="0" applyNumberFormat="1" applyFont="1" applyFill="1" applyBorder="1" applyAlignment="1">
      <alignment horizontal="center" vertical="center" wrapText="1"/>
    </xf>
    <xf numFmtId="9" fontId="31" fillId="4" borderId="29" xfId="2" applyFont="1" applyFill="1" applyBorder="1" applyAlignment="1">
      <alignment horizontal="center" vertical="center" wrapText="1"/>
    </xf>
    <xf numFmtId="9" fontId="31" fillId="4" borderId="19" xfId="2" applyFont="1" applyFill="1" applyBorder="1" applyAlignment="1">
      <alignment horizontal="center" vertical="center" wrapText="1"/>
    </xf>
    <xf numFmtId="3" fontId="31" fillId="4" borderId="24" xfId="0" applyNumberFormat="1" applyFont="1" applyFill="1" applyBorder="1" applyAlignment="1">
      <alignment horizontal="center" vertical="center" wrapText="1"/>
    </xf>
    <xf numFmtId="3" fontId="31" fillId="4" borderId="24" xfId="0" applyNumberFormat="1" applyFont="1" applyFill="1" applyBorder="1" applyAlignment="1">
      <alignment horizontal="center" vertical="center"/>
    </xf>
    <xf numFmtId="3" fontId="21" fillId="4" borderId="24" xfId="0" applyNumberFormat="1" applyFont="1" applyFill="1" applyBorder="1" applyAlignment="1">
      <alignment horizontal="center" vertical="center"/>
    </xf>
    <xf numFmtId="0" fontId="21" fillId="4" borderId="24" xfId="0" applyFont="1" applyFill="1" applyBorder="1" applyAlignment="1">
      <alignment horizontal="center" vertical="center"/>
    </xf>
    <xf numFmtId="0" fontId="14" fillId="2" borderId="0" xfId="0" applyFont="1" applyFill="1" applyAlignment="1">
      <alignment horizontal="left" vertical="top" wrapText="1"/>
    </xf>
    <xf numFmtId="3" fontId="29" fillId="2" borderId="0" xfId="0" applyNumberFormat="1" applyFont="1" applyFill="1" applyAlignment="1">
      <alignment horizontal="right"/>
    </xf>
    <xf numFmtId="0" fontId="29" fillId="2" borderId="0" xfId="0" applyFont="1" applyFill="1" applyAlignment="1">
      <alignment horizontal="right"/>
    </xf>
    <xf numFmtId="3" fontId="29" fillId="4" borderId="1" xfId="0" applyNumberFormat="1" applyFont="1" applyFill="1" applyBorder="1" applyAlignment="1">
      <alignment horizontal="center" vertical="center"/>
    </xf>
    <xf numFmtId="0" fontId="29" fillId="4" borderId="3" xfId="0" applyFont="1" applyFill="1" applyBorder="1" applyAlignment="1">
      <alignment horizontal="center" vertical="center"/>
    </xf>
    <xf numFmtId="0" fontId="29" fillId="4" borderId="9" xfId="0" applyFont="1" applyFill="1" applyBorder="1" applyAlignment="1">
      <alignment horizontal="center" vertical="center"/>
    </xf>
    <xf numFmtId="0" fontId="29" fillId="4" borderId="11" xfId="0" applyFont="1" applyFill="1" applyBorder="1" applyAlignment="1">
      <alignment horizontal="center" vertical="center"/>
    </xf>
    <xf numFmtId="3" fontId="29" fillId="4" borderId="24" xfId="0" applyNumberFormat="1" applyFont="1" applyFill="1" applyBorder="1" applyAlignment="1">
      <alignment horizontal="center" vertical="center"/>
    </xf>
    <xf numFmtId="0" fontId="29" fillId="4" borderId="24" xfId="0" applyFont="1" applyFill="1" applyBorder="1" applyAlignment="1">
      <alignment horizontal="center" vertical="center"/>
    </xf>
    <xf numFmtId="3" fontId="29" fillId="4" borderId="24" xfId="0" applyNumberFormat="1" applyFont="1" applyFill="1" applyBorder="1" applyAlignment="1">
      <alignment horizontal="center" vertical="center" wrapText="1"/>
    </xf>
    <xf numFmtId="0" fontId="29" fillId="4" borderId="24" xfId="0" applyFont="1" applyFill="1" applyBorder="1" applyAlignment="1">
      <alignment horizontal="center" vertical="center" wrapText="1"/>
    </xf>
    <xf numFmtId="9" fontId="29" fillId="4" borderId="24" xfId="0" applyNumberFormat="1" applyFont="1" applyFill="1" applyBorder="1" applyAlignment="1">
      <alignment horizontal="center" vertical="center" wrapText="1"/>
    </xf>
    <xf numFmtId="1" fontId="15" fillId="2" borderId="15" xfId="0" applyNumberFormat="1" applyFont="1" applyFill="1" applyBorder="1" applyAlignment="1" applyProtection="1">
      <alignment horizontal="left"/>
      <protection hidden="1"/>
    </xf>
    <xf numFmtId="1" fontId="15" fillId="2" borderId="14" xfId="0" applyNumberFormat="1" applyFont="1" applyFill="1" applyBorder="1" applyAlignment="1" applyProtection="1">
      <alignment horizontal="left"/>
      <protection hidden="1"/>
    </xf>
    <xf numFmtId="0" fontId="53" fillId="2" borderId="0" xfId="0" applyFont="1" applyFill="1" applyAlignment="1">
      <alignment horizontal="center"/>
    </xf>
    <xf numFmtId="0" fontId="53" fillId="2" borderId="10" xfId="0" applyFont="1" applyFill="1" applyBorder="1" applyAlignment="1">
      <alignment horizontal="center"/>
    </xf>
    <xf numFmtId="0" fontId="53" fillId="4" borderId="21" xfId="0" applyFont="1" applyFill="1" applyBorder="1" applyAlignment="1">
      <alignment horizontal="center"/>
    </xf>
    <xf numFmtId="0" fontId="53" fillId="4" borderId="22" xfId="0" applyFont="1" applyFill="1" applyBorder="1" applyAlignment="1">
      <alignment horizontal="center"/>
    </xf>
    <xf numFmtId="0" fontId="53" fillId="4" borderId="23" xfId="0" applyFont="1" applyFill="1" applyBorder="1" applyAlignment="1">
      <alignment horizontal="center"/>
    </xf>
    <xf numFmtId="3" fontId="53" fillId="4" borderId="1" xfId="0" applyNumberFormat="1" applyFont="1" applyFill="1" applyBorder="1" applyAlignment="1">
      <alignment horizontal="center" vertical="center"/>
    </xf>
    <xf numFmtId="3" fontId="53" fillId="4" borderId="22" xfId="0" applyNumberFormat="1" applyFont="1" applyFill="1" applyBorder="1" applyAlignment="1">
      <alignment horizontal="center"/>
    </xf>
    <xf numFmtId="3" fontId="53" fillId="4" borderId="21" xfId="0" applyNumberFormat="1" applyFont="1" applyFill="1" applyBorder="1" applyAlignment="1">
      <alignment horizontal="center"/>
    </xf>
    <xf numFmtId="0" fontId="21" fillId="2" borderId="21" xfId="0" applyFont="1" applyFill="1" applyBorder="1" applyAlignment="1">
      <alignment vertical="center"/>
    </xf>
    <xf numFmtId="0" fontId="21" fillId="2" borderId="22" xfId="0" applyFont="1" applyFill="1" applyBorder="1" applyAlignment="1">
      <alignment vertical="center"/>
    </xf>
    <xf numFmtId="3" fontId="31" fillId="2" borderId="1" xfId="0" applyNumberFormat="1" applyFont="1" applyFill="1" applyBorder="1" applyAlignment="1" applyProtection="1">
      <alignment vertical="center"/>
      <protection locked="0"/>
    </xf>
    <xf numFmtId="3" fontId="31" fillId="2" borderId="3" xfId="0" applyNumberFormat="1" applyFont="1" applyFill="1" applyBorder="1" applyAlignment="1" applyProtection="1">
      <alignment vertical="center"/>
      <protection locked="0"/>
    </xf>
    <xf numFmtId="0" fontId="21" fillId="4" borderId="21" xfId="0" applyFont="1" applyFill="1" applyBorder="1" applyAlignment="1">
      <alignment horizontal="center"/>
    </xf>
    <xf numFmtId="0" fontId="21" fillId="4" borderId="23" xfId="0" applyFont="1" applyFill="1" applyBorder="1" applyAlignment="1">
      <alignment horizontal="center"/>
    </xf>
    <xf numFmtId="3" fontId="21" fillId="4" borderId="21" xfId="0" applyNumberFormat="1" applyFont="1" applyFill="1" applyBorder="1" applyAlignment="1">
      <alignment vertical="center"/>
    </xf>
    <xf numFmtId="0" fontId="21" fillId="4" borderId="22" xfId="0" applyFont="1" applyFill="1" applyBorder="1" applyAlignment="1">
      <alignment vertical="center"/>
    </xf>
    <xf numFmtId="0" fontId="31" fillId="2" borderId="1" xfId="0" applyFont="1" applyFill="1" applyBorder="1" applyAlignment="1">
      <alignment vertical="center"/>
    </xf>
    <xf numFmtId="0" fontId="31" fillId="2" borderId="2" xfId="0" applyFont="1" applyFill="1" applyBorder="1" applyAlignment="1">
      <alignment vertical="center"/>
    </xf>
    <xf numFmtId="0" fontId="21" fillId="2" borderId="10" xfId="0" applyFont="1" applyFill="1" applyBorder="1" applyAlignment="1">
      <alignment horizontal="center" vertical="center"/>
    </xf>
    <xf numFmtId="0" fontId="21" fillId="2" borderId="21" xfId="0" applyFont="1" applyFill="1" applyBorder="1"/>
    <xf numFmtId="0" fontId="21" fillId="2" borderId="22" xfId="0" applyFont="1" applyFill="1" applyBorder="1"/>
    <xf numFmtId="0" fontId="21" fillId="2" borderId="23" xfId="0" applyFont="1" applyFill="1" applyBorder="1"/>
    <xf numFmtId="3" fontId="21" fillId="4" borderId="21" xfId="0" applyNumberFormat="1" applyFont="1" applyFill="1" applyBorder="1" applyAlignment="1">
      <alignment horizontal="center"/>
    </xf>
    <xf numFmtId="0" fontId="31" fillId="2" borderId="140" xfId="0" applyFont="1" applyFill="1" applyBorder="1" applyAlignment="1" applyProtection="1">
      <alignment horizontal="left" vertical="top"/>
      <protection locked="0"/>
    </xf>
    <xf numFmtId="3" fontId="6" fillId="2" borderId="139" xfId="0" applyNumberFormat="1" applyFont="1" applyFill="1" applyBorder="1" applyAlignment="1">
      <alignment horizontal="right"/>
    </xf>
    <xf numFmtId="0" fontId="6" fillId="2" borderId="139" xfId="0" applyFont="1" applyFill="1" applyBorder="1" applyAlignment="1">
      <alignment horizontal="right"/>
    </xf>
    <xf numFmtId="3" fontId="21" fillId="4" borderId="29" xfId="0" applyNumberFormat="1" applyFont="1" applyFill="1" applyBorder="1" applyAlignment="1">
      <alignment horizontal="center" vertical="center"/>
    </xf>
    <xf numFmtId="9" fontId="21" fillId="4" borderId="29" xfId="0" applyNumberFormat="1" applyFont="1" applyFill="1" applyBorder="1" applyAlignment="1">
      <alignment horizontal="center" vertical="center"/>
    </xf>
    <xf numFmtId="9" fontId="21" fillId="4" borderId="29" xfId="0" applyNumberFormat="1" applyFont="1" applyFill="1" applyBorder="1" applyAlignment="1">
      <alignment horizontal="center" vertical="center" wrapText="1"/>
    </xf>
    <xf numFmtId="0" fontId="21" fillId="4" borderId="20" xfId="0" applyFont="1" applyFill="1" applyBorder="1" applyAlignment="1">
      <alignment horizontal="center" vertical="center" wrapText="1"/>
    </xf>
    <xf numFmtId="0" fontId="21" fillId="4" borderId="19" xfId="0" applyFont="1" applyFill="1" applyBorder="1" applyAlignment="1">
      <alignment horizontal="center" vertical="center" wrapText="1"/>
    </xf>
    <xf numFmtId="0" fontId="21" fillId="2" borderId="21" xfId="0" applyFont="1" applyFill="1" applyBorder="1" applyAlignment="1">
      <alignment horizontal="left" vertical="center"/>
    </xf>
    <xf numFmtId="0" fontId="21" fillId="2" borderId="22" xfId="0" applyFont="1" applyFill="1" applyBorder="1" applyAlignment="1">
      <alignment horizontal="left" vertical="center"/>
    </xf>
    <xf numFmtId="0" fontId="21" fillId="2" borderId="23" xfId="0" applyFont="1" applyFill="1" applyBorder="1" applyAlignment="1">
      <alignment horizontal="left" vertical="center"/>
    </xf>
    <xf numFmtId="0" fontId="21" fillId="2" borderId="23" xfId="0" applyFont="1" applyFill="1" applyBorder="1" applyAlignment="1">
      <alignment vertical="center"/>
    </xf>
    <xf numFmtId="3" fontId="21" fillId="4" borderId="22" xfId="0" applyNumberFormat="1" applyFont="1" applyFill="1" applyBorder="1" applyAlignment="1">
      <alignment horizontal="center" vertical="center"/>
    </xf>
    <xf numFmtId="3" fontId="21" fillId="4" borderId="23" xfId="0" applyNumberFormat="1" applyFont="1" applyFill="1" applyBorder="1" applyAlignment="1">
      <alignment horizontal="center" vertical="center"/>
    </xf>
    <xf numFmtId="0" fontId="31" fillId="2" borderId="21" xfId="0" applyFont="1" applyFill="1" applyBorder="1" applyAlignment="1">
      <alignment vertical="center"/>
    </xf>
    <xf numFmtId="0" fontId="31" fillId="2" borderId="22" xfId="0" applyFont="1" applyFill="1" applyBorder="1" applyAlignment="1">
      <alignment vertical="center"/>
    </xf>
    <xf numFmtId="0" fontId="31" fillId="2" borderId="23" xfId="0" applyFont="1" applyFill="1" applyBorder="1" applyAlignment="1">
      <alignment vertical="center"/>
    </xf>
    <xf numFmtId="0" fontId="31" fillId="2" borderId="1" xfId="0" applyFont="1" applyFill="1" applyBorder="1" applyAlignment="1">
      <alignment vertical="center" wrapText="1"/>
    </xf>
    <xf numFmtId="0" fontId="31" fillId="2" borderId="2" xfId="0" applyFont="1" applyFill="1" applyBorder="1" applyAlignment="1">
      <alignment vertical="center" wrapText="1"/>
    </xf>
    <xf numFmtId="0" fontId="31" fillId="2" borderId="3" xfId="0" applyFont="1" applyFill="1" applyBorder="1" applyAlignment="1">
      <alignment vertical="center" wrapText="1"/>
    </xf>
    <xf numFmtId="0" fontId="31" fillId="2" borderId="3" xfId="0" applyFont="1" applyFill="1" applyBorder="1" applyAlignment="1">
      <alignment horizontal="left" vertical="center" wrapText="1"/>
    </xf>
    <xf numFmtId="0" fontId="31" fillId="2" borderId="3" xfId="0" applyFont="1" applyFill="1" applyBorder="1" applyAlignment="1">
      <alignment vertical="center"/>
    </xf>
    <xf numFmtId="3" fontId="29" fillId="4" borderId="21" xfId="0" applyNumberFormat="1" applyFont="1" applyFill="1" applyBorder="1" applyAlignment="1">
      <alignment horizontal="center" vertical="center"/>
    </xf>
    <xf numFmtId="0" fontId="29" fillId="4" borderId="22" xfId="0" applyFont="1" applyFill="1" applyBorder="1" applyAlignment="1">
      <alignment horizontal="center" vertical="center"/>
    </xf>
    <xf numFmtId="0" fontId="29" fillId="4" borderId="23" xfId="0" applyFont="1" applyFill="1" applyBorder="1" applyAlignment="1">
      <alignment horizontal="center" vertical="center"/>
    </xf>
    <xf numFmtId="0" fontId="75" fillId="0" borderId="21" xfId="0" applyFont="1" applyBorder="1" applyAlignment="1">
      <alignment horizontal="center" vertical="center" wrapText="1"/>
    </xf>
    <xf numFmtId="0" fontId="75" fillId="0" borderId="22" xfId="0" applyFont="1" applyBorder="1" applyAlignment="1">
      <alignment horizontal="center" vertical="center" wrapText="1"/>
    </xf>
    <xf numFmtId="0" fontId="75" fillId="0" borderId="23" xfId="0" applyFont="1" applyBorder="1" applyAlignment="1">
      <alignment horizontal="center" vertical="center" wrapText="1"/>
    </xf>
    <xf numFmtId="0" fontId="31" fillId="2" borderId="0" xfId="0" applyFont="1" applyFill="1" applyAlignment="1">
      <alignment horizontal="center" wrapText="1"/>
    </xf>
    <xf numFmtId="0" fontId="96" fillId="2" borderId="122" xfId="0" applyFont="1" applyFill="1" applyBorder="1" applyAlignment="1" applyProtection="1">
      <alignment horizontal="left" vertical="top"/>
      <protection locked="0"/>
    </xf>
    <xf numFmtId="0" fontId="29" fillId="2" borderId="0" xfId="0" applyFont="1" applyFill="1" applyAlignment="1" applyProtection="1">
      <alignment horizontal="center"/>
      <protection locked="0"/>
    </xf>
    <xf numFmtId="0" fontId="96" fillId="2" borderId="145" xfId="0" applyFont="1" applyFill="1" applyBorder="1" applyAlignment="1" applyProtection="1">
      <alignment horizontal="left" vertical="top"/>
      <protection locked="0"/>
    </xf>
    <xf numFmtId="0" fontId="42" fillId="2" borderId="165" xfId="0" applyFont="1" applyFill="1" applyBorder="1" applyAlignment="1">
      <alignment horizontal="left" vertical="center" wrapText="1"/>
    </xf>
    <xf numFmtId="0" fontId="42" fillId="2" borderId="0" xfId="0" applyFont="1" applyFill="1" applyAlignment="1">
      <alignment horizontal="left" vertical="center" wrapText="1"/>
    </xf>
    <xf numFmtId="0" fontId="42" fillId="2" borderId="5" xfId="0" applyFont="1" applyFill="1" applyBorder="1" applyAlignment="1">
      <alignment horizontal="left" vertical="center" wrapText="1"/>
    </xf>
    <xf numFmtId="49" fontId="36" fillId="0" borderId="84" xfId="0" applyNumberFormat="1" applyFont="1" applyBorder="1" applyAlignment="1">
      <alignment horizontal="center" vertical="center" wrapText="1"/>
    </xf>
    <xf numFmtId="49" fontId="36" fillId="0" borderId="85" xfId="0" applyNumberFormat="1" applyFont="1" applyBorder="1" applyAlignment="1">
      <alignment horizontal="center" vertical="center" wrapText="1"/>
    </xf>
    <xf numFmtId="49" fontId="36" fillId="0" borderId="86" xfId="0" applyNumberFormat="1" applyFont="1" applyBorder="1" applyAlignment="1">
      <alignment horizontal="center" vertical="center" wrapText="1"/>
    </xf>
    <xf numFmtId="49" fontId="36" fillId="0" borderId="87" xfId="0" applyNumberFormat="1" applyFont="1" applyBorder="1" applyAlignment="1">
      <alignment horizontal="center" vertical="center" wrapText="1"/>
    </xf>
    <xf numFmtId="0" fontId="29" fillId="2" borderId="21" xfId="0" applyFont="1" applyFill="1" applyBorder="1" applyAlignment="1">
      <alignment horizontal="left" vertical="center"/>
    </xf>
    <xf numFmtId="0" fontId="29" fillId="2" borderId="22" xfId="0" applyFont="1" applyFill="1" applyBorder="1" applyAlignment="1">
      <alignment horizontal="left" vertical="center"/>
    </xf>
    <xf numFmtId="0" fontId="29" fillId="2" borderId="23" xfId="0" applyFont="1" applyFill="1" applyBorder="1" applyAlignment="1">
      <alignment horizontal="left" vertical="center"/>
    </xf>
    <xf numFmtId="3" fontId="29" fillId="4" borderId="19" xfId="0" applyNumberFormat="1" applyFont="1" applyFill="1" applyBorder="1" applyAlignment="1">
      <alignment horizontal="center" vertical="center"/>
    </xf>
    <xf numFmtId="0" fontId="29" fillId="4" borderId="19" xfId="0" applyFont="1" applyFill="1" applyBorder="1" applyAlignment="1">
      <alignment horizontal="center" vertical="center"/>
    </xf>
    <xf numFmtId="0" fontId="29" fillId="2" borderId="21" xfId="0" applyFont="1" applyFill="1" applyBorder="1" applyAlignment="1">
      <alignment vertical="center"/>
    </xf>
    <xf numFmtId="0" fontId="29" fillId="2" borderId="22" xfId="0" applyFont="1" applyFill="1" applyBorder="1" applyAlignment="1">
      <alignment vertical="center"/>
    </xf>
    <xf numFmtId="0" fontId="29" fillId="2" borderId="23" xfId="0" applyFont="1" applyFill="1" applyBorder="1" applyAlignment="1">
      <alignment vertical="center"/>
    </xf>
    <xf numFmtId="0" fontId="96" fillId="2" borderId="140" xfId="0" applyFont="1" applyFill="1" applyBorder="1" applyAlignment="1" applyProtection="1">
      <alignment horizontal="left" vertical="top"/>
      <protection locked="0"/>
    </xf>
    <xf numFmtId="0" fontId="79" fillId="6" borderId="146" xfId="0" applyFont="1" applyFill="1" applyBorder="1" applyAlignment="1">
      <alignment horizontal="right" vertical="center" wrapText="1"/>
    </xf>
    <xf numFmtId="0" fontId="79" fillId="6" borderId="83" xfId="0" applyFont="1" applyFill="1" applyBorder="1" applyAlignment="1">
      <alignment horizontal="center" vertical="center" wrapText="1"/>
    </xf>
    <xf numFmtId="0" fontId="78" fillId="0" borderId="80" xfId="0" applyFont="1" applyBorder="1" applyAlignment="1">
      <alignment horizontal="center" vertical="center" wrapText="1"/>
    </xf>
    <xf numFmtId="0" fontId="78" fillId="0" borderId="82" xfId="0" applyFont="1" applyBorder="1" applyAlignment="1">
      <alignment horizontal="center" vertical="center"/>
    </xf>
    <xf numFmtId="0" fontId="3" fillId="0" borderId="14" xfId="0" applyFont="1" applyBorder="1" applyAlignment="1">
      <alignment horizontal="left"/>
    </xf>
    <xf numFmtId="0" fontId="52" fillId="0" borderId="83" xfId="0" applyFont="1" applyBorder="1" applyAlignment="1">
      <alignment horizontal="left" vertical="center" wrapText="1" indent="1"/>
    </xf>
    <xf numFmtId="0" fontId="79" fillId="6" borderId="147" xfId="0" applyFont="1" applyFill="1" applyBorder="1" applyAlignment="1">
      <alignment horizontal="center" vertical="center" wrapText="1"/>
    </xf>
    <xf numFmtId="0" fontId="79" fillId="6" borderId="146" xfId="0" applyFont="1" applyFill="1" applyBorder="1" applyAlignment="1">
      <alignment horizontal="center" vertical="center" wrapText="1"/>
    </xf>
    <xf numFmtId="0" fontId="79" fillId="0" borderId="83" xfId="0" applyFont="1" applyBorder="1" applyAlignment="1">
      <alignment horizontal="center" vertical="center" wrapText="1"/>
    </xf>
    <xf numFmtId="0" fontId="79" fillId="6" borderId="148" xfId="0" applyFont="1" applyFill="1" applyBorder="1" applyAlignment="1">
      <alignment horizontal="left" vertical="center" wrapText="1"/>
    </xf>
    <xf numFmtId="0" fontId="78" fillId="6" borderId="83" xfId="0" applyFont="1" applyFill="1" applyBorder="1" applyAlignment="1">
      <alignment horizontal="left" vertical="center" wrapText="1" indent="1"/>
    </xf>
    <xf numFmtId="0" fontId="81" fillId="0" borderId="146" xfId="0" applyFont="1" applyBorder="1" applyAlignment="1">
      <alignment horizontal="center" vertical="center" wrapText="1"/>
    </xf>
    <xf numFmtId="0" fontId="81" fillId="0" borderId="147" xfId="0" applyFont="1" applyBorder="1" applyAlignment="1">
      <alignment horizontal="center" vertical="center" wrapText="1"/>
    </xf>
    <xf numFmtId="0" fontId="78" fillId="0" borderId="0" xfId="0" applyFont="1" applyAlignment="1">
      <alignment horizontal="left" vertical="center" wrapText="1"/>
    </xf>
    <xf numFmtId="3" fontId="52" fillId="0" borderId="83" xfId="0" applyNumberFormat="1" applyFont="1" applyBorder="1" applyAlignment="1" applyProtection="1">
      <alignment vertical="center" wrapText="1"/>
      <protection locked="0"/>
    </xf>
    <xf numFmtId="0" fontId="52" fillId="0" borderId="149" xfId="0" applyFont="1" applyBorder="1" applyAlignment="1">
      <alignment horizontal="center" vertical="center" wrapText="1"/>
    </xf>
    <xf numFmtId="0" fontId="52" fillId="0" borderId="150" xfId="0" applyFont="1" applyBorder="1" applyAlignment="1">
      <alignment horizontal="center" vertical="center" wrapText="1"/>
    </xf>
    <xf numFmtId="0" fontId="52" fillId="0" borderId="151" xfId="0" applyFont="1" applyBorder="1" applyAlignment="1">
      <alignment horizontal="center" vertical="center" wrapText="1"/>
    </xf>
    <xf numFmtId="0" fontId="52" fillId="0" borderId="88" xfId="0" applyFont="1" applyBorder="1" applyAlignment="1">
      <alignment horizontal="center" vertical="center" wrapText="1"/>
    </xf>
    <xf numFmtId="3" fontId="29" fillId="0" borderId="0" xfId="0" applyNumberFormat="1" applyFont="1" applyAlignment="1">
      <alignment horizontal="center" vertical="center"/>
    </xf>
    <xf numFmtId="0" fontId="62" fillId="0" borderId="83" xfId="0" applyFont="1" applyBorder="1" applyAlignment="1">
      <alignment horizontal="left" vertical="center" wrapText="1" indent="1"/>
    </xf>
    <xf numFmtId="0" fontId="83" fillId="0" borderId="116" xfId="0" applyFont="1" applyBorder="1" applyAlignment="1">
      <alignment horizontal="left" indent="1"/>
    </xf>
    <xf numFmtId="0" fontId="83" fillId="0" borderId="0" xfId="0" applyFont="1" applyAlignment="1">
      <alignment horizontal="left" vertical="top" wrapText="1" indent="1"/>
    </xf>
    <xf numFmtId="3" fontId="81" fillId="6" borderId="80" xfId="0" applyNumberFormat="1" applyFont="1" applyFill="1" applyBorder="1" applyAlignment="1">
      <alignment horizontal="center" vertical="center"/>
    </xf>
    <xf numFmtId="3" fontId="81" fillId="6" borderId="82" xfId="0" applyNumberFormat="1" applyFont="1" applyFill="1" applyBorder="1" applyAlignment="1">
      <alignment horizontal="center" vertical="center"/>
    </xf>
    <xf numFmtId="49" fontId="26" fillId="0" borderId="0" xfId="0" applyNumberFormat="1" applyFont="1" applyAlignment="1">
      <alignment horizontal="center" vertical="center"/>
    </xf>
    <xf numFmtId="0" fontId="6" fillId="0" borderId="80" xfId="0" applyFont="1" applyBorder="1" applyAlignment="1">
      <alignment horizontal="center" vertical="center" wrapText="1"/>
    </xf>
    <xf numFmtId="0" fontId="6" fillId="0" borderId="82" xfId="0" applyFont="1" applyBorder="1" applyAlignment="1">
      <alignment horizontal="center" vertical="center"/>
    </xf>
    <xf numFmtId="0" fontId="15" fillId="4" borderId="84" xfId="0" applyFont="1" applyFill="1" applyBorder="1" applyAlignment="1">
      <alignment horizontal="right" vertical="center" wrapText="1"/>
    </xf>
    <xf numFmtId="0" fontId="15" fillId="4" borderId="116" xfId="0" applyFont="1" applyFill="1" applyBorder="1" applyAlignment="1">
      <alignment horizontal="right" vertical="center" wrapText="1"/>
    </xf>
    <xf numFmtId="0" fontId="15" fillId="4" borderId="85" xfId="0" applyFont="1" applyFill="1" applyBorder="1" applyAlignment="1">
      <alignment horizontal="right" vertical="center" wrapText="1"/>
    </xf>
    <xf numFmtId="0" fontId="15" fillId="4" borderId="83" xfId="0" applyFont="1" applyFill="1" applyBorder="1" applyAlignment="1">
      <alignment horizontal="center" vertical="center" wrapText="1"/>
    </xf>
    <xf numFmtId="0" fontId="93" fillId="4" borderId="117" xfId="0" applyFont="1" applyFill="1" applyBorder="1" applyAlignment="1">
      <alignment horizontal="center" vertical="center" wrapText="1"/>
    </xf>
    <xf numFmtId="0" fontId="93" fillId="4" borderId="0" xfId="0" applyFont="1" applyFill="1" applyAlignment="1">
      <alignment horizontal="center" vertical="center" wrapText="1"/>
    </xf>
    <xf numFmtId="0" fontId="93" fillId="4" borderId="118" xfId="0" applyFont="1" applyFill="1" applyBorder="1" applyAlignment="1">
      <alignment horizontal="center" vertical="center" wrapText="1"/>
    </xf>
    <xf numFmtId="0" fontId="15" fillId="4" borderId="86" xfId="0" applyFont="1" applyFill="1" applyBorder="1" applyAlignment="1">
      <alignment horizontal="left" wrapText="1"/>
    </xf>
    <xf numFmtId="0" fontId="15" fillId="4" borderId="134" xfId="0" applyFont="1" applyFill="1" applyBorder="1" applyAlignment="1">
      <alignment horizontal="left" wrapText="1"/>
    </xf>
    <xf numFmtId="0" fontId="15" fillId="4" borderId="87" xfId="0" applyFont="1" applyFill="1" applyBorder="1" applyAlignment="1">
      <alignment horizontal="left" wrapText="1"/>
    </xf>
    <xf numFmtId="0" fontId="87" fillId="0" borderId="80" xfId="0" applyFont="1" applyBorder="1" applyAlignment="1">
      <alignment vertical="center" wrapText="1"/>
    </xf>
    <xf numFmtId="0" fontId="87" fillId="0" borderId="81" xfId="0" applyFont="1" applyBorder="1" applyAlignment="1">
      <alignment vertical="center" wrapText="1"/>
    </xf>
    <xf numFmtId="0" fontId="87" fillId="0" borderId="82" xfId="0" applyFont="1" applyBorder="1" applyAlignment="1">
      <alignment vertical="center" wrapText="1"/>
    </xf>
    <xf numFmtId="0" fontId="6" fillId="0" borderId="83" xfId="0" applyFont="1" applyBorder="1" applyAlignment="1">
      <alignment vertical="center" wrapText="1"/>
    </xf>
    <xf numFmtId="0" fontId="87" fillId="6" borderId="83" xfId="0" applyFont="1" applyFill="1" applyBorder="1" applyAlignment="1">
      <alignment horizontal="left" vertical="center" wrapText="1" indent="1"/>
    </xf>
    <xf numFmtId="0" fontId="37" fillId="2" borderId="91" xfId="0" applyFont="1" applyFill="1" applyBorder="1" applyAlignment="1" applyProtection="1">
      <alignment horizontal="left" vertical="top"/>
      <protection locked="0"/>
    </xf>
    <xf numFmtId="0" fontId="6" fillId="6" borderId="83" xfId="0" applyFont="1" applyFill="1" applyBorder="1" applyAlignment="1">
      <alignment horizontal="left" vertical="center" wrapText="1" indent="1"/>
    </xf>
    <xf numFmtId="0" fontId="36" fillId="4" borderId="4" xfId="0" applyFont="1" applyFill="1" applyBorder="1"/>
    <xf numFmtId="0" fontId="36" fillId="4" borderId="0" xfId="0" applyFont="1" applyFill="1"/>
    <xf numFmtId="0" fontId="36" fillId="4" borderId="5" xfId="0" applyFont="1" applyFill="1" applyBorder="1"/>
    <xf numFmtId="0" fontId="29" fillId="4" borderId="1" xfId="0" applyFont="1" applyFill="1" applyBorder="1" applyAlignment="1">
      <alignment horizontal="center" wrapText="1"/>
    </xf>
    <xf numFmtId="0" fontId="29" fillId="4" borderId="3" xfId="0" applyFont="1" applyFill="1" applyBorder="1" applyAlignment="1">
      <alignment horizontal="center" wrapText="1"/>
    </xf>
    <xf numFmtId="0" fontId="29" fillId="4" borderId="4" xfId="0" applyFont="1" applyFill="1" applyBorder="1" applyAlignment="1">
      <alignment horizontal="center" wrapText="1"/>
    </xf>
    <xf numFmtId="0" fontId="29" fillId="4" borderId="5" xfId="0" applyFont="1" applyFill="1" applyBorder="1" applyAlignment="1">
      <alignment horizontal="center" wrapText="1"/>
    </xf>
    <xf numFmtId="0" fontId="29" fillId="4" borderId="9" xfId="0" applyFont="1" applyFill="1" applyBorder="1" applyAlignment="1">
      <alignment horizontal="center" wrapText="1"/>
    </xf>
    <xf numFmtId="0" fontId="29" fillId="4" borderId="11" xfId="0" applyFont="1" applyFill="1" applyBorder="1" applyAlignment="1">
      <alignment horizontal="center" wrapText="1"/>
    </xf>
    <xf numFmtId="0" fontId="29" fillId="4" borderId="1" xfId="0" applyFont="1" applyFill="1" applyBorder="1" applyAlignment="1">
      <alignment horizontal="center" vertical="center" wrapText="1"/>
    </xf>
    <xf numFmtId="0" fontId="29" fillId="4" borderId="3" xfId="0" applyFont="1" applyFill="1" applyBorder="1" applyAlignment="1">
      <alignment horizontal="center" vertical="center" wrapText="1"/>
    </xf>
    <xf numFmtId="0" fontId="29" fillId="4" borderId="4" xfId="0" applyFont="1" applyFill="1" applyBorder="1" applyAlignment="1">
      <alignment horizontal="center" vertical="center" wrapText="1"/>
    </xf>
    <xf numFmtId="0" fontId="29" fillId="4" borderId="5" xfId="0" applyFont="1" applyFill="1" applyBorder="1" applyAlignment="1">
      <alignment horizontal="center" vertical="center" wrapText="1"/>
    </xf>
    <xf numFmtId="0" fontId="29" fillId="4" borderId="9" xfId="0" applyFont="1" applyFill="1" applyBorder="1" applyAlignment="1">
      <alignment horizontal="center" vertical="center" wrapText="1"/>
    </xf>
    <xf numFmtId="0" fontId="29" fillId="4" borderId="11" xfId="0" applyFont="1" applyFill="1" applyBorder="1" applyAlignment="1">
      <alignment horizontal="center" vertical="center" wrapText="1"/>
    </xf>
    <xf numFmtId="3" fontId="29" fillId="4" borderId="4" xfId="0" applyNumberFormat="1" applyFont="1" applyFill="1" applyBorder="1"/>
    <xf numFmtId="0" fontId="29" fillId="4" borderId="0" xfId="0" applyFont="1" applyFill="1"/>
    <xf numFmtId="0" fontId="29" fillId="4" borderId="5" xfId="0" applyFont="1" applyFill="1" applyBorder="1"/>
    <xf numFmtId="0" fontId="36" fillId="4" borderId="9" xfId="0" applyFont="1" applyFill="1" applyBorder="1"/>
    <xf numFmtId="0" fontId="36" fillId="4" borderId="10" xfId="0" applyFont="1" applyFill="1" applyBorder="1"/>
    <xf numFmtId="0" fontId="36" fillId="4" borderId="11" xfId="0" applyFont="1" applyFill="1" applyBorder="1"/>
    <xf numFmtId="49" fontId="36" fillId="0" borderId="0" xfId="0" applyNumberFormat="1" applyFont="1" applyAlignment="1">
      <alignment horizontal="center" vertical="center"/>
    </xf>
    <xf numFmtId="0" fontId="36" fillId="0" borderId="21" xfId="0" applyFont="1" applyBorder="1" applyAlignment="1">
      <alignment horizontal="center" vertical="center" wrapText="1"/>
    </xf>
    <xf numFmtId="0" fontId="36" fillId="0" borderId="23" xfId="0" applyFont="1" applyBorder="1" applyAlignment="1">
      <alignment horizontal="center" vertical="center" wrapText="1"/>
    </xf>
    <xf numFmtId="0" fontId="29" fillId="0" borderId="17" xfId="0" applyFont="1" applyBorder="1" applyAlignment="1">
      <alignment horizontal="right" vertical="center"/>
    </xf>
    <xf numFmtId="0" fontId="29" fillId="0" borderId="0" xfId="0" applyFont="1" applyAlignment="1">
      <alignment horizontal="right" vertical="center"/>
    </xf>
    <xf numFmtId="0" fontId="16" fillId="0" borderId="0" xfId="0" applyFont="1" applyAlignment="1">
      <alignment horizontal="center" vertical="center"/>
    </xf>
    <xf numFmtId="0" fontId="29" fillId="4" borderId="1" xfId="0" applyFont="1" applyFill="1" applyBorder="1" applyAlignment="1">
      <alignment horizontal="right"/>
    </xf>
    <xf numFmtId="0" fontId="29" fillId="4" borderId="2" xfId="0" applyFont="1" applyFill="1" applyBorder="1" applyAlignment="1">
      <alignment horizontal="right"/>
    </xf>
    <xf numFmtId="0" fontId="29" fillId="4" borderId="3" xfId="0" applyFont="1" applyFill="1" applyBorder="1" applyAlignment="1">
      <alignment horizontal="right"/>
    </xf>
    <xf numFmtId="0" fontId="29" fillId="4" borderId="29" xfId="0" applyFont="1" applyFill="1" applyBorder="1" applyAlignment="1">
      <alignment horizontal="center"/>
    </xf>
    <xf numFmtId="0" fontId="29" fillId="4" borderId="21" xfId="0" applyFont="1" applyFill="1" applyBorder="1" applyAlignment="1">
      <alignment horizontal="center"/>
    </xf>
    <xf numFmtId="0" fontId="29" fillId="4" borderId="23" xfId="0" applyFont="1" applyFill="1" applyBorder="1" applyAlignment="1">
      <alignment horizontal="center"/>
    </xf>
    <xf numFmtId="3" fontId="36" fillId="0" borderId="19" xfId="0" applyNumberFormat="1" applyFont="1" applyBorder="1" applyAlignment="1">
      <alignment vertical="center"/>
    </xf>
    <xf numFmtId="0" fontId="36" fillId="0" borderId="19" xfId="0" applyFont="1" applyBorder="1" applyAlignment="1">
      <alignment vertical="center"/>
    </xf>
    <xf numFmtId="3" fontId="36" fillId="6" borderId="19" xfId="0" applyNumberFormat="1" applyFont="1" applyFill="1" applyBorder="1" applyAlignment="1" applyProtection="1">
      <alignment vertical="center"/>
      <protection locked="0"/>
    </xf>
    <xf numFmtId="0" fontId="36" fillId="6" borderId="19" xfId="0" applyFont="1" applyFill="1" applyBorder="1" applyAlignment="1" applyProtection="1">
      <alignment vertical="center"/>
      <protection locked="0"/>
    </xf>
    <xf numFmtId="0" fontId="29" fillId="6" borderId="21" xfId="0" applyFont="1" applyFill="1" applyBorder="1" applyAlignment="1">
      <alignment horizontal="left" vertical="center"/>
    </xf>
    <xf numFmtId="0" fontId="29" fillId="6" borderId="22" xfId="0" applyFont="1" applyFill="1" applyBorder="1" applyAlignment="1">
      <alignment horizontal="left" vertical="center"/>
    </xf>
    <xf numFmtId="0" fontId="29" fillId="6" borderId="23" xfId="0" applyFont="1" applyFill="1" applyBorder="1" applyAlignment="1">
      <alignment horizontal="left" vertical="center"/>
    </xf>
    <xf numFmtId="3" fontId="29" fillId="6" borderId="24" xfId="0" applyNumberFormat="1" applyFont="1" applyFill="1" applyBorder="1" applyAlignment="1">
      <alignment horizontal="right" vertical="center"/>
    </xf>
    <xf numFmtId="0" fontId="29" fillId="6" borderId="24" xfId="0" applyFont="1" applyFill="1" applyBorder="1" applyAlignment="1">
      <alignment horizontal="right" vertical="center"/>
    </xf>
    <xf numFmtId="0" fontId="96" fillId="2" borderId="91" xfId="0" applyFont="1" applyFill="1" applyBorder="1" applyAlignment="1" applyProtection="1">
      <alignment horizontal="left" vertical="center"/>
      <protection locked="0"/>
    </xf>
    <xf numFmtId="0" fontId="29" fillId="0" borderId="0" xfId="0" applyFont="1" applyAlignment="1">
      <alignment horizontal="center" vertical="center"/>
    </xf>
    <xf numFmtId="0" fontId="7" fillId="0" borderId="24" xfId="0" applyFont="1" applyBorder="1" applyAlignment="1">
      <alignment horizontal="left" vertical="center"/>
    </xf>
    <xf numFmtId="0" fontId="7" fillId="0" borderId="21" xfId="0" applyFont="1" applyBorder="1" applyAlignment="1">
      <alignment horizontal="center" vertical="center"/>
    </xf>
    <xf numFmtId="0" fontId="7" fillId="0" borderId="23" xfId="0" applyFont="1" applyBorder="1" applyAlignment="1">
      <alignment horizontal="center" vertical="center"/>
    </xf>
    <xf numFmtId="0" fontId="97" fillId="6" borderId="21" xfId="0" applyFont="1" applyFill="1" applyBorder="1" applyAlignment="1">
      <alignment horizontal="left" vertical="center"/>
    </xf>
    <xf numFmtId="0" fontId="97" fillId="6" borderId="22" xfId="0" applyFont="1" applyFill="1" applyBorder="1" applyAlignment="1">
      <alignment horizontal="left" vertical="center"/>
    </xf>
    <xf numFmtId="0" fontId="97" fillId="6" borderId="23" xfId="0" applyFont="1" applyFill="1" applyBorder="1" applyAlignment="1">
      <alignment horizontal="left" vertical="center"/>
    </xf>
    <xf numFmtId="49" fontId="36" fillId="2" borderId="0" xfId="0" applyNumberFormat="1" applyFont="1" applyFill="1" applyAlignment="1">
      <alignment horizontal="center" vertical="center"/>
    </xf>
    <xf numFmtId="0" fontId="36" fillId="2" borderId="80" xfId="0" applyFont="1" applyFill="1" applyBorder="1" applyAlignment="1">
      <alignment horizontal="center" vertical="center" wrapText="1"/>
    </xf>
    <xf numFmtId="0" fontId="36" fillId="2" borderId="82" xfId="0" applyFont="1" applyFill="1" applyBorder="1" applyAlignment="1">
      <alignment horizontal="center" vertical="center" wrapText="1"/>
    </xf>
    <xf numFmtId="0" fontId="16" fillId="2" borderId="0" xfId="0" applyFont="1" applyFill="1" applyAlignment="1">
      <alignment horizontal="center" vertical="center"/>
    </xf>
    <xf numFmtId="0" fontId="29" fillId="4" borderId="22" xfId="0" applyFont="1" applyFill="1" applyBorder="1" applyAlignment="1">
      <alignment horizontal="center"/>
    </xf>
    <xf numFmtId="0" fontId="29" fillId="4" borderId="4" xfId="0" applyFont="1" applyFill="1" applyBorder="1"/>
    <xf numFmtId="0" fontId="29" fillId="4" borderId="29" xfId="0" applyFont="1" applyFill="1" applyBorder="1" applyAlignment="1">
      <alignment horizontal="center" vertical="center" wrapText="1"/>
    </xf>
    <xf numFmtId="0" fontId="29" fillId="4" borderId="20" xfId="0" applyFont="1" applyFill="1" applyBorder="1" applyAlignment="1">
      <alignment horizontal="center" vertical="center" wrapText="1"/>
    </xf>
    <xf numFmtId="0" fontId="29" fillId="4" borderId="19" xfId="0" applyFont="1" applyFill="1" applyBorder="1" applyAlignment="1">
      <alignment horizontal="center" vertical="center" wrapText="1"/>
    </xf>
    <xf numFmtId="0" fontId="29" fillId="4" borderId="29" xfId="0" applyFont="1" applyFill="1" applyBorder="1" applyAlignment="1">
      <alignment horizontal="center" vertical="center"/>
    </xf>
    <xf numFmtId="0" fontId="29" fillId="4" borderId="9" xfId="0" applyFont="1" applyFill="1" applyBorder="1"/>
    <xf numFmtId="0" fontId="29" fillId="4" borderId="11" xfId="0" applyFont="1" applyFill="1" applyBorder="1"/>
    <xf numFmtId="0" fontId="36" fillId="2" borderId="84" xfId="0" applyFont="1" applyFill="1" applyBorder="1" applyAlignment="1">
      <alignment horizontal="center" vertical="center" wrapText="1"/>
    </xf>
    <xf numFmtId="0" fontId="36" fillId="2" borderId="85" xfId="0" applyFont="1" applyFill="1" applyBorder="1" applyAlignment="1">
      <alignment horizontal="center" vertical="center" wrapText="1"/>
    </xf>
    <xf numFmtId="0" fontId="36" fillId="2" borderId="86" xfId="0" applyFont="1" applyFill="1" applyBorder="1" applyAlignment="1">
      <alignment horizontal="center" vertical="center" wrapText="1"/>
    </xf>
    <xf numFmtId="0" fontId="36" fillId="2" borderId="87" xfId="0" applyFont="1" applyFill="1" applyBorder="1" applyAlignment="1">
      <alignment horizontal="center" vertical="center" wrapText="1"/>
    </xf>
    <xf numFmtId="0" fontId="29" fillId="2" borderId="139" xfId="0" applyFont="1" applyFill="1" applyBorder="1" applyAlignment="1">
      <alignment horizontal="right"/>
    </xf>
    <xf numFmtId="0" fontId="36" fillId="2" borderId="21" xfId="0" applyFont="1" applyFill="1" applyBorder="1" applyAlignment="1">
      <alignment horizontal="left" vertical="center" wrapText="1"/>
    </xf>
    <xf numFmtId="0" fontId="36" fillId="2" borderId="22" xfId="0" applyFont="1" applyFill="1" applyBorder="1" applyAlignment="1">
      <alignment horizontal="left" vertical="center" wrapText="1"/>
    </xf>
    <xf numFmtId="0" fontId="36" fillId="2" borderId="23" xfId="0" applyFont="1" applyFill="1" applyBorder="1" applyAlignment="1">
      <alignment horizontal="left" vertical="center" wrapText="1"/>
    </xf>
    <xf numFmtId="0" fontId="16" fillId="2" borderId="10" xfId="0" applyFont="1" applyFill="1" applyBorder="1" applyAlignment="1">
      <alignment horizontal="center" vertical="center"/>
    </xf>
    <xf numFmtId="0" fontId="42" fillId="0" borderId="21" xfId="0" applyFont="1" applyBorder="1" applyAlignment="1">
      <alignment horizontal="left" vertical="center" wrapText="1"/>
    </xf>
    <xf numFmtId="0" fontId="42" fillId="0" borderId="22" xfId="0" applyFont="1" applyBorder="1" applyAlignment="1">
      <alignment horizontal="left" vertical="center" wrapText="1"/>
    </xf>
    <xf numFmtId="0" fontId="42" fillId="0" borderId="23" xfId="0" applyFont="1" applyBorder="1" applyAlignment="1">
      <alignment horizontal="left" vertical="center" wrapText="1"/>
    </xf>
    <xf numFmtId="169" fontId="88" fillId="2" borderId="21" xfId="0" applyNumberFormat="1" applyFont="1" applyFill="1" applyBorder="1" applyAlignment="1">
      <alignment vertical="center"/>
    </xf>
    <xf numFmtId="169" fontId="88" fillId="2" borderId="23" xfId="0" applyNumberFormat="1" applyFont="1" applyFill="1" applyBorder="1" applyAlignment="1">
      <alignment vertical="center"/>
    </xf>
    <xf numFmtId="3" fontId="21" fillId="2" borderId="0" xfId="0" applyNumberFormat="1" applyFont="1" applyFill="1" applyAlignment="1" applyProtection="1">
      <alignment horizontal="center" vertical="top"/>
      <protection locked="0"/>
    </xf>
    <xf numFmtId="0" fontId="26" fillId="2" borderId="84" xfId="0" applyFont="1" applyFill="1" applyBorder="1" applyAlignment="1">
      <alignment horizontal="center" vertical="center" wrapText="1"/>
    </xf>
    <xf numFmtId="0" fontId="26" fillId="2" borderId="85" xfId="0" applyFont="1" applyFill="1" applyBorder="1" applyAlignment="1">
      <alignment horizontal="center" vertical="center" wrapText="1"/>
    </xf>
    <xf numFmtId="0" fontId="26" fillId="2" borderId="86" xfId="0" applyFont="1" applyFill="1" applyBorder="1" applyAlignment="1">
      <alignment horizontal="center" vertical="center" wrapText="1"/>
    </xf>
    <xf numFmtId="0" fontId="26" fillId="2" borderId="87" xfId="0" applyFont="1" applyFill="1" applyBorder="1" applyAlignment="1">
      <alignment horizontal="center" vertical="center" wrapText="1"/>
    </xf>
    <xf numFmtId="169" fontId="21" fillId="2" borderId="139" xfId="0" applyNumberFormat="1" applyFont="1" applyFill="1" applyBorder="1" applyAlignment="1">
      <alignment horizontal="right"/>
    </xf>
    <xf numFmtId="169" fontId="15" fillId="2" borderId="10" xfId="0" applyNumberFormat="1" applyFont="1" applyFill="1" applyBorder="1" applyAlignment="1">
      <alignment horizontal="center" vertical="center"/>
    </xf>
    <xf numFmtId="169" fontId="88" fillId="2" borderId="9" xfId="0" applyNumberFormat="1" applyFont="1" applyFill="1" applyBorder="1" applyAlignment="1">
      <alignment vertical="center"/>
    </xf>
    <xf numFmtId="169" fontId="88" fillId="2" borderId="11" xfId="0" applyNumberFormat="1" applyFont="1" applyFill="1" applyBorder="1" applyAlignment="1">
      <alignment vertical="center"/>
    </xf>
    <xf numFmtId="169" fontId="56" fillId="2" borderId="21" xfId="0" applyNumberFormat="1" applyFont="1" applyFill="1" applyBorder="1" applyAlignment="1">
      <alignment vertical="center"/>
    </xf>
    <xf numFmtId="169" fontId="56" fillId="2" borderId="23" xfId="0" applyNumberFormat="1" applyFont="1" applyFill="1" applyBorder="1" applyAlignment="1">
      <alignment vertical="center"/>
    </xf>
    <xf numFmtId="1" fontId="88" fillId="4" borderId="29" xfId="0" applyNumberFormat="1" applyFont="1" applyFill="1" applyBorder="1" applyAlignment="1">
      <alignment horizontal="center" vertical="center"/>
    </xf>
    <xf numFmtId="1" fontId="88" fillId="4" borderId="19" xfId="0" applyNumberFormat="1" applyFont="1" applyFill="1" applyBorder="1" applyAlignment="1">
      <alignment horizontal="center" vertical="center"/>
    </xf>
    <xf numFmtId="0" fontId="21" fillId="2" borderId="0" xfId="0" applyFont="1" applyFill="1" applyAlignment="1" applyProtection="1">
      <alignment horizontal="center"/>
      <protection locked="0"/>
    </xf>
    <xf numFmtId="0" fontId="21" fillId="2" borderId="139" xfId="0" applyFont="1" applyFill="1" applyBorder="1" applyAlignment="1">
      <alignment horizontal="right"/>
    </xf>
    <xf numFmtId="0" fontId="53" fillId="4" borderId="21" xfId="0" applyFont="1" applyFill="1" applyBorder="1" applyAlignment="1">
      <alignment horizontal="center" vertical="top" wrapText="1"/>
    </xf>
    <xf numFmtId="0" fontId="53" fillId="4" borderId="23" xfId="0" applyFont="1" applyFill="1" applyBorder="1" applyAlignment="1">
      <alignment horizontal="center" vertical="top" wrapText="1"/>
    </xf>
    <xf numFmtId="0" fontId="50" fillId="4" borderId="24" xfId="0" applyFont="1" applyFill="1" applyBorder="1" applyAlignment="1">
      <alignment horizontal="center" vertical="center"/>
    </xf>
    <xf numFmtId="0" fontId="50" fillId="4" borderId="29" xfId="0" applyFont="1" applyFill="1" applyBorder="1" applyAlignment="1">
      <alignment horizontal="center" vertical="center" wrapText="1"/>
    </xf>
    <xf numFmtId="0" fontId="50" fillId="4" borderId="20" xfId="0" applyFont="1" applyFill="1" applyBorder="1" applyAlignment="1">
      <alignment horizontal="center" vertical="center" wrapText="1"/>
    </xf>
    <xf numFmtId="0" fontId="50" fillId="4" borderId="19" xfId="0" applyFont="1" applyFill="1" applyBorder="1" applyAlignment="1">
      <alignment horizontal="center" vertical="center" wrapText="1"/>
    </xf>
    <xf numFmtId="0" fontId="50" fillId="4" borderId="21" xfId="0" applyFont="1" applyFill="1" applyBorder="1" applyAlignment="1">
      <alignment horizontal="center" vertical="center"/>
    </xf>
    <xf numFmtId="0" fontId="50" fillId="4" borderId="22" xfId="0" applyFont="1" applyFill="1" applyBorder="1" applyAlignment="1">
      <alignment horizontal="center" vertical="center"/>
    </xf>
    <xf numFmtId="0" fontId="50" fillId="4" borderId="23" xfId="0" applyFont="1" applyFill="1" applyBorder="1" applyAlignment="1">
      <alignment horizontal="center" vertical="center"/>
    </xf>
    <xf numFmtId="3" fontId="88" fillId="8" borderId="21" xfId="0" applyNumberFormat="1" applyFont="1" applyFill="1" applyBorder="1" applyAlignment="1">
      <alignment horizontal="right" vertical="center"/>
    </xf>
    <xf numFmtId="3" fontId="88" fillId="8" borderId="22" xfId="0" applyNumberFormat="1" applyFont="1" applyFill="1" applyBorder="1" applyAlignment="1">
      <alignment horizontal="right" vertical="center"/>
    </xf>
    <xf numFmtId="0" fontId="88" fillId="4" borderId="24" xfId="0" applyFont="1" applyFill="1" applyBorder="1" applyAlignment="1">
      <alignment horizontal="center" vertical="center"/>
    </xf>
    <xf numFmtId="0" fontId="88" fillId="4" borderId="21" xfId="0" applyFont="1" applyFill="1" applyBorder="1" applyAlignment="1">
      <alignment horizontal="center" vertical="center"/>
    </xf>
    <xf numFmtId="3" fontId="88" fillId="16" borderId="21" xfId="0" applyNumberFormat="1" applyFont="1" applyFill="1" applyBorder="1" applyAlignment="1">
      <alignment horizontal="right" vertical="center"/>
    </xf>
    <xf numFmtId="3" fontId="88" fillId="16" borderId="22" xfId="0" applyNumberFormat="1" applyFont="1" applyFill="1" applyBorder="1" applyAlignment="1">
      <alignment horizontal="right" vertical="center"/>
    </xf>
    <xf numFmtId="3" fontId="88" fillId="16" borderId="23" xfId="0" applyNumberFormat="1" applyFont="1" applyFill="1" applyBorder="1" applyAlignment="1">
      <alignment horizontal="right" vertical="center"/>
    </xf>
    <xf numFmtId="0" fontId="21" fillId="2" borderId="0" xfId="0" applyFont="1" applyFill="1" applyAlignment="1">
      <alignment horizontal="center"/>
    </xf>
    <xf numFmtId="0" fontId="88" fillId="4" borderId="22" xfId="0" applyFont="1" applyFill="1" applyBorder="1" applyAlignment="1">
      <alignment horizontal="center" vertical="center"/>
    </xf>
    <xf numFmtId="0" fontId="88" fillId="4" borderId="23" xfId="0" applyFont="1" applyFill="1" applyBorder="1" applyAlignment="1">
      <alignment horizontal="center" vertical="center"/>
    </xf>
    <xf numFmtId="0" fontId="21" fillId="2" borderId="21" xfId="0" applyFont="1" applyFill="1" applyBorder="1" applyAlignment="1">
      <alignment horizontal="center" vertical="center"/>
    </xf>
    <xf numFmtId="0" fontId="21" fillId="2" borderId="22" xfId="0" applyFont="1" applyFill="1" applyBorder="1" applyAlignment="1">
      <alignment horizontal="center" vertical="center"/>
    </xf>
    <xf numFmtId="0" fontId="21" fillId="2" borderId="23" xfId="0" applyFont="1" applyFill="1" applyBorder="1" applyAlignment="1">
      <alignment horizontal="center" vertical="center"/>
    </xf>
    <xf numFmtId="0" fontId="17" fillId="16" borderId="4" xfId="0" applyFont="1" applyFill="1" applyBorder="1" applyAlignment="1">
      <alignment horizontal="center"/>
    </xf>
    <xf numFmtId="0" fontId="17" fillId="16" borderId="0" xfId="0" applyFont="1" applyFill="1" applyAlignment="1">
      <alignment horizontal="center"/>
    </xf>
    <xf numFmtId="0" fontId="17" fillId="16" borderId="5" xfId="0" applyFont="1" applyFill="1" applyBorder="1" applyAlignment="1">
      <alignment horizontal="center"/>
    </xf>
    <xf numFmtId="0" fontId="17" fillId="2" borderId="21" xfId="0" applyFont="1" applyFill="1" applyBorder="1" applyAlignment="1">
      <alignment horizontal="center"/>
    </xf>
    <xf numFmtId="0" fontId="17" fillId="2" borderId="23" xfId="0" applyFont="1" applyFill="1" applyBorder="1" applyAlignment="1">
      <alignment horizontal="center"/>
    </xf>
    <xf numFmtId="0" fontId="75" fillId="2" borderId="0" xfId="0" applyFont="1" applyFill="1" applyAlignment="1">
      <alignment horizontal="center"/>
    </xf>
    <xf numFmtId="0" fontId="75" fillId="2" borderId="5" xfId="0" applyFont="1" applyFill="1" applyBorder="1" applyAlignment="1">
      <alignment horizontal="center"/>
    </xf>
    <xf numFmtId="0" fontId="54" fillId="2" borderId="21" xfId="0" applyFont="1" applyFill="1" applyBorder="1" applyAlignment="1">
      <alignment horizontal="center"/>
    </xf>
    <xf numFmtId="0" fontId="54" fillId="2" borderId="22" xfId="0" applyFont="1" applyFill="1" applyBorder="1" applyAlignment="1">
      <alignment horizontal="center"/>
    </xf>
    <xf numFmtId="0" fontId="54" fillId="2" borderId="23" xfId="0" applyFont="1" applyFill="1" applyBorder="1" applyAlignment="1">
      <alignment horizontal="center"/>
    </xf>
    <xf numFmtId="0" fontId="15" fillId="16" borderId="21" xfId="0" applyFont="1" applyFill="1" applyBorder="1" applyAlignment="1">
      <alignment horizontal="center" vertical="center"/>
    </xf>
    <xf numFmtId="0" fontId="15" fillId="16" borderId="23" xfId="0" applyFont="1" applyFill="1" applyBorder="1" applyAlignment="1">
      <alignment horizontal="center" vertical="center"/>
    </xf>
    <xf numFmtId="0" fontId="17" fillId="4" borderId="4" xfId="0" applyFont="1" applyFill="1" applyBorder="1" applyAlignment="1">
      <alignment horizontal="center"/>
    </xf>
    <xf numFmtId="0" fontId="17" fillId="4" borderId="0" xfId="0" applyFont="1" applyFill="1" applyAlignment="1">
      <alignment horizontal="center"/>
    </xf>
    <xf numFmtId="0" fontId="17" fillId="4" borderId="5" xfId="0" applyFont="1" applyFill="1" applyBorder="1" applyAlignment="1">
      <alignment horizontal="center"/>
    </xf>
    <xf numFmtId="0" fontId="14" fillId="2" borderId="21" xfId="0" applyFont="1" applyFill="1" applyBorder="1" applyAlignment="1">
      <alignment horizontal="center"/>
    </xf>
    <xf numFmtId="0" fontId="14" fillId="2" borderId="23" xfId="0" applyFont="1" applyFill="1" applyBorder="1" applyAlignment="1">
      <alignment horizontal="center"/>
    </xf>
    <xf numFmtId="0" fontId="15" fillId="4" borderId="21" xfId="0" applyFont="1" applyFill="1" applyBorder="1" applyAlignment="1">
      <alignment horizontal="center" vertical="center"/>
    </xf>
    <xf numFmtId="0" fontId="15" fillId="4" borderId="23" xfId="0" applyFont="1" applyFill="1" applyBorder="1" applyAlignment="1">
      <alignment horizontal="center" vertical="center"/>
    </xf>
    <xf numFmtId="0" fontId="17" fillId="2" borderId="9" xfId="0" applyFont="1" applyFill="1" applyBorder="1" applyAlignment="1">
      <alignment horizontal="center"/>
    </xf>
    <xf numFmtId="0" fontId="17" fillId="2" borderId="11" xfId="0" applyFont="1" applyFill="1" applyBorder="1" applyAlignment="1">
      <alignment horizontal="center"/>
    </xf>
    <xf numFmtId="0" fontId="54" fillId="2" borderId="9" xfId="0" applyFont="1" applyFill="1" applyBorder="1" applyAlignment="1">
      <alignment horizontal="center"/>
    </xf>
    <xf numFmtId="0" fontId="54" fillId="2" borderId="10" xfId="0" applyFont="1" applyFill="1" applyBorder="1" applyAlignment="1">
      <alignment horizontal="center"/>
    </xf>
    <xf numFmtId="0" fontId="54" fillId="2" borderId="11" xfId="0" applyFont="1" applyFill="1" applyBorder="1" applyAlignment="1">
      <alignment horizontal="center"/>
    </xf>
    <xf numFmtId="0" fontId="75" fillId="2" borderId="21" xfId="0" applyFont="1" applyFill="1" applyBorder="1" applyAlignment="1">
      <alignment horizontal="center"/>
    </xf>
    <xf numFmtId="0" fontId="75" fillId="2" borderId="22" xfId="0" applyFont="1" applyFill="1" applyBorder="1" applyAlignment="1">
      <alignment horizontal="center"/>
    </xf>
    <xf numFmtId="0" fontId="75" fillId="2" borderId="23" xfId="0" applyFont="1" applyFill="1" applyBorder="1" applyAlignment="1">
      <alignment horizontal="center"/>
    </xf>
  </cellXfs>
  <cellStyles count="5">
    <cellStyle name="Milliers" xfId="1" builtinId="3"/>
    <cellStyle name="Normal" xfId="0" builtinId="0"/>
    <cellStyle name="Normal 2 2" xfId="3" xr:uid="{00000000-0005-0000-0000-000002000000}"/>
    <cellStyle name="Normal_LIASSE SYSCOA ESSAI 1999" xfId="4" xr:uid="{00000000-0005-0000-0000-000003000000}"/>
    <cellStyle name="Pourcentage" xfId="2" builtinId="5"/>
  </cellStyles>
  <dxfs count="57">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Radio" checked="Checked" firstButton="1" fmlaLink="$S$10"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238125</xdr:colOff>
          <xdr:row>119</xdr:row>
          <xdr:rowOff>9525</xdr:rowOff>
        </xdr:from>
        <xdr:to>
          <xdr:col>9</xdr:col>
          <xdr:colOff>28575</xdr:colOff>
          <xdr:row>119</xdr:row>
          <xdr:rowOff>257175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238125</xdr:colOff>
          <xdr:row>120</xdr:row>
          <xdr:rowOff>38100</xdr:rowOff>
        </xdr:from>
        <xdr:to>
          <xdr:col>9</xdr:col>
          <xdr:colOff>28575</xdr:colOff>
          <xdr:row>120</xdr:row>
          <xdr:rowOff>285750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238125</xdr:colOff>
          <xdr:row>121</xdr:row>
          <xdr:rowOff>19050</xdr:rowOff>
        </xdr:from>
        <xdr:to>
          <xdr:col>9</xdr:col>
          <xdr:colOff>28575</xdr:colOff>
          <xdr:row>121</xdr:row>
          <xdr:rowOff>276225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238125</xdr:colOff>
          <xdr:row>122</xdr:row>
          <xdr:rowOff>38100</xdr:rowOff>
        </xdr:from>
        <xdr:to>
          <xdr:col>9</xdr:col>
          <xdr:colOff>28575</xdr:colOff>
          <xdr:row>122</xdr:row>
          <xdr:rowOff>285750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238125</xdr:colOff>
          <xdr:row>123</xdr:row>
          <xdr:rowOff>38100</xdr:rowOff>
        </xdr:from>
        <xdr:to>
          <xdr:col>9</xdr:col>
          <xdr:colOff>28575</xdr:colOff>
          <xdr:row>123</xdr:row>
          <xdr:rowOff>285750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xdr:col>
      <xdr:colOff>19050</xdr:colOff>
      <xdr:row>52</xdr:row>
      <xdr:rowOff>57150</xdr:rowOff>
    </xdr:from>
    <xdr:to>
      <xdr:col>3</xdr:col>
      <xdr:colOff>85725</xdr:colOff>
      <xdr:row>52</xdr:row>
      <xdr:rowOff>133350</xdr:rowOff>
    </xdr:to>
    <xdr:sp macro="" textlink="">
      <xdr:nvSpPr>
        <xdr:cNvPr id="10" name="AutoShape 1">
          <a:extLst>
            <a:ext uri="{FF2B5EF4-FFF2-40B4-BE49-F238E27FC236}">
              <a16:creationId xmlns:a16="http://schemas.microsoft.com/office/drawing/2014/main" id="{00000000-0008-0000-0000-00000A000000}"/>
            </a:ext>
          </a:extLst>
        </xdr:cNvPr>
        <xdr:cNvSpPr>
          <a:spLocks noChangeArrowheads="1"/>
        </xdr:cNvSpPr>
      </xdr:nvSpPr>
      <xdr:spPr bwMode="auto">
        <a:xfrm>
          <a:off x="3403600" y="15678150"/>
          <a:ext cx="66675" cy="76200"/>
        </a:xfrm>
        <a:prstGeom prst="flowChartConnector">
          <a:avLst/>
        </a:prstGeom>
        <a:solidFill>
          <a:srgbClr val="424242"/>
        </a:solidFill>
        <a:ln w="9525">
          <a:solidFill>
            <a:srgbClr val="000000"/>
          </a:solidFill>
          <a:round/>
          <a:headEnd/>
          <a:tailEnd/>
        </a:ln>
      </xdr:spPr>
    </xdr:sp>
    <xdr:clientData/>
  </xdr:twoCellAnchor>
  <xdr:twoCellAnchor>
    <xdr:from>
      <xdr:col>3</xdr:col>
      <xdr:colOff>9525</xdr:colOff>
      <xdr:row>54</xdr:row>
      <xdr:rowOff>57150</xdr:rowOff>
    </xdr:from>
    <xdr:to>
      <xdr:col>3</xdr:col>
      <xdr:colOff>76200</xdr:colOff>
      <xdr:row>54</xdr:row>
      <xdr:rowOff>133350</xdr:rowOff>
    </xdr:to>
    <xdr:sp macro="" textlink="">
      <xdr:nvSpPr>
        <xdr:cNvPr id="11" name="AutoShape 1">
          <a:extLst>
            <a:ext uri="{FF2B5EF4-FFF2-40B4-BE49-F238E27FC236}">
              <a16:creationId xmlns:a16="http://schemas.microsoft.com/office/drawing/2014/main" id="{00000000-0008-0000-0000-00000B000000}"/>
            </a:ext>
          </a:extLst>
        </xdr:cNvPr>
        <xdr:cNvSpPr>
          <a:spLocks noChangeArrowheads="1"/>
        </xdr:cNvSpPr>
      </xdr:nvSpPr>
      <xdr:spPr bwMode="auto">
        <a:xfrm>
          <a:off x="3394075" y="16287750"/>
          <a:ext cx="66675" cy="76200"/>
        </a:xfrm>
        <a:prstGeom prst="flowChartConnector">
          <a:avLst/>
        </a:prstGeom>
        <a:solidFill>
          <a:srgbClr val="424242"/>
        </a:solidFill>
        <a:ln w="9525">
          <a:solidFill>
            <a:srgbClr val="000000"/>
          </a:solidFill>
          <a:round/>
          <a:headEnd/>
          <a:tailEnd/>
        </a:ln>
      </xdr:spPr>
    </xdr:sp>
    <xdr:clientData/>
  </xdr:twoCellAnchor>
  <xdr:twoCellAnchor>
    <xdr:from>
      <xdr:col>3</xdr:col>
      <xdr:colOff>19050</xdr:colOff>
      <xdr:row>56</xdr:row>
      <xdr:rowOff>85725</xdr:rowOff>
    </xdr:from>
    <xdr:to>
      <xdr:col>3</xdr:col>
      <xdr:colOff>85725</xdr:colOff>
      <xdr:row>56</xdr:row>
      <xdr:rowOff>161925</xdr:rowOff>
    </xdr:to>
    <xdr:sp macro="" textlink="">
      <xdr:nvSpPr>
        <xdr:cNvPr id="12" name="AutoShape 1">
          <a:extLst>
            <a:ext uri="{FF2B5EF4-FFF2-40B4-BE49-F238E27FC236}">
              <a16:creationId xmlns:a16="http://schemas.microsoft.com/office/drawing/2014/main" id="{00000000-0008-0000-0000-00000C000000}"/>
            </a:ext>
          </a:extLst>
        </xdr:cNvPr>
        <xdr:cNvSpPr>
          <a:spLocks noChangeArrowheads="1"/>
        </xdr:cNvSpPr>
      </xdr:nvSpPr>
      <xdr:spPr bwMode="auto">
        <a:xfrm>
          <a:off x="3403600" y="16925925"/>
          <a:ext cx="66675" cy="76200"/>
        </a:xfrm>
        <a:prstGeom prst="flowChartConnector">
          <a:avLst/>
        </a:prstGeom>
        <a:solidFill>
          <a:srgbClr val="424242"/>
        </a:solidFill>
        <a:ln w="9525">
          <a:solidFill>
            <a:srgbClr val="000000"/>
          </a:solidFill>
          <a:round/>
          <a:headEnd/>
          <a:tailEnd/>
        </a:ln>
      </xdr:spPr>
    </xdr:sp>
    <xdr:clientData/>
  </xdr:twoCellAnchor>
  <xdr:twoCellAnchor>
    <xdr:from>
      <xdr:col>3</xdr:col>
      <xdr:colOff>19050</xdr:colOff>
      <xdr:row>58</xdr:row>
      <xdr:rowOff>85725</xdr:rowOff>
    </xdr:from>
    <xdr:to>
      <xdr:col>3</xdr:col>
      <xdr:colOff>85725</xdr:colOff>
      <xdr:row>58</xdr:row>
      <xdr:rowOff>161925</xdr:rowOff>
    </xdr:to>
    <xdr:sp macro="" textlink="">
      <xdr:nvSpPr>
        <xdr:cNvPr id="13" name="AutoShape 1">
          <a:extLst>
            <a:ext uri="{FF2B5EF4-FFF2-40B4-BE49-F238E27FC236}">
              <a16:creationId xmlns:a16="http://schemas.microsoft.com/office/drawing/2014/main" id="{00000000-0008-0000-0000-00000D000000}"/>
            </a:ext>
          </a:extLst>
        </xdr:cNvPr>
        <xdr:cNvSpPr>
          <a:spLocks noChangeArrowheads="1"/>
        </xdr:cNvSpPr>
      </xdr:nvSpPr>
      <xdr:spPr bwMode="auto">
        <a:xfrm>
          <a:off x="3403600" y="17535525"/>
          <a:ext cx="66675" cy="76200"/>
        </a:xfrm>
        <a:prstGeom prst="flowChartConnector">
          <a:avLst/>
        </a:prstGeom>
        <a:solidFill>
          <a:srgbClr val="424242"/>
        </a:solidFill>
        <a:ln w="9525">
          <a:solidFill>
            <a:srgbClr val="000000"/>
          </a:solidFill>
          <a:round/>
          <a:headEnd/>
          <a:tailEnd/>
        </a:ln>
      </xdr:spPr>
    </xdr:sp>
    <xdr:clientData/>
  </xdr:twoCellAnchor>
  <xdr:twoCellAnchor>
    <xdr:from>
      <xdr:col>3</xdr:col>
      <xdr:colOff>19050</xdr:colOff>
      <xdr:row>60</xdr:row>
      <xdr:rowOff>57150</xdr:rowOff>
    </xdr:from>
    <xdr:to>
      <xdr:col>3</xdr:col>
      <xdr:colOff>85725</xdr:colOff>
      <xdr:row>60</xdr:row>
      <xdr:rowOff>133350</xdr:rowOff>
    </xdr:to>
    <xdr:sp macro="" textlink="">
      <xdr:nvSpPr>
        <xdr:cNvPr id="14" name="AutoShape 1">
          <a:extLst>
            <a:ext uri="{FF2B5EF4-FFF2-40B4-BE49-F238E27FC236}">
              <a16:creationId xmlns:a16="http://schemas.microsoft.com/office/drawing/2014/main" id="{00000000-0008-0000-0000-00000E000000}"/>
            </a:ext>
          </a:extLst>
        </xdr:cNvPr>
        <xdr:cNvSpPr>
          <a:spLocks noChangeArrowheads="1"/>
        </xdr:cNvSpPr>
      </xdr:nvSpPr>
      <xdr:spPr bwMode="auto">
        <a:xfrm>
          <a:off x="3403600" y="18116550"/>
          <a:ext cx="66675" cy="76200"/>
        </a:xfrm>
        <a:prstGeom prst="flowChartConnector">
          <a:avLst/>
        </a:prstGeom>
        <a:solidFill>
          <a:srgbClr val="424242"/>
        </a:solidFill>
        <a:ln w="9525">
          <a:solidFill>
            <a:srgbClr val="000000"/>
          </a:solidFill>
          <a:round/>
          <a:headEnd/>
          <a:tailEnd/>
        </a:ln>
      </xdr:spPr>
    </xdr:sp>
    <xdr:clientData/>
  </xdr:twoCellAnchor>
  <xdr:twoCellAnchor>
    <xdr:from>
      <xdr:col>3</xdr:col>
      <xdr:colOff>19050</xdr:colOff>
      <xdr:row>62</xdr:row>
      <xdr:rowOff>9525</xdr:rowOff>
    </xdr:from>
    <xdr:to>
      <xdr:col>3</xdr:col>
      <xdr:colOff>85725</xdr:colOff>
      <xdr:row>62</xdr:row>
      <xdr:rowOff>85725</xdr:rowOff>
    </xdr:to>
    <xdr:sp macro="" textlink="">
      <xdr:nvSpPr>
        <xdr:cNvPr id="15" name="AutoShape 1">
          <a:extLst>
            <a:ext uri="{FF2B5EF4-FFF2-40B4-BE49-F238E27FC236}">
              <a16:creationId xmlns:a16="http://schemas.microsoft.com/office/drawing/2014/main" id="{00000000-0008-0000-0000-00000F000000}"/>
            </a:ext>
          </a:extLst>
        </xdr:cNvPr>
        <xdr:cNvSpPr>
          <a:spLocks noChangeArrowheads="1"/>
        </xdr:cNvSpPr>
      </xdr:nvSpPr>
      <xdr:spPr bwMode="auto">
        <a:xfrm>
          <a:off x="3403600" y="18678525"/>
          <a:ext cx="66675" cy="76200"/>
        </a:xfrm>
        <a:prstGeom prst="flowChartConnector">
          <a:avLst/>
        </a:prstGeom>
        <a:solidFill>
          <a:srgbClr val="424242"/>
        </a:solidFill>
        <a:ln w="9525">
          <a:solidFill>
            <a:srgbClr val="000000"/>
          </a:solidFill>
          <a:round/>
          <a:headEnd/>
          <a:tailEnd/>
        </a:ln>
      </xdr:spPr>
    </xdr:sp>
    <xdr:clientData/>
  </xdr:twoCellAnchor>
  <xdr:twoCellAnchor>
    <xdr:from>
      <xdr:col>3</xdr:col>
      <xdr:colOff>0</xdr:colOff>
      <xdr:row>66</xdr:row>
      <xdr:rowOff>28575</xdr:rowOff>
    </xdr:from>
    <xdr:to>
      <xdr:col>3</xdr:col>
      <xdr:colOff>66675</xdr:colOff>
      <xdr:row>66</xdr:row>
      <xdr:rowOff>104775</xdr:rowOff>
    </xdr:to>
    <xdr:sp macro="" textlink="">
      <xdr:nvSpPr>
        <xdr:cNvPr id="16" name="AutoShape 1">
          <a:extLst>
            <a:ext uri="{FF2B5EF4-FFF2-40B4-BE49-F238E27FC236}">
              <a16:creationId xmlns:a16="http://schemas.microsoft.com/office/drawing/2014/main" id="{00000000-0008-0000-0000-000010000000}"/>
            </a:ext>
          </a:extLst>
        </xdr:cNvPr>
        <xdr:cNvSpPr>
          <a:spLocks noChangeArrowheads="1"/>
        </xdr:cNvSpPr>
      </xdr:nvSpPr>
      <xdr:spPr bwMode="auto">
        <a:xfrm>
          <a:off x="3384550" y="19916775"/>
          <a:ext cx="66675" cy="76200"/>
        </a:xfrm>
        <a:prstGeom prst="flowChartConnector">
          <a:avLst/>
        </a:prstGeom>
        <a:solidFill>
          <a:srgbClr val="424242"/>
        </a:solidFill>
        <a:ln w="9525">
          <a:solidFill>
            <a:srgbClr val="000000"/>
          </a:solidFill>
          <a:round/>
          <a:headEnd/>
          <a:tailEnd/>
        </a:ln>
      </xdr:spPr>
    </xdr:sp>
    <xdr:clientData/>
  </xdr:twoCellAnchor>
  <xdr:twoCellAnchor>
    <xdr:from>
      <xdr:col>3</xdr:col>
      <xdr:colOff>1</xdr:colOff>
      <xdr:row>68</xdr:row>
      <xdr:rowOff>161925</xdr:rowOff>
    </xdr:from>
    <xdr:to>
      <xdr:col>3</xdr:col>
      <xdr:colOff>45721</xdr:colOff>
      <xdr:row>68</xdr:row>
      <xdr:rowOff>251460</xdr:rowOff>
    </xdr:to>
    <xdr:sp macro="" textlink="">
      <xdr:nvSpPr>
        <xdr:cNvPr id="17" name="AutoShape 1">
          <a:extLst>
            <a:ext uri="{FF2B5EF4-FFF2-40B4-BE49-F238E27FC236}">
              <a16:creationId xmlns:a16="http://schemas.microsoft.com/office/drawing/2014/main" id="{00000000-0008-0000-0000-000011000000}"/>
            </a:ext>
          </a:extLst>
        </xdr:cNvPr>
        <xdr:cNvSpPr>
          <a:spLocks noChangeArrowheads="1"/>
        </xdr:cNvSpPr>
      </xdr:nvSpPr>
      <xdr:spPr bwMode="auto">
        <a:xfrm>
          <a:off x="3384551" y="20659725"/>
          <a:ext cx="45720" cy="89535"/>
        </a:xfrm>
        <a:prstGeom prst="flowChartConnector">
          <a:avLst/>
        </a:prstGeom>
        <a:solidFill>
          <a:srgbClr val="424242"/>
        </a:solidFill>
        <a:ln w="9525">
          <a:solidFill>
            <a:srgbClr val="000000"/>
          </a:solidFill>
          <a:round/>
          <a:headEnd/>
          <a:tailEnd/>
        </a:ln>
      </xdr:spPr>
    </xdr:sp>
    <xdr:clientData/>
  </xdr:twoCellAnchor>
  <xdr:twoCellAnchor>
    <xdr:from>
      <xdr:col>3</xdr:col>
      <xdr:colOff>0</xdr:colOff>
      <xdr:row>71</xdr:row>
      <xdr:rowOff>19050</xdr:rowOff>
    </xdr:from>
    <xdr:to>
      <xdr:col>3</xdr:col>
      <xdr:colOff>66675</xdr:colOff>
      <xdr:row>71</xdr:row>
      <xdr:rowOff>95250</xdr:rowOff>
    </xdr:to>
    <xdr:sp macro="" textlink="">
      <xdr:nvSpPr>
        <xdr:cNvPr id="18" name="AutoShape 1">
          <a:extLst>
            <a:ext uri="{FF2B5EF4-FFF2-40B4-BE49-F238E27FC236}">
              <a16:creationId xmlns:a16="http://schemas.microsoft.com/office/drawing/2014/main" id="{00000000-0008-0000-0000-000012000000}"/>
            </a:ext>
          </a:extLst>
        </xdr:cNvPr>
        <xdr:cNvSpPr>
          <a:spLocks noChangeArrowheads="1"/>
        </xdr:cNvSpPr>
      </xdr:nvSpPr>
      <xdr:spPr bwMode="auto">
        <a:xfrm>
          <a:off x="3384550" y="21431250"/>
          <a:ext cx="66675" cy="76200"/>
        </a:xfrm>
        <a:prstGeom prst="flowChartConnector">
          <a:avLst/>
        </a:prstGeom>
        <a:solidFill>
          <a:srgbClr val="424242"/>
        </a:solidFill>
        <a:ln w="9525">
          <a:solidFill>
            <a:srgbClr val="000000"/>
          </a:solidFill>
          <a:round/>
          <a:headEnd/>
          <a:tailEnd/>
        </a:ln>
      </xdr:spPr>
    </xdr:sp>
    <xdr:clientData/>
  </xdr:twoCellAnchor>
  <xdr:twoCellAnchor>
    <xdr:from>
      <xdr:col>3</xdr:col>
      <xdr:colOff>0</xdr:colOff>
      <xdr:row>73</xdr:row>
      <xdr:rowOff>114300</xdr:rowOff>
    </xdr:from>
    <xdr:to>
      <xdr:col>3</xdr:col>
      <xdr:colOff>66675</xdr:colOff>
      <xdr:row>73</xdr:row>
      <xdr:rowOff>190500</xdr:rowOff>
    </xdr:to>
    <xdr:sp macro="" textlink="">
      <xdr:nvSpPr>
        <xdr:cNvPr id="19" name="AutoShape 1">
          <a:extLst>
            <a:ext uri="{FF2B5EF4-FFF2-40B4-BE49-F238E27FC236}">
              <a16:creationId xmlns:a16="http://schemas.microsoft.com/office/drawing/2014/main" id="{00000000-0008-0000-0000-000013000000}"/>
            </a:ext>
          </a:extLst>
        </xdr:cNvPr>
        <xdr:cNvSpPr>
          <a:spLocks noChangeArrowheads="1"/>
        </xdr:cNvSpPr>
      </xdr:nvSpPr>
      <xdr:spPr bwMode="auto">
        <a:xfrm>
          <a:off x="3384550" y="22136100"/>
          <a:ext cx="66675" cy="76200"/>
        </a:xfrm>
        <a:prstGeom prst="flowChartConnector">
          <a:avLst/>
        </a:prstGeom>
        <a:solidFill>
          <a:srgbClr val="424242"/>
        </a:solidFill>
        <a:ln w="9525">
          <a:solidFill>
            <a:srgbClr val="000000"/>
          </a:solidFill>
          <a:round/>
          <a:headEnd/>
          <a:tailEnd/>
        </a:ln>
      </xdr:spPr>
    </xdr:sp>
    <xdr:clientData/>
  </xdr:twoCellAnchor>
  <xdr:twoCellAnchor>
    <xdr:from>
      <xdr:col>3</xdr:col>
      <xdr:colOff>19050</xdr:colOff>
      <xdr:row>75</xdr:row>
      <xdr:rowOff>95250</xdr:rowOff>
    </xdr:from>
    <xdr:to>
      <xdr:col>3</xdr:col>
      <xdr:colOff>85725</xdr:colOff>
      <xdr:row>75</xdr:row>
      <xdr:rowOff>171450</xdr:rowOff>
    </xdr:to>
    <xdr:sp macro="" textlink="">
      <xdr:nvSpPr>
        <xdr:cNvPr id="20" name="AutoShape 1">
          <a:extLst>
            <a:ext uri="{FF2B5EF4-FFF2-40B4-BE49-F238E27FC236}">
              <a16:creationId xmlns:a16="http://schemas.microsoft.com/office/drawing/2014/main" id="{00000000-0008-0000-0000-000014000000}"/>
            </a:ext>
          </a:extLst>
        </xdr:cNvPr>
        <xdr:cNvSpPr>
          <a:spLocks noChangeArrowheads="1"/>
        </xdr:cNvSpPr>
      </xdr:nvSpPr>
      <xdr:spPr bwMode="auto">
        <a:xfrm>
          <a:off x="3403600" y="22726650"/>
          <a:ext cx="66675" cy="76200"/>
        </a:xfrm>
        <a:prstGeom prst="flowChartConnector">
          <a:avLst/>
        </a:prstGeom>
        <a:solidFill>
          <a:srgbClr val="424242"/>
        </a:solidFill>
        <a:ln w="9525">
          <a:solidFill>
            <a:srgbClr val="000000"/>
          </a:solidFill>
          <a:round/>
          <a:headEnd/>
          <a:tailEnd/>
        </a:ln>
      </xdr:spPr>
    </xdr:sp>
    <xdr:clientData/>
  </xdr:twoCellAnchor>
  <xdr:twoCellAnchor>
    <xdr:from>
      <xdr:col>3</xdr:col>
      <xdr:colOff>28575</xdr:colOff>
      <xdr:row>79</xdr:row>
      <xdr:rowOff>76200</xdr:rowOff>
    </xdr:from>
    <xdr:to>
      <xdr:col>3</xdr:col>
      <xdr:colOff>95250</xdr:colOff>
      <xdr:row>79</xdr:row>
      <xdr:rowOff>152400</xdr:rowOff>
    </xdr:to>
    <xdr:sp macro="" textlink="">
      <xdr:nvSpPr>
        <xdr:cNvPr id="21" name="AutoShape 1">
          <a:extLst>
            <a:ext uri="{FF2B5EF4-FFF2-40B4-BE49-F238E27FC236}">
              <a16:creationId xmlns:a16="http://schemas.microsoft.com/office/drawing/2014/main" id="{00000000-0008-0000-0000-000015000000}"/>
            </a:ext>
          </a:extLst>
        </xdr:cNvPr>
        <xdr:cNvSpPr>
          <a:spLocks noChangeArrowheads="1"/>
        </xdr:cNvSpPr>
      </xdr:nvSpPr>
      <xdr:spPr bwMode="auto">
        <a:xfrm>
          <a:off x="3413125" y="23926800"/>
          <a:ext cx="66675" cy="76200"/>
        </a:xfrm>
        <a:prstGeom prst="flowChartConnector">
          <a:avLst/>
        </a:prstGeom>
        <a:solidFill>
          <a:srgbClr val="424242"/>
        </a:solidFill>
        <a:ln w="9525">
          <a:solidFill>
            <a:srgbClr val="000000"/>
          </a:solidFill>
          <a:round/>
          <a:headEnd/>
          <a:tailEnd/>
        </a:ln>
      </xdr:spPr>
    </xdr:sp>
    <xdr:clientData/>
  </xdr:twoCellAnchor>
  <xdr:twoCellAnchor>
    <xdr:from>
      <xdr:col>3</xdr:col>
      <xdr:colOff>28575</xdr:colOff>
      <xdr:row>82</xdr:row>
      <xdr:rowOff>85725</xdr:rowOff>
    </xdr:from>
    <xdr:to>
      <xdr:col>3</xdr:col>
      <xdr:colOff>95250</xdr:colOff>
      <xdr:row>82</xdr:row>
      <xdr:rowOff>161925</xdr:rowOff>
    </xdr:to>
    <xdr:sp macro="" textlink="">
      <xdr:nvSpPr>
        <xdr:cNvPr id="22" name="AutoShape 1">
          <a:extLst>
            <a:ext uri="{FF2B5EF4-FFF2-40B4-BE49-F238E27FC236}">
              <a16:creationId xmlns:a16="http://schemas.microsoft.com/office/drawing/2014/main" id="{00000000-0008-0000-0000-000016000000}"/>
            </a:ext>
          </a:extLst>
        </xdr:cNvPr>
        <xdr:cNvSpPr>
          <a:spLocks noChangeArrowheads="1"/>
        </xdr:cNvSpPr>
      </xdr:nvSpPr>
      <xdr:spPr bwMode="auto">
        <a:xfrm>
          <a:off x="3413125" y="24850725"/>
          <a:ext cx="66675" cy="76200"/>
        </a:xfrm>
        <a:prstGeom prst="flowChartConnector">
          <a:avLst/>
        </a:prstGeom>
        <a:solidFill>
          <a:srgbClr val="424242"/>
        </a:solidFill>
        <a:ln w="9525">
          <a:solidFill>
            <a:srgbClr val="000000"/>
          </a:solidFill>
          <a:round/>
          <a:headEnd/>
          <a:tailEnd/>
        </a:ln>
      </xdr:spPr>
    </xdr:sp>
    <xdr:clientData/>
  </xdr:twoCellAnchor>
  <mc:AlternateContent xmlns:mc="http://schemas.openxmlformats.org/markup-compatibility/2006">
    <mc:Choice xmlns:a14="http://schemas.microsoft.com/office/drawing/2010/main" Requires="a14">
      <xdr:twoCellAnchor>
        <xdr:from>
          <xdr:col>18</xdr:col>
          <xdr:colOff>85725</xdr:colOff>
          <xdr:row>3</xdr:row>
          <xdr:rowOff>295275</xdr:rowOff>
        </xdr:from>
        <xdr:to>
          <xdr:col>20</xdr:col>
          <xdr:colOff>542925</xdr:colOff>
          <xdr:row>6</xdr:row>
          <xdr:rowOff>57150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fr-GN" sz="2800" b="1" i="0" u="none" strike="noStrike" baseline="0">
                  <a:solidFill>
                    <a:srgbClr val="000000"/>
                  </a:solidFill>
                  <a:latin typeface="Calibri"/>
                  <a:ea typeface="Calibri"/>
                  <a:cs typeface="Calibri"/>
                </a:rPr>
                <a:t>Impression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6</xdr:row>
          <xdr:rowOff>247650</xdr:rowOff>
        </xdr:from>
        <xdr:to>
          <xdr:col>20</xdr:col>
          <xdr:colOff>533400</xdr:colOff>
          <xdr:row>9</xdr:row>
          <xdr:rowOff>28575</xdr:rowOff>
        </xdr:to>
        <xdr:sp macro="" textlink="">
          <xdr:nvSpPr>
            <xdr:cNvPr id="1036" name="CommandButton1"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247650</xdr:colOff>
          <xdr:row>7</xdr:row>
          <xdr:rowOff>9525</xdr:rowOff>
        </xdr:from>
        <xdr:to>
          <xdr:col>20</xdr:col>
          <xdr:colOff>485775</xdr:colOff>
          <xdr:row>7</xdr:row>
          <xdr:rowOff>228600</xdr:rowOff>
        </xdr:to>
        <xdr:sp macro="" textlink="">
          <xdr:nvSpPr>
            <xdr:cNvPr id="1039" name="Option 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solidFill>
                <a:srgbClr val="FFFF00"/>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fr-GN" sz="800" b="0" i="0" u="none" strike="noStrike" baseline="0">
                  <a:solidFill>
                    <a:srgbClr val="000000"/>
                  </a:solidFill>
                  <a:latin typeface="Segoe UI"/>
                  <a:cs typeface="Segoe UI"/>
                </a:rPr>
                <a:t>Paysage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257175</xdr:colOff>
          <xdr:row>7</xdr:row>
          <xdr:rowOff>285750</xdr:rowOff>
        </xdr:from>
        <xdr:to>
          <xdr:col>20</xdr:col>
          <xdr:colOff>495300</xdr:colOff>
          <xdr:row>8</xdr:row>
          <xdr:rowOff>190500</xdr:rowOff>
        </xdr:to>
        <xdr:sp macro="" textlink="">
          <xdr:nvSpPr>
            <xdr:cNvPr id="1040" name="Option 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solidFill>
                <a:srgbClr val="FFFF00"/>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fr-GN" sz="800" b="0" i="0" u="none" strike="noStrike" baseline="0">
                  <a:solidFill>
                    <a:srgbClr val="000000"/>
                  </a:solidFill>
                  <a:latin typeface="Segoe UI"/>
                  <a:cs typeface="Segoe UI"/>
                </a:rPr>
                <a:t>Portrait</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409575</xdr:colOff>
          <xdr:row>44</xdr:row>
          <xdr:rowOff>161925</xdr:rowOff>
        </xdr:from>
        <xdr:to>
          <xdr:col>14</xdr:col>
          <xdr:colOff>266700</xdr:colOff>
          <xdr:row>45</xdr:row>
          <xdr:rowOff>133350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66675</xdr:colOff>
          <xdr:row>44</xdr:row>
          <xdr:rowOff>161925</xdr:rowOff>
        </xdr:from>
        <xdr:to>
          <xdr:col>20</xdr:col>
          <xdr:colOff>47625</xdr:colOff>
          <xdr:row>45</xdr:row>
          <xdr:rowOff>133350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20</xdr:col>
      <xdr:colOff>66675</xdr:colOff>
      <xdr:row>0</xdr:row>
      <xdr:rowOff>85725</xdr:rowOff>
    </xdr:from>
    <xdr:to>
      <xdr:col>21</xdr:col>
      <xdr:colOff>561975</xdr:colOff>
      <xdr:row>3</xdr:row>
      <xdr:rowOff>123825</xdr:rowOff>
    </xdr:to>
    <xdr:sp macro="" textlink="">
      <xdr:nvSpPr>
        <xdr:cNvPr id="7" name="Rectangle 6">
          <a:extLst>
            <a:ext uri="{FF2B5EF4-FFF2-40B4-BE49-F238E27FC236}">
              <a16:creationId xmlns:a16="http://schemas.microsoft.com/office/drawing/2014/main" id="{00000000-0008-0000-0100-000007000000}"/>
            </a:ext>
          </a:extLst>
        </xdr:cNvPr>
        <xdr:cNvSpPr/>
      </xdr:nvSpPr>
      <xdr:spPr>
        <a:xfrm>
          <a:off x="11293475" y="85725"/>
          <a:ext cx="1066800" cy="641350"/>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fr-FR" sz="1600" b="1"/>
            <a:t>FIRD</a:t>
          </a:r>
        </a:p>
        <a:p>
          <a:pPr algn="ctr"/>
          <a:r>
            <a:rPr lang="fr-FR" sz="1600" b="1"/>
            <a:t>1 </a:t>
          </a:r>
        </a:p>
      </xdr:txBody>
    </xdr:sp>
    <xdr:clientData/>
  </xdr:twoCellAnchor>
  <mc:AlternateContent xmlns:mc="http://schemas.openxmlformats.org/markup-compatibility/2006">
    <mc:Choice xmlns:a14="http://schemas.microsoft.com/office/drawing/2010/main" Requires="a14">
      <xdr:twoCellAnchor editAs="oneCell">
        <xdr:from>
          <xdr:col>17</xdr:col>
          <xdr:colOff>342900</xdr:colOff>
          <xdr:row>44</xdr:row>
          <xdr:rowOff>209550</xdr:rowOff>
        </xdr:from>
        <xdr:to>
          <xdr:col>18</xdr:col>
          <xdr:colOff>171450</xdr:colOff>
          <xdr:row>45</xdr:row>
          <xdr:rowOff>180975</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14</xdr:row>
          <xdr:rowOff>19050</xdr:rowOff>
        </xdr:from>
        <xdr:to>
          <xdr:col>19</xdr:col>
          <xdr:colOff>85725</xdr:colOff>
          <xdr:row>14</xdr:row>
          <xdr:rowOff>276225</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16</xdr:row>
          <xdr:rowOff>57150</xdr:rowOff>
        </xdr:from>
        <xdr:to>
          <xdr:col>19</xdr:col>
          <xdr:colOff>85725</xdr:colOff>
          <xdr:row>17</xdr:row>
          <xdr:rowOff>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18</xdr:row>
          <xdr:rowOff>104775</xdr:rowOff>
        </xdr:from>
        <xdr:to>
          <xdr:col>19</xdr:col>
          <xdr:colOff>85725</xdr:colOff>
          <xdr:row>19</xdr:row>
          <xdr:rowOff>57150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104775</xdr:colOff>
          <xdr:row>3</xdr:row>
          <xdr:rowOff>19050</xdr:rowOff>
        </xdr:from>
        <xdr:to>
          <xdr:col>21</xdr:col>
          <xdr:colOff>685800</xdr:colOff>
          <xdr:row>4</xdr:row>
          <xdr:rowOff>133350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GN" sz="1800" b="1" i="1" u="none" strike="noStrike" baseline="0">
                  <a:solidFill>
                    <a:srgbClr val="FF0000"/>
                  </a:solidFill>
                  <a:latin typeface="Times New Roman"/>
                  <a:cs typeface="Times New Roman"/>
                </a:rPr>
                <a:t>RETOUR</a:t>
              </a:r>
            </a:p>
          </xdr:txBody>
        </xdr:sp>
        <xdr:clientData fPrintsWithSheet="0"/>
      </xdr:twoCellAnchor>
    </mc:Choice>
    <mc:Fallback/>
  </mc:AlternateContent>
  <xdr:twoCellAnchor>
    <xdr:from>
      <xdr:col>18</xdr:col>
      <xdr:colOff>9525</xdr:colOff>
      <xdr:row>1</xdr:row>
      <xdr:rowOff>152400</xdr:rowOff>
    </xdr:from>
    <xdr:to>
      <xdr:col>19</xdr:col>
      <xdr:colOff>590550</xdr:colOff>
      <xdr:row>4</xdr:row>
      <xdr:rowOff>133350</xdr:rowOff>
    </xdr:to>
    <xdr:sp macro="" textlink="">
      <xdr:nvSpPr>
        <xdr:cNvPr id="8" name="Rectangle 7">
          <a:extLst>
            <a:ext uri="{FF2B5EF4-FFF2-40B4-BE49-F238E27FC236}">
              <a16:creationId xmlns:a16="http://schemas.microsoft.com/office/drawing/2014/main" id="{00000000-0008-0000-0200-000008000000}"/>
            </a:ext>
          </a:extLst>
        </xdr:cNvPr>
        <xdr:cNvSpPr/>
      </xdr:nvSpPr>
      <xdr:spPr>
        <a:xfrm>
          <a:off x="11731625" y="336550"/>
          <a:ext cx="809625" cy="628650"/>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fr-FR" sz="1600" b="1"/>
            <a:t>FIRD</a:t>
          </a:r>
        </a:p>
        <a:p>
          <a:pPr algn="ctr"/>
          <a:r>
            <a:rPr lang="fr-FR" sz="1600" b="1"/>
            <a:t>2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1409700</xdr:colOff>
      <xdr:row>0</xdr:row>
      <xdr:rowOff>66675</xdr:rowOff>
    </xdr:from>
    <xdr:to>
      <xdr:col>9</xdr:col>
      <xdr:colOff>695325</xdr:colOff>
      <xdr:row>3</xdr:row>
      <xdr:rowOff>152400</xdr:rowOff>
    </xdr:to>
    <xdr:sp macro="" textlink="">
      <xdr:nvSpPr>
        <xdr:cNvPr id="3" name="Rectangle 2">
          <a:extLst>
            <a:ext uri="{FF2B5EF4-FFF2-40B4-BE49-F238E27FC236}">
              <a16:creationId xmlns:a16="http://schemas.microsoft.com/office/drawing/2014/main" id="{00000000-0008-0000-0300-000003000000}"/>
            </a:ext>
          </a:extLst>
        </xdr:cNvPr>
        <xdr:cNvSpPr/>
      </xdr:nvSpPr>
      <xdr:spPr>
        <a:xfrm>
          <a:off x="11080750" y="66675"/>
          <a:ext cx="1069975" cy="682625"/>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fr-FR" sz="1600" b="1"/>
            <a:t>FIRD</a:t>
          </a:r>
        </a:p>
        <a:p>
          <a:pPr algn="ctr"/>
          <a:r>
            <a:rPr lang="fr-FR" sz="1600" b="1"/>
            <a:t>3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1028700</xdr:colOff>
      <xdr:row>0</xdr:row>
      <xdr:rowOff>171450</xdr:rowOff>
    </xdr:from>
    <xdr:to>
      <xdr:col>10</xdr:col>
      <xdr:colOff>1257300</xdr:colOff>
      <xdr:row>4</xdr:row>
      <xdr:rowOff>104775</xdr:rowOff>
    </xdr:to>
    <xdr:sp macro="" textlink="">
      <xdr:nvSpPr>
        <xdr:cNvPr id="2" name="Rectangle 1">
          <a:extLst>
            <a:ext uri="{FF2B5EF4-FFF2-40B4-BE49-F238E27FC236}">
              <a16:creationId xmlns:a16="http://schemas.microsoft.com/office/drawing/2014/main" id="{00000000-0008-0000-0900-000002000000}"/>
            </a:ext>
          </a:extLst>
        </xdr:cNvPr>
        <xdr:cNvSpPr/>
      </xdr:nvSpPr>
      <xdr:spPr>
        <a:xfrm>
          <a:off x="11271250" y="171450"/>
          <a:ext cx="2584450" cy="714375"/>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fr-FR" sz="1600" b="1"/>
            <a:t>FIRD</a:t>
          </a:r>
        </a:p>
        <a:p>
          <a:pPr algn="ctr"/>
          <a:r>
            <a:rPr lang="fr-FR" sz="1600" b="1"/>
            <a:t>4 </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9525</xdr:colOff>
      <xdr:row>14</xdr:row>
      <xdr:rowOff>19050</xdr:rowOff>
    </xdr:from>
    <xdr:to>
      <xdr:col>3</xdr:col>
      <xdr:colOff>0</xdr:colOff>
      <xdr:row>16</xdr:row>
      <xdr:rowOff>0</xdr:rowOff>
    </xdr:to>
    <xdr:cxnSp macro="">
      <xdr:nvCxnSpPr>
        <xdr:cNvPr id="2" name="Connecteur droit 1">
          <a:extLst>
            <a:ext uri="{FF2B5EF4-FFF2-40B4-BE49-F238E27FC236}">
              <a16:creationId xmlns:a16="http://schemas.microsoft.com/office/drawing/2014/main" id="{00000000-0008-0000-0D00-000002000000}"/>
            </a:ext>
          </a:extLst>
        </xdr:cNvPr>
        <xdr:cNvCxnSpPr/>
      </xdr:nvCxnSpPr>
      <xdr:spPr>
        <a:xfrm>
          <a:off x="847725" y="2463800"/>
          <a:ext cx="3914775" cy="819150"/>
        </a:xfrm>
        <a:prstGeom prst="line">
          <a:avLst/>
        </a:prstGeom>
      </xdr:spPr>
      <xdr:style>
        <a:lnRef idx="3">
          <a:schemeClr val="dk1"/>
        </a:lnRef>
        <a:fillRef idx="0">
          <a:schemeClr val="dk1"/>
        </a:fillRef>
        <a:effectRef idx="2">
          <a:schemeClr val="dk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9525</xdr:colOff>
      <xdr:row>9</xdr:row>
      <xdr:rowOff>28575</xdr:rowOff>
    </xdr:from>
    <xdr:to>
      <xdr:col>3</xdr:col>
      <xdr:colOff>9525</xdr:colOff>
      <xdr:row>10</xdr:row>
      <xdr:rowOff>1076325</xdr:rowOff>
    </xdr:to>
    <xdr:cxnSp macro="">
      <xdr:nvCxnSpPr>
        <xdr:cNvPr id="2" name="Connecteur droit 1">
          <a:extLst>
            <a:ext uri="{FF2B5EF4-FFF2-40B4-BE49-F238E27FC236}">
              <a16:creationId xmlns:a16="http://schemas.microsoft.com/office/drawing/2014/main" id="{00000000-0008-0000-0E00-000002000000}"/>
            </a:ext>
          </a:extLst>
        </xdr:cNvPr>
        <xdr:cNvCxnSpPr/>
      </xdr:nvCxnSpPr>
      <xdr:spPr>
        <a:xfrm>
          <a:off x="777875" y="1844675"/>
          <a:ext cx="3175000" cy="1035050"/>
        </a:xfrm>
        <a:prstGeom prst="line">
          <a:avLst/>
        </a:prstGeom>
      </xdr:spPr>
      <xdr:style>
        <a:lnRef idx="3">
          <a:schemeClr val="dk1"/>
        </a:lnRef>
        <a:fillRef idx="0">
          <a:schemeClr val="dk1"/>
        </a:fillRef>
        <a:effectRef idx="2">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9525</xdr:colOff>
      <xdr:row>9</xdr:row>
      <xdr:rowOff>19050</xdr:rowOff>
    </xdr:from>
    <xdr:to>
      <xdr:col>3</xdr:col>
      <xdr:colOff>0</xdr:colOff>
      <xdr:row>11</xdr:row>
      <xdr:rowOff>0</xdr:rowOff>
    </xdr:to>
    <xdr:cxnSp macro="">
      <xdr:nvCxnSpPr>
        <xdr:cNvPr id="2" name="Connecteur droit 1">
          <a:extLst>
            <a:ext uri="{FF2B5EF4-FFF2-40B4-BE49-F238E27FC236}">
              <a16:creationId xmlns:a16="http://schemas.microsoft.com/office/drawing/2014/main" id="{00000000-0008-0000-0F00-000002000000}"/>
            </a:ext>
          </a:extLst>
        </xdr:cNvPr>
        <xdr:cNvCxnSpPr/>
      </xdr:nvCxnSpPr>
      <xdr:spPr>
        <a:xfrm>
          <a:off x="1108075" y="1809750"/>
          <a:ext cx="5667375" cy="1060450"/>
        </a:xfrm>
        <a:prstGeom prst="line">
          <a:avLst/>
        </a:prstGeom>
      </xdr:spPr>
      <xdr:style>
        <a:lnRef idx="3">
          <a:schemeClr val="dk1"/>
        </a:lnRef>
        <a:fillRef idx="0">
          <a:schemeClr val="dk1"/>
        </a:fillRef>
        <a:effectRef idx="2">
          <a:schemeClr val="dk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8</xdr:row>
      <xdr:rowOff>9525</xdr:rowOff>
    </xdr:from>
    <xdr:to>
      <xdr:col>4</xdr:col>
      <xdr:colOff>0</xdr:colOff>
      <xdr:row>11</xdr:row>
      <xdr:rowOff>0</xdr:rowOff>
    </xdr:to>
    <xdr:cxnSp macro="">
      <xdr:nvCxnSpPr>
        <xdr:cNvPr id="2" name="Connecteur droit 1">
          <a:extLst>
            <a:ext uri="{FF2B5EF4-FFF2-40B4-BE49-F238E27FC236}">
              <a16:creationId xmlns:a16="http://schemas.microsoft.com/office/drawing/2014/main" id="{00000000-0008-0000-1000-000002000000}"/>
            </a:ext>
          </a:extLst>
        </xdr:cNvPr>
        <xdr:cNvCxnSpPr/>
      </xdr:nvCxnSpPr>
      <xdr:spPr>
        <a:xfrm>
          <a:off x="1479550" y="1755775"/>
          <a:ext cx="3517900" cy="917575"/>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12</xdr:col>
          <xdr:colOff>533400</xdr:colOff>
          <xdr:row>2</xdr:row>
          <xdr:rowOff>0</xdr:rowOff>
        </xdr:from>
        <xdr:to>
          <xdr:col>14</xdr:col>
          <xdr:colOff>361950</xdr:colOff>
          <xdr:row>3</xdr:row>
          <xdr:rowOff>95250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1000-000001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fr-GN" sz="2000" b="1" i="1" u="none" strike="noStrike" baseline="0">
                  <a:solidFill>
                    <a:srgbClr val="993366"/>
                  </a:solidFill>
                  <a:latin typeface="Calibri"/>
                  <a:ea typeface="Calibri"/>
                  <a:cs typeface="Calibri"/>
                </a:rPr>
                <a:t>RETOUR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9525</xdr:colOff>
      <xdr:row>7</xdr:row>
      <xdr:rowOff>3175</xdr:rowOff>
    </xdr:from>
    <xdr:to>
      <xdr:col>5</xdr:col>
      <xdr:colOff>0</xdr:colOff>
      <xdr:row>11</xdr:row>
      <xdr:rowOff>24</xdr:rowOff>
    </xdr:to>
    <xdr:cxnSp macro="">
      <xdr:nvCxnSpPr>
        <xdr:cNvPr id="2" name="Connecteur droit 1">
          <a:extLst>
            <a:ext uri="{FF2B5EF4-FFF2-40B4-BE49-F238E27FC236}">
              <a16:creationId xmlns:a16="http://schemas.microsoft.com/office/drawing/2014/main" id="{00000000-0008-0000-3200-000002000000}"/>
            </a:ext>
          </a:extLst>
        </xdr:cNvPr>
        <xdr:cNvCxnSpPr/>
      </xdr:nvCxnSpPr>
      <xdr:spPr>
        <a:xfrm flipH="1" flipV="1">
          <a:off x="2784475" y="1704975"/>
          <a:ext cx="1908175" cy="84774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7</xdr:row>
      <xdr:rowOff>0</xdr:rowOff>
    </xdr:from>
    <xdr:to>
      <xdr:col>4</xdr:col>
      <xdr:colOff>765103</xdr:colOff>
      <xdr:row>9</xdr:row>
      <xdr:rowOff>276258</xdr:rowOff>
    </xdr:to>
    <xdr:cxnSp macro="">
      <xdr:nvCxnSpPr>
        <xdr:cNvPr id="2" name="Connecteur droit 1">
          <a:extLst>
            <a:ext uri="{FF2B5EF4-FFF2-40B4-BE49-F238E27FC236}">
              <a16:creationId xmlns:a16="http://schemas.microsoft.com/office/drawing/2014/main" id="{00000000-0008-0000-3300-000002000000}"/>
            </a:ext>
          </a:extLst>
        </xdr:cNvPr>
        <xdr:cNvCxnSpPr/>
      </xdr:nvCxnSpPr>
      <xdr:spPr>
        <a:xfrm>
          <a:off x="2552700" y="1695450"/>
          <a:ext cx="3902003" cy="63185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22412</xdr:colOff>
      <xdr:row>9</xdr:row>
      <xdr:rowOff>4855</xdr:rowOff>
    </xdr:from>
    <xdr:to>
      <xdr:col>4</xdr:col>
      <xdr:colOff>0</xdr:colOff>
      <xdr:row>12</xdr:row>
      <xdr:rowOff>161738</xdr:rowOff>
    </xdr:to>
    <xdr:cxnSp macro="">
      <xdr:nvCxnSpPr>
        <xdr:cNvPr id="2" name="Connecteur droit 1">
          <a:extLst>
            <a:ext uri="{FF2B5EF4-FFF2-40B4-BE49-F238E27FC236}">
              <a16:creationId xmlns:a16="http://schemas.microsoft.com/office/drawing/2014/main" id="{00000000-0008-0000-3400-000002000000}"/>
            </a:ext>
          </a:extLst>
        </xdr:cNvPr>
        <xdr:cNvCxnSpPr/>
      </xdr:nvCxnSpPr>
      <xdr:spPr>
        <a:xfrm>
          <a:off x="4810312" y="1954305"/>
          <a:ext cx="4600388" cy="868083"/>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1</xdr:colOff>
      <xdr:row>9</xdr:row>
      <xdr:rowOff>18678</xdr:rowOff>
    </xdr:from>
    <xdr:to>
      <xdr:col>3</xdr:col>
      <xdr:colOff>11206</xdr:colOff>
      <xdr:row>13</xdr:row>
      <xdr:rowOff>11206</xdr:rowOff>
    </xdr:to>
    <xdr:cxnSp macro="">
      <xdr:nvCxnSpPr>
        <xdr:cNvPr id="2" name="Connecteur droit 1">
          <a:extLst>
            <a:ext uri="{FF2B5EF4-FFF2-40B4-BE49-F238E27FC236}">
              <a16:creationId xmlns:a16="http://schemas.microsoft.com/office/drawing/2014/main" id="{00000000-0008-0000-3500-000002000000}"/>
            </a:ext>
          </a:extLst>
        </xdr:cNvPr>
        <xdr:cNvCxnSpPr/>
      </xdr:nvCxnSpPr>
      <xdr:spPr>
        <a:xfrm flipH="1" flipV="1">
          <a:off x="836707" y="1931149"/>
          <a:ext cx="3044264" cy="1083233"/>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0</xdr:colOff>
      <xdr:row>9</xdr:row>
      <xdr:rowOff>9525</xdr:rowOff>
    </xdr:from>
    <xdr:to>
      <xdr:col>3</xdr:col>
      <xdr:colOff>9525</xdr:colOff>
      <xdr:row>11</xdr:row>
      <xdr:rowOff>0</xdr:rowOff>
    </xdr:to>
    <xdr:cxnSp macro="">
      <xdr:nvCxnSpPr>
        <xdr:cNvPr id="4" name="Connecteur droit 3">
          <a:extLst>
            <a:ext uri="{FF2B5EF4-FFF2-40B4-BE49-F238E27FC236}">
              <a16:creationId xmlns:a16="http://schemas.microsoft.com/office/drawing/2014/main" id="{00000000-0008-0000-3800-000004000000}"/>
            </a:ext>
          </a:extLst>
        </xdr:cNvPr>
        <xdr:cNvCxnSpPr/>
      </xdr:nvCxnSpPr>
      <xdr:spPr>
        <a:xfrm>
          <a:off x="4178300" y="2041525"/>
          <a:ext cx="5927725" cy="384175"/>
        </a:xfrm>
        <a:prstGeom prst="line">
          <a:avLst/>
        </a:prstGeom>
      </xdr:spPr>
      <xdr:style>
        <a:lnRef idx="3">
          <a:schemeClr val="dk1"/>
        </a:lnRef>
        <a:fillRef idx="0">
          <a:schemeClr val="dk1"/>
        </a:fillRef>
        <a:effectRef idx="2">
          <a:schemeClr val="dk1"/>
        </a:effectRef>
        <a:fontRef idx="minor">
          <a:schemeClr val="tx1"/>
        </a:fontRef>
      </xdr:style>
    </xdr:cxnSp>
    <xdr:clientData/>
  </xdr:twoCellAnchor>
</xdr:wsDr>
</file>

<file path=xl/drawings/drawing15.xml><?xml version="1.0" encoding="utf-8"?>
<xdr:wsDr xmlns:xdr="http://schemas.openxmlformats.org/drawingml/2006/spreadsheetDrawing" xmlns:a="http://schemas.openxmlformats.org/drawingml/2006/main">
  <xdr:twoCellAnchor>
    <xdr:from>
      <xdr:col>5</xdr:col>
      <xdr:colOff>285749</xdr:colOff>
      <xdr:row>58</xdr:row>
      <xdr:rowOff>57150</xdr:rowOff>
    </xdr:from>
    <xdr:to>
      <xdr:col>7</xdr:col>
      <xdr:colOff>180974</xdr:colOff>
      <xdr:row>62</xdr:row>
      <xdr:rowOff>0</xdr:rowOff>
    </xdr:to>
    <xdr:sp macro="[1]!NOTE_36" textlink="">
      <xdr:nvSpPr>
        <xdr:cNvPr id="2" name="Flèche droite 1">
          <a:extLst>
            <a:ext uri="{FF2B5EF4-FFF2-40B4-BE49-F238E27FC236}">
              <a16:creationId xmlns:a16="http://schemas.microsoft.com/office/drawing/2014/main" id="{00000000-0008-0000-3C00-000002000000}"/>
            </a:ext>
          </a:extLst>
        </xdr:cNvPr>
        <xdr:cNvSpPr/>
      </xdr:nvSpPr>
      <xdr:spPr>
        <a:xfrm>
          <a:off x="9918699" y="11271250"/>
          <a:ext cx="1812925" cy="679450"/>
        </a:xfrm>
        <a:prstGeom prst="rightArrow">
          <a:avLst/>
        </a:prstGeom>
        <a:solidFill>
          <a:schemeClr val="accent1"/>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fr-FR" sz="1200" b="1">
              <a:solidFill>
                <a:schemeClr val="bg1"/>
              </a:solidFill>
              <a:latin typeface="Arial Unicode MS" panose="020B0604020202020204" pitchFamily="34" charset="-128"/>
              <a:ea typeface="Arial Unicode MS" panose="020B0604020202020204" pitchFamily="34" charset="-128"/>
              <a:cs typeface="Arial Unicode MS" panose="020B0604020202020204" pitchFamily="34" charset="-128"/>
            </a:rPr>
            <a:t> SUIVANT</a:t>
          </a:r>
        </a:p>
      </xdr:txBody>
    </xdr:sp>
    <xdr:clientData/>
  </xdr:twoCellAnchor>
  <xdr:twoCellAnchor>
    <xdr:from>
      <xdr:col>3</xdr:col>
      <xdr:colOff>1466851</xdr:colOff>
      <xdr:row>58</xdr:row>
      <xdr:rowOff>57150</xdr:rowOff>
    </xdr:from>
    <xdr:to>
      <xdr:col>5</xdr:col>
      <xdr:colOff>257176</xdr:colOff>
      <xdr:row>62</xdr:row>
      <xdr:rowOff>0</xdr:rowOff>
    </xdr:to>
    <xdr:sp macro="[1]!NOTE_34" textlink="">
      <xdr:nvSpPr>
        <xdr:cNvPr id="3" name="Flèche gauche 2">
          <a:extLst>
            <a:ext uri="{FF2B5EF4-FFF2-40B4-BE49-F238E27FC236}">
              <a16:creationId xmlns:a16="http://schemas.microsoft.com/office/drawing/2014/main" id="{00000000-0008-0000-3C00-000003000000}"/>
            </a:ext>
          </a:extLst>
        </xdr:cNvPr>
        <xdr:cNvSpPr/>
      </xdr:nvSpPr>
      <xdr:spPr>
        <a:xfrm>
          <a:off x="8337551" y="11271250"/>
          <a:ext cx="1552575" cy="6794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200">
              <a:solidFill>
                <a:schemeClr val="bg1"/>
              </a:solidFill>
              <a:latin typeface="Arial Unicode MS" panose="020B0604020202020204" pitchFamily="34" charset="-128"/>
              <a:ea typeface="Arial Unicode MS" panose="020B0604020202020204" pitchFamily="34" charset="-128"/>
              <a:cs typeface="Arial Unicode MS" panose="020B0604020202020204" pitchFamily="34" charset="-128"/>
            </a:rPr>
            <a:t> </a:t>
          </a:r>
          <a:r>
            <a:rPr lang="fr-FR" sz="1200" b="1">
              <a:solidFill>
                <a:schemeClr val="bg1"/>
              </a:solidFill>
              <a:latin typeface="Arial Unicode MS" panose="020B0604020202020204" pitchFamily="34" charset="-128"/>
              <a:ea typeface="Arial Unicode MS" panose="020B0604020202020204" pitchFamily="34" charset="-128"/>
              <a:cs typeface="Arial Unicode MS" panose="020B0604020202020204" pitchFamily="34" charset="-128"/>
            </a:rPr>
            <a:t>PRECEDENT</a:t>
          </a:r>
        </a:p>
      </xdr:txBody>
    </xdr:sp>
    <xdr:clientData/>
  </xdr:twoCellAnchor>
  <mc:AlternateContent xmlns:mc="http://schemas.openxmlformats.org/markup-compatibility/2006">
    <mc:Choice xmlns:a14="http://schemas.microsoft.com/office/drawing/2010/main" Requires="a14">
      <xdr:twoCellAnchor>
        <xdr:from>
          <xdr:col>7</xdr:col>
          <xdr:colOff>76200</xdr:colOff>
          <xdr:row>2</xdr:row>
          <xdr:rowOff>0</xdr:rowOff>
        </xdr:from>
        <xdr:to>
          <xdr:col>8</xdr:col>
          <xdr:colOff>704850</xdr:colOff>
          <xdr:row>3</xdr:row>
          <xdr:rowOff>85725</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3C00-000001F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fr-GN" sz="2000" b="1" i="1" u="none" strike="noStrike" baseline="0">
                  <a:solidFill>
                    <a:srgbClr val="993366"/>
                  </a:solidFill>
                  <a:latin typeface="Calibri"/>
                  <a:ea typeface="Calibri"/>
                  <a:cs typeface="Calibri"/>
                </a:rPr>
                <a:t>RETOUR</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8</xdr:col>
      <xdr:colOff>733424</xdr:colOff>
      <xdr:row>37</xdr:row>
      <xdr:rowOff>180975</xdr:rowOff>
    </xdr:from>
    <xdr:to>
      <xdr:col>11</xdr:col>
      <xdr:colOff>581025</xdr:colOff>
      <xdr:row>41</xdr:row>
      <xdr:rowOff>123825</xdr:rowOff>
    </xdr:to>
    <xdr:sp macro="[1]!CODE_ECO" textlink="">
      <xdr:nvSpPr>
        <xdr:cNvPr id="2" name="Flèche droite 1">
          <a:extLst>
            <a:ext uri="{FF2B5EF4-FFF2-40B4-BE49-F238E27FC236}">
              <a16:creationId xmlns:a16="http://schemas.microsoft.com/office/drawing/2014/main" id="{00000000-0008-0000-3D00-000002000000}"/>
            </a:ext>
          </a:extLst>
        </xdr:cNvPr>
        <xdr:cNvSpPr/>
      </xdr:nvSpPr>
      <xdr:spPr>
        <a:xfrm>
          <a:off x="13014324" y="9864725"/>
          <a:ext cx="1581151" cy="762000"/>
        </a:xfrm>
        <a:prstGeom prst="rightArrow">
          <a:avLst/>
        </a:prstGeom>
        <a:solidFill>
          <a:schemeClr val="accent1"/>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fr-FR" sz="1200" b="1">
              <a:solidFill>
                <a:schemeClr val="bg1"/>
              </a:solidFill>
              <a:latin typeface="Arial Unicode MS" panose="020B0604020202020204" pitchFamily="34" charset="-128"/>
              <a:ea typeface="Arial Unicode MS" panose="020B0604020202020204" pitchFamily="34" charset="-128"/>
              <a:cs typeface="Arial Unicode MS" panose="020B0604020202020204" pitchFamily="34" charset="-128"/>
            </a:rPr>
            <a:t> SUIVANT</a:t>
          </a:r>
        </a:p>
      </xdr:txBody>
    </xdr:sp>
    <xdr:clientData fPrintsWithSheet="0"/>
  </xdr:twoCellAnchor>
  <xdr:twoCellAnchor>
    <xdr:from>
      <xdr:col>6</xdr:col>
      <xdr:colOff>2085975</xdr:colOff>
      <xdr:row>37</xdr:row>
      <xdr:rowOff>180975</xdr:rowOff>
    </xdr:from>
    <xdr:to>
      <xdr:col>8</xdr:col>
      <xdr:colOff>714375</xdr:colOff>
      <xdr:row>41</xdr:row>
      <xdr:rowOff>123825</xdr:rowOff>
    </xdr:to>
    <xdr:sp macro="[1]!NOTE_35" textlink="">
      <xdr:nvSpPr>
        <xdr:cNvPr id="3" name="Flèche gauche 2">
          <a:extLst>
            <a:ext uri="{FF2B5EF4-FFF2-40B4-BE49-F238E27FC236}">
              <a16:creationId xmlns:a16="http://schemas.microsoft.com/office/drawing/2014/main" id="{00000000-0008-0000-3D00-000003000000}"/>
            </a:ext>
          </a:extLst>
        </xdr:cNvPr>
        <xdr:cNvSpPr/>
      </xdr:nvSpPr>
      <xdr:spPr>
        <a:xfrm>
          <a:off x="11299825" y="9864725"/>
          <a:ext cx="1695450" cy="7620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200">
              <a:solidFill>
                <a:schemeClr val="bg1"/>
              </a:solidFill>
              <a:latin typeface="Arial Unicode MS" panose="020B0604020202020204" pitchFamily="34" charset="-128"/>
              <a:ea typeface="Arial Unicode MS" panose="020B0604020202020204" pitchFamily="34" charset="-128"/>
              <a:cs typeface="Arial Unicode MS" panose="020B0604020202020204" pitchFamily="34" charset="-128"/>
            </a:rPr>
            <a:t> </a:t>
          </a:r>
          <a:r>
            <a:rPr lang="fr-FR" sz="1200" b="1">
              <a:solidFill>
                <a:schemeClr val="bg1"/>
              </a:solidFill>
              <a:latin typeface="Arial Unicode MS" panose="020B0604020202020204" pitchFamily="34" charset="-128"/>
              <a:ea typeface="Arial Unicode MS" panose="020B0604020202020204" pitchFamily="34" charset="-128"/>
              <a:cs typeface="Arial Unicode MS" panose="020B0604020202020204" pitchFamily="34" charset="-128"/>
            </a:rPr>
            <a:t>PRECEDENT</a:t>
          </a:r>
        </a:p>
      </xdr:txBody>
    </xdr:sp>
    <xdr:clientData fPrintsWithSheet="0"/>
  </xdr:twoCellAnchor>
  <mc:AlternateContent xmlns:mc="http://schemas.openxmlformats.org/markup-compatibility/2006">
    <mc:Choice xmlns:a14="http://schemas.microsoft.com/office/drawing/2010/main" Requires="a14">
      <xdr:twoCellAnchor>
        <xdr:from>
          <xdr:col>11</xdr:col>
          <xdr:colOff>66675</xdr:colOff>
          <xdr:row>1</xdr:row>
          <xdr:rowOff>28575</xdr:rowOff>
        </xdr:from>
        <xdr:to>
          <xdr:col>12</xdr:col>
          <xdr:colOff>695325</xdr:colOff>
          <xdr:row>3</xdr:row>
          <xdr:rowOff>28575</xdr:rowOff>
        </xdr:to>
        <xdr:sp macro="" textlink="">
          <xdr:nvSpPr>
            <xdr:cNvPr id="62465" name="Button 1" hidden="1">
              <a:extLst>
                <a:ext uri="{63B3BB69-23CF-44E3-9099-C40C66FF867C}">
                  <a14:compatExt spid="_x0000_s62465"/>
                </a:ext>
                <a:ext uri="{FF2B5EF4-FFF2-40B4-BE49-F238E27FC236}">
                  <a16:creationId xmlns:a16="http://schemas.microsoft.com/office/drawing/2014/main" id="{00000000-0008-0000-3D00-000001F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fr-GN" sz="2000" b="1" i="1" u="none" strike="noStrike" baseline="0">
                  <a:solidFill>
                    <a:srgbClr val="993366"/>
                  </a:solidFill>
                  <a:latin typeface="Calibri"/>
                  <a:ea typeface="Calibri"/>
                  <a:cs typeface="Calibri"/>
                </a:rPr>
                <a:t>RETOUR</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104775</xdr:colOff>
          <xdr:row>0</xdr:row>
          <xdr:rowOff>28575</xdr:rowOff>
        </xdr:from>
        <xdr:to>
          <xdr:col>6</xdr:col>
          <xdr:colOff>733425</xdr:colOff>
          <xdr:row>2</xdr:row>
          <xdr:rowOff>28575</xdr:rowOff>
        </xdr:to>
        <xdr:sp macro="" textlink="">
          <xdr:nvSpPr>
            <xdr:cNvPr id="63489" name="Button 1" hidden="1">
              <a:extLst>
                <a:ext uri="{63B3BB69-23CF-44E3-9099-C40C66FF867C}">
                  <a14:compatExt spid="_x0000_s63489"/>
                </a:ext>
                <a:ext uri="{FF2B5EF4-FFF2-40B4-BE49-F238E27FC236}">
                  <a16:creationId xmlns:a16="http://schemas.microsoft.com/office/drawing/2014/main" id="{00000000-0008-0000-3E00-000001F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fr-GN" sz="2000" b="1" i="1" u="none" strike="noStrike" baseline="0">
                  <a:solidFill>
                    <a:srgbClr val="993366"/>
                  </a:solidFill>
                  <a:latin typeface="Calibri"/>
                  <a:ea typeface="Calibri"/>
                  <a:cs typeface="Calibri"/>
                </a:rPr>
                <a:t>RETOUR</a:t>
              </a:r>
            </a:p>
          </xdr:txBody>
        </xdr:sp>
        <xdr:clientData fPrintsWithSheet="0"/>
      </xdr:twoCellAnchor>
    </mc:Choice>
    <mc:Fallback/>
  </mc:AlternateContent>
  <xdr:twoCellAnchor>
    <xdr:from>
      <xdr:col>4</xdr:col>
      <xdr:colOff>1571624</xdr:colOff>
      <xdr:row>86</xdr:row>
      <xdr:rowOff>0</xdr:rowOff>
    </xdr:from>
    <xdr:to>
      <xdr:col>4</xdr:col>
      <xdr:colOff>3076575</xdr:colOff>
      <xdr:row>90</xdr:row>
      <xdr:rowOff>19050</xdr:rowOff>
    </xdr:to>
    <xdr:sp macro="[1]!DGI" textlink="">
      <xdr:nvSpPr>
        <xdr:cNvPr id="3" name="Flèche droite 2">
          <a:extLst>
            <a:ext uri="{FF2B5EF4-FFF2-40B4-BE49-F238E27FC236}">
              <a16:creationId xmlns:a16="http://schemas.microsoft.com/office/drawing/2014/main" id="{00000000-0008-0000-3E00-000003000000}"/>
            </a:ext>
          </a:extLst>
        </xdr:cNvPr>
        <xdr:cNvSpPr/>
      </xdr:nvSpPr>
      <xdr:spPr>
        <a:xfrm>
          <a:off x="11845924" y="16516350"/>
          <a:ext cx="1504951" cy="755650"/>
        </a:xfrm>
        <a:prstGeom prst="rightArrow">
          <a:avLst/>
        </a:prstGeom>
        <a:solidFill>
          <a:schemeClr val="accent1"/>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fr-FR" sz="1200" b="1">
              <a:solidFill>
                <a:schemeClr val="bg1"/>
              </a:solidFill>
              <a:latin typeface="Arial Unicode MS" panose="020B0604020202020204" pitchFamily="34" charset="-128"/>
              <a:ea typeface="Arial Unicode MS" panose="020B0604020202020204" pitchFamily="34" charset="-128"/>
              <a:cs typeface="Arial Unicode MS" panose="020B0604020202020204" pitchFamily="34" charset="-128"/>
            </a:rPr>
            <a:t> SUIVANT</a:t>
          </a:r>
        </a:p>
      </xdr:txBody>
    </xdr:sp>
    <xdr:clientData fPrintsWithSheet="0"/>
  </xdr:twoCellAnchor>
  <xdr:twoCellAnchor>
    <xdr:from>
      <xdr:col>4</xdr:col>
      <xdr:colOff>0</xdr:colOff>
      <xdr:row>86</xdr:row>
      <xdr:rowOff>0</xdr:rowOff>
    </xdr:from>
    <xdr:to>
      <xdr:col>4</xdr:col>
      <xdr:colOff>1552575</xdr:colOff>
      <xdr:row>90</xdr:row>
      <xdr:rowOff>19050</xdr:rowOff>
    </xdr:to>
    <xdr:sp macro="[1]!NOTE_36" textlink="">
      <xdr:nvSpPr>
        <xdr:cNvPr id="4" name="Flèche gauche 3">
          <a:extLst>
            <a:ext uri="{FF2B5EF4-FFF2-40B4-BE49-F238E27FC236}">
              <a16:creationId xmlns:a16="http://schemas.microsoft.com/office/drawing/2014/main" id="{00000000-0008-0000-3E00-000004000000}"/>
            </a:ext>
          </a:extLst>
        </xdr:cNvPr>
        <xdr:cNvSpPr/>
      </xdr:nvSpPr>
      <xdr:spPr>
        <a:xfrm>
          <a:off x="10274300" y="16516350"/>
          <a:ext cx="1552575" cy="7556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200">
              <a:solidFill>
                <a:schemeClr val="bg1"/>
              </a:solidFill>
              <a:latin typeface="Arial Unicode MS" panose="020B0604020202020204" pitchFamily="34" charset="-128"/>
              <a:ea typeface="Arial Unicode MS" panose="020B0604020202020204" pitchFamily="34" charset="-128"/>
              <a:cs typeface="Arial Unicode MS" panose="020B0604020202020204" pitchFamily="34" charset="-128"/>
            </a:rPr>
            <a:t> </a:t>
          </a:r>
          <a:r>
            <a:rPr lang="fr-FR" sz="1200" b="1">
              <a:solidFill>
                <a:schemeClr val="bg1"/>
              </a:solidFill>
              <a:latin typeface="Arial Unicode MS" panose="020B0604020202020204" pitchFamily="34" charset="-128"/>
              <a:ea typeface="Arial Unicode MS" panose="020B0604020202020204" pitchFamily="34" charset="-128"/>
              <a:cs typeface="Arial Unicode MS" panose="020B0604020202020204" pitchFamily="34" charset="-128"/>
            </a:rPr>
            <a:t>PRECEDENT</a:t>
          </a:r>
        </a:p>
      </xdr:txBody>
    </xdr:sp>
    <xdr:clientData fPrintsWithSheet="0"/>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fsow\Desktop\SPEEDY%20OHADA\SPEEDY%20OHADA%202.1.xlsm" TargetMode="External"/><Relationship Id="rId1" Type="http://schemas.openxmlformats.org/officeDocument/2006/relationships/externalLinkPath" Target="SPEEDY%20OHADA%20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j1mUDIZEbEuHRRTT2yVtwjWYFmDU49dPpjdJyTe6CWLc8QK_hIXxT56tbPjVzVqz" itemId="01JJQJULQAOWLZARXO3REZIMV2JOZNBSPA">
      <xxl21:absoluteUrl r:id="rId2"/>
    </xxl21:alternateUrls>
    <sheetNames>
      <sheetName val="SOMMAIRE"/>
      <sheetName val="CLASSE 5"/>
      <sheetName val="CLASSE 8"/>
      <sheetName val="IMPRESSION"/>
      <sheetName val="BALANCE N"/>
      <sheetName val="BALANCE N-1"/>
      <sheetName val="RENSEIGNEMENT"/>
      <sheetName val="PAGE DE GARDE"/>
      <sheetName val="FICHE R1"/>
      <sheetName val="FICHE R2"/>
      <sheetName val="dirigeants"/>
      <sheetName val="ACTIF"/>
      <sheetName val="CLASSE 4"/>
      <sheetName val="PASSIF"/>
      <sheetName val="BILAN paysage"/>
      <sheetName val="COMPTE DE RESULTAT"/>
      <sheetName val="Feuil3"/>
      <sheetName val="VENTI DES ECARTS DE CONV"/>
      <sheetName val="BALANCE REGROUPE"/>
      <sheetName val="Feuil2"/>
      <sheetName val="CLASSE 6"/>
      <sheetName val="CLASSE 7"/>
      <sheetName val="TABLEAU DE FLUX DE TRESORERIE"/>
      <sheetName val="CAPITAL"/>
      <sheetName val="NOTES ANNEXES"/>
      <sheetName val="NOTE 1"/>
      <sheetName val="NOTE 2"/>
      <sheetName val="CLASSE 2"/>
      <sheetName val="NOTE 3 A"/>
      <sheetName val="NOTE 3 B"/>
      <sheetName val="NOTE 3 C"/>
      <sheetName val="NOTE 3C Bis"/>
      <sheetName val="NOTE 3 D"/>
      <sheetName val="NOTE 3 E"/>
      <sheetName val="NOTE 4"/>
      <sheetName val="NOTE 5"/>
      <sheetName val="CLASSE 3"/>
      <sheetName val="NOTE 6"/>
      <sheetName val="NOTE 7"/>
      <sheetName val="NOTE 8"/>
      <sheetName val="NOTE 8 A"/>
      <sheetName val="NOTE 8 B"/>
      <sheetName val="NOTE 8 C"/>
      <sheetName val="NOTE 9"/>
      <sheetName val="NOTE 10"/>
      <sheetName val="NOTE 11"/>
      <sheetName val="NOTE 12"/>
      <sheetName val="NOTE 13"/>
      <sheetName val="NOTE 14"/>
      <sheetName val="CLASSE 1"/>
      <sheetName val="NOTE 15 A"/>
      <sheetName val="NOTE 15 B"/>
      <sheetName val="NOTE 16 A"/>
      <sheetName val="ACCUEIL"/>
      <sheetName val="NOTE 16 B"/>
      <sheetName val="NOTE 16 B bis"/>
      <sheetName val="NOTE 16 C"/>
      <sheetName val="controle"/>
      <sheetName val="NOTE 17"/>
      <sheetName val="NOTE 18"/>
      <sheetName val="NOTE 19"/>
      <sheetName val="NOTE 20"/>
      <sheetName val="NOTE 21"/>
      <sheetName val="NOTE 22"/>
      <sheetName val="NOTE 23"/>
      <sheetName val="NOTE 24"/>
      <sheetName val="NOTE 25"/>
      <sheetName val="NOTE 26"/>
      <sheetName val="NOTE 27 A"/>
      <sheetName val="NOTE 27 B"/>
      <sheetName val="NOTE 28 A"/>
      <sheetName val="NOTE 28 B"/>
      <sheetName val="NOTE 28 C"/>
      <sheetName val="NOTE 29"/>
      <sheetName val="NOTE 30"/>
      <sheetName val="NOTE 31"/>
      <sheetName val="NOTE 32"/>
      <sheetName val="NOTE 33"/>
      <sheetName val="NOTE 34"/>
      <sheetName val="NOTE 35"/>
      <sheetName val="NOTE 36 TABLEAU DE CODES"/>
      <sheetName val="CODES ACTIVITES ECONOMIQUES"/>
      <sheetName val="TITRE ETATS DGI"/>
      <sheetName val="COMPLEMENT TABLEAU 13"/>
      <sheetName val="DETAIL DES CHARGES"/>
      <sheetName val="REPARTIT RESULT PERSONNES"/>
      <sheetName val="COMPLT ENTREPR INDIVID"/>
      <sheetName val="CALCULS FISCAUX"/>
      <sheetName val="BIC 1999 PAGE 1"/>
      <sheetName val="BIC 1999 PAGE 2"/>
      <sheetName val="BIC 1999 PAGE 3"/>
      <sheetName val="PATENTE"/>
      <sheetName val="HONORAIRES PAGE  1 "/>
      <sheetName val="HONORAIRES PAGE 2"/>
      <sheetName val="NOTES - MEMORANDUM"/>
      <sheetName val="Déclaration DNI (5)"/>
      <sheetName val="Déclaration DNI (6)"/>
      <sheetName val="Déclaration DNI (7)"/>
      <sheetName val="Déclaration DNI (9)"/>
      <sheetName val="B V"/>
    </sheetNames>
    <definedNames>
      <definedName name="ACCEUIL"/>
      <definedName name="CODE_ECO"/>
      <definedName name="DGI"/>
      <definedName name="ENTI"/>
      <definedName name="NOTE_34"/>
      <definedName name="NOTE_35"/>
      <definedName name="NOTE_36"/>
      <definedName name="NOTES"/>
    </definedNames>
    <sheetDataSet>
      <sheetData sheetId="0"/>
      <sheetData sheetId="1">
        <row r="14">
          <cell r="E14">
            <v>0</v>
          </cell>
          <cell r="I14">
            <v>0</v>
          </cell>
        </row>
        <row r="28">
          <cell r="E28">
            <v>0</v>
          </cell>
          <cell r="I28">
            <v>0</v>
          </cell>
        </row>
        <row r="40">
          <cell r="E40">
            <v>0</v>
          </cell>
          <cell r="I40">
            <v>0</v>
          </cell>
        </row>
        <row r="46">
          <cell r="E46">
            <v>0</v>
          </cell>
          <cell r="I46">
            <v>0</v>
          </cell>
        </row>
        <row r="47">
          <cell r="E47">
            <v>0</v>
          </cell>
          <cell r="I47">
            <v>0</v>
          </cell>
        </row>
        <row r="55">
          <cell r="I55">
            <v>0</v>
          </cell>
        </row>
        <row r="56">
          <cell r="I56">
            <v>0</v>
          </cell>
        </row>
        <row r="57">
          <cell r="E57">
            <v>0</v>
          </cell>
          <cell r="I57">
            <v>0</v>
          </cell>
        </row>
        <row r="58">
          <cell r="E58">
            <v>0</v>
          </cell>
          <cell r="I58">
            <v>0</v>
          </cell>
        </row>
        <row r="59">
          <cell r="E59">
            <v>0</v>
          </cell>
          <cell r="I59">
            <v>0</v>
          </cell>
        </row>
        <row r="60">
          <cell r="E60">
            <v>0</v>
          </cell>
          <cell r="I60">
            <v>0</v>
          </cell>
        </row>
        <row r="61">
          <cell r="E61">
            <v>0</v>
          </cell>
          <cell r="I61">
            <v>0</v>
          </cell>
        </row>
        <row r="73">
          <cell r="E73">
            <v>0</v>
          </cell>
          <cell r="I73">
            <v>0</v>
          </cell>
        </row>
        <row r="75">
          <cell r="I75">
            <v>0</v>
          </cell>
          <cell r="J75">
            <v>0</v>
          </cell>
        </row>
        <row r="77">
          <cell r="I77">
            <v>0</v>
          </cell>
          <cell r="J77">
            <v>0</v>
          </cell>
        </row>
        <row r="79">
          <cell r="I79">
            <v>0</v>
          </cell>
          <cell r="J79">
            <v>0</v>
          </cell>
        </row>
        <row r="80">
          <cell r="E80">
            <v>0</v>
          </cell>
          <cell r="F80">
            <v>0</v>
          </cell>
        </row>
        <row r="81">
          <cell r="E81">
            <v>0</v>
          </cell>
          <cell r="F81">
            <v>0</v>
          </cell>
          <cell r="I81">
            <v>0</v>
          </cell>
          <cell r="J81">
            <v>0</v>
          </cell>
        </row>
        <row r="82">
          <cell r="E82">
            <v>0</v>
          </cell>
          <cell r="F82">
            <v>0</v>
          </cell>
          <cell r="I82">
            <v>0</v>
          </cell>
          <cell r="J82">
            <v>0</v>
          </cell>
        </row>
        <row r="83">
          <cell r="E83">
            <v>0</v>
          </cell>
          <cell r="F83">
            <v>0</v>
          </cell>
          <cell r="I83">
            <v>0</v>
          </cell>
          <cell r="J83">
            <v>0</v>
          </cell>
        </row>
        <row r="84">
          <cell r="E84">
            <v>0</v>
          </cell>
          <cell r="F84">
            <v>0</v>
          </cell>
          <cell r="I84">
            <v>0</v>
          </cell>
          <cell r="J84">
            <v>0</v>
          </cell>
        </row>
        <row r="86">
          <cell r="J86">
            <v>0</v>
          </cell>
        </row>
        <row r="90">
          <cell r="E90">
            <v>0</v>
          </cell>
          <cell r="F90">
            <v>0</v>
          </cell>
          <cell r="I90">
            <v>0</v>
          </cell>
          <cell r="J90">
            <v>0</v>
          </cell>
        </row>
        <row r="91">
          <cell r="E91">
            <v>0</v>
          </cell>
          <cell r="I91">
            <v>0</v>
          </cell>
        </row>
        <row r="92">
          <cell r="E92">
            <v>0</v>
          </cell>
          <cell r="I92">
            <v>0</v>
          </cell>
        </row>
        <row r="93">
          <cell r="E93">
            <v>0</v>
          </cell>
          <cell r="I93">
            <v>0</v>
          </cell>
        </row>
        <row r="94">
          <cell r="E94">
            <v>0</v>
          </cell>
          <cell r="I94">
            <v>0</v>
          </cell>
        </row>
        <row r="95">
          <cell r="E95">
            <v>0</v>
          </cell>
          <cell r="I95">
            <v>0</v>
          </cell>
        </row>
        <row r="96">
          <cell r="E96">
            <v>0</v>
          </cell>
          <cell r="I96">
            <v>0</v>
          </cell>
        </row>
        <row r="97">
          <cell r="E97">
            <v>0</v>
          </cell>
          <cell r="I97">
            <v>0</v>
          </cell>
        </row>
        <row r="98">
          <cell r="E98">
            <v>0</v>
          </cell>
          <cell r="I98">
            <v>0</v>
          </cell>
        </row>
        <row r="99">
          <cell r="E99">
            <v>0</v>
          </cell>
          <cell r="I99">
            <v>0</v>
          </cell>
        </row>
        <row r="100">
          <cell r="E100">
            <v>0</v>
          </cell>
          <cell r="I100">
            <v>0</v>
          </cell>
        </row>
        <row r="101">
          <cell r="E101">
            <v>0</v>
          </cell>
          <cell r="I101">
            <v>0</v>
          </cell>
        </row>
        <row r="102">
          <cell r="E102">
            <v>0</v>
          </cell>
          <cell r="I102">
            <v>0</v>
          </cell>
        </row>
        <row r="103">
          <cell r="E103">
            <v>0</v>
          </cell>
          <cell r="I103">
            <v>0</v>
          </cell>
        </row>
        <row r="104">
          <cell r="E104">
            <v>0</v>
          </cell>
          <cell r="I104">
            <v>0</v>
          </cell>
        </row>
        <row r="105">
          <cell r="E105">
            <v>0</v>
          </cell>
          <cell r="I105">
            <v>0</v>
          </cell>
        </row>
        <row r="106">
          <cell r="E106">
            <v>0</v>
          </cell>
          <cell r="I106">
            <v>0</v>
          </cell>
        </row>
        <row r="107">
          <cell r="E107">
            <v>0</v>
          </cell>
          <cell r="I107">
            <v>0</v>
          </cell>
        </row>
        <row r="108">
          <cell r="J108">
            <v>0</v>
          </cell>
        </row>
        <row r="109">
          <cell r="F109">
            <v>0</v>
          </cell>
          <cell r="J109">
            <v>0</v>
          </cell>
        </row>
        <row r="110">
          <cell r="F110">
            <v>0</v>
          </cell>
          <cell r="J110">
            <v>0</v>
          </cell>
        </row>
        <row r="111">
          <cell r="J111">
            <v>0</v>
          </cell>
        </row>
        <row r="117">
          <cell r="E117">
            <v>0</v>
          </cell>
          <cell r="I117">
            <v>0</v>
          </cell>
        </row>
        <row r="123">
          <cell r="E123">
            <v>0</v>
          </cell>
          <cell r="I123">
            <v>0</v>
          </cell>
        </row>
        <row r="129">
          <cell r="E129">
            <v>0</v>
          </cell>
          <cell r="I129">
            <v>0</v>
          </cell>
        </row>
        <row r="130">
          <cell r="E130">
            <v>0</v>
          </cell>
          <cell r="I130">
            <v>0</v>
          </cell>
        </row>
        <row r="131">
          <cell r="E131">
            <v>0</v>
          </cell>
          <cell r="I131">
            <v>0</v>
          </cell>
        </row>
        <row r="132">
          <cell r="E132">
            <v>0</v>
          </cell>
          <cell r="I132">
            <v>0</v>
          </cell>
        </row>
        <row r="133">
          <cell r="E133">
            <v>0</v>
          </cell>
          <cell r="I133">
            <v>0</v>
          </cell>
        </row>
        <row r="134">
          <cell r="F134">
            <v>0</v>
          </cell>
          <cell r="G134">
            <v>0</v>
          </cell>
          <cell r="H134">
            <v>0</v>
          </cell>
          <cell r="J134">
            <v>0</v>
          </cell>
        </row>
        <row r="135">
          <cell r="F135">
            <v>0</v>
          </cell>
          <cell r="G135">
            <v>0</v>
          </cell>
          <cell r="H135">
            <v>0</v>
          </cell>
          <cell r="J135">
            <v>0</v>
          </cell>
        </row>
        <row r="136">
          <cell r="F136">
            <v>0</v>
          </cell>
          <cell r="G136">
            <v>0</v>
          </cell>
          <cell r="H136">
            <v>0</v>
          </cell>
          <cell r="J136">
            <v>0</v>
          </cell>
        </row>
        <row r="137">
          <cell r="F137">
            <v>0</v>
          </cell>
          <cell r="G137">
            <v>0</v>
          </cell>
          <cell r="H137">
            <v>0</v>
          </cell>
          <cell r="J137">
            <v>0</v>
          </cell>
        </row>
        <row r="138">
          <cell r="F138">
            <v>0</v>
          </cell>
          <cell r="G138">
            <v>0</v>
          </cell>
          <cell r="H138">
            <v>0</v>
          </cell>
          <cell r="J138">
            <v>0</v>
          </cell>
        </row>
        <row r="139">
          <cell r="F139">
            <v>0</v>
          </cell>
          <cell r="G139">
            <v>0</v>
          </cell>
          <cell r="H139">
            <v>0</v>
          </cell>
          <cell r="J139">
            <v>0</v>
          </cell>
        </row>
        <row r="142">
          <cell r="E142">
            <v>0</v>
          </cell>
          <cell r="F142">
            <v>0</v>
          </cell>
          <cell r="I142">
            <v>0</v>
          </cell>
          <cell r="J142">
            <v>0</v>
          </cell>
        </row>
      </sheetData>
      <sheetData sheetId="2">
        <row r="5">
          <cell r="E5">
            <v>0</v>
          </cell>
          <cell r="I5">
            <v>0</v>
          </cell>
        </row>
        <row r="6">
          <cell r="E6">
            <v>0</v>
          </cell>
          <cell r="I6">
            <v>0</v>
          </cell>
        </row>
        <row r="7">
          <cell r="E7">
            <v>0</v>
          </cell>
          <cell r="I7">
            <v>0</v>
          </cell>
        </row>
        <row r="8">
          <cell r="F8">
            <v>0</v>
          </cell>
          <cell r="J8">
            <v>0</v>
          </cell>
        </row>
        <row r="9">
          <cell r="F9">
            <v>0</v>
          </cell>
          <cell r="J9">
            <v>0</v>
          </cell>
        </row>
        <row r="10">
          <cell r="F10">
            <v>0</v>
          </cell>
          <cell r="J10">
            <v>0</v>
          </cell>
        </row>
        <row r="11">
          <cell r="E11">
            <v>0</v>
          </cell>
          <cell r="F11">
            <v>0</v>
          </cell>
          <cell r="I11">
            <v>0</v>
          </cell>
        </row>
        <row r="12">
          <cell r="E12">
            <v>0</v>
          </cell>
          <cell r="F12">
            <v>0</v>
          </cell>
          <cell r="I12">
            <v>0</v>
          </cell>
        </row>
        <row r="13">
          <cell r="E13">
            <v>0</v>
          </cell>
          <cell r="F13">
            <v>0</v>
          </cell>
          <cell r="I13">
            <v>0</v>
          </cell>
        </row>
        <row r="14">
          <cell r="E14">
            <v>0</v>
          </cell>
          <cell r="F14">
            <v>0</v>
          </cell>
          <cell r="I14">
            <v>0</v>
          </cell>
        </row>
        <row r="15">
          <cell r="E15">
            <v>0</v>
          </cell>
          <cell r="F15">
            <v>0</v>
          </cell>
          <cell r="I15">
            <v>0</v>
          </cell>
        </row>
        <row r="16">
          <cell r="E16">
            <v>0</v>
          </cell>
          <cell r="F16">
            <v>0</v>
          </cell>
          <cell r="I16">
            <v>0</v>
          </cell>
        </row>
        <row r="17">
          <cell r="E17">
            <v>0</v>
          </cell>
          <cell r="F17">
            <v>0</v>
          </cell>
          <cell r="I17">
            <v>0</v>
          </cell>
        </row>
        <row r="18">
          <cell r="E18">
            <v>0</v>
          </cell>
          <cell r="F18">
            <v>0</v>
          </cell>
          <cell r="J18">
            <v>0</v>
          </cell>
        </row>
        <row r="19">
          <cell r="E19">
            <v>0</v>
          </cell>
          <cell r="F19">
            <v>0</v>
          </cell>
          <cell r="J19">
            <v>0</v>
          </cell>
        </row>
        <row r="20">
          <cell r="E20">
            <v>0</v>
          </cell>
          <cell r="F20">
            <v>0</v>
          </cell>
          <cell r="J20">
            <v>0</v>
          </cell>
        </row>
        <row r="21">
          <cell r="E21">
            <v>0</v>
          </cell>
          <cell r="F21">
            <v>0</v>
          </cell>
          <cell r="J21">
            <v>0</v>
          </cell>
        </row>
        <row r="22">
          <cell r="E22">
            <v>0</v>
          </cell>
          <cell r="F22">
            <v>0</v>
          </cell>
          <cell r="J22">
            <v>0</v>
          </cell>
        </row>
        <row r="23">
          <cell r="E23">
            <v>0</v>
          </cell>
          <cell r="F23">
            <v>0</v>
          </cell>
          <cell r="J23">
            <v>0</v>
          </cell>
        </row>
        <row r="24">
          <cell r="E24">
            <v>0</v>
          </cell>
          <cell r="F24">
            <v>0</v>
          </cell>
          <cell r="J24">
            <v>0</v>
          </cell>
        </row>
        <row r="25">
          <cell r="E25">
            <v>0</v>
          </cell>
          <cell r="F25">
            <v>0</v>
          </cell>
          <cell r="J25">
            <v>0</v>
          </cell>
        </row>
        <row r="26">
          <cell r="E26">
            <v>0</v>
          </cell>
          <cell r="F26">
            <v>0</v>
          </cell>
          <cell r="I26">
            <v>0</v>
          </cell>
        </row>
        <row r="27">
          <cell r="E27">
            <v>0</v>
          </cell>
          <cell r="F27">
            <v>0</v>
          </cell>
          <cell r="I27">
            <v>0</v>
          </cell>
        </row>
        <row r="28">
          <cell r="E28">
            <v>0</v>
          </cell>
          <cell r="F28">
            <v>0</v>
          </cell>
          <cell r="I28">
            <v>0</v>
          </cell>
        </row>
        <row r="29">
          <cell r="E29">
            <v>0</v>
          </cell>
          <cell r="F29">
            <v>0</v>
          </cell>
          <cell r="I29">
            <v>0</v>
          </cell>
        </row>
        <row r="30">
          <cell r="E30">
            <v>0</v>
          </cell>
          <cell r="F30">
            <v>0</v>
          </cell>
          <cell r="I30">
            <v>0</v>
          </cell>
        </row>
        <row r="31">
          <cell r="E31">
            <v>0</v>
          </cell>
          <cell r="F31">
            <v>0</v>
          </cell>
          <cell r="J31">
            <v>0</v>
          </cell>
        </row>
        <row r="32">
          <cell r="E32">
            <v>0</v>
          </cell>
          <cell r="F32">
            <v>0</v>
          </cell>
          <cell r="J32">
            <v>0</v>
          </cell>
        </row>
        <row r="33">
          <cell r="E33">
            <v>0</v>
          </cell>
          <cell r="F33">
            <v>0</v>
          </cell>
          <cell r="J33">
            <v>0</v>
          </cell>
        </row>
        <row r="34">
          <cell r="E34">
            <v>0</v>
          </cell>
          <cell r="F34">
            <v>0</v>
          </cell>
          <cell r="J34">
            <v>0</v>
          </cell>
        </row>
        <row r="35">
          <cell r="E35">
            <v>0</v>
          </cell>
          <cell r="F35">
            <v>0</v>
          </cell>
          <cell r="J35">
            <v>0</v>
          </cell>
        </row>
        <row r="36">
          <cell r="E36">
            <v>0</v>
          </cell>
          <cell r="F36">
            <v>0</v>
          </cell>
          <cell r="I36">
            <v>0</v>
          </cell>
        </row>
        <row r="37">
          <cell r="E37">
            <v>0</v>
          </cell>
          <cell r="F37">
            <v>0</v>
          </cell>
          <cell r="I37">
            <v>0</v>
          </cell>
        </row>
        <row r="38">
          <cell r="E38">
            <v>0</v>
          </cell>
          <cell r="F38">
            <v>0</v>
          </cell>
          <cell r="I38">
            <v>0</v>
          </cell>
        </row>
        <row r="39">
          <cell r="E39">
            <v>0</v>
          </cell>
          <cell r="F39">
            <v>0</v>
          </cell>
          <cell r="I39">
            <v>0</v>
          </cell>
          <cell r="J39">
            <v>0</v>
          </cell>
        </row>
        <row r="40">
          <cell r="E40">
            <v>0</v>
          </cell>
          <cell r="F40">
            <v>0</v>
          </cell>
          <cell r="I40">
            <v>0</v>
          </cell>
          <cell r="J40">
            <v>0</v>
          </cell>
        </row>
        <row r="41">
          <cell r="E41">
            <v>0</v>
          </cell>
          <cell r="F41">
            <v>0</v>
          </cell>
          <cell r="I41">
            <v>0</v>
          </cell>
          <cell r="J41">
            <v>0</v>
          </cell>
        </row>
        <row r="42">
          <cell r="E42">
            <v>0</v>
          </cell>
          <cell r="F42">
            <v>0</v>
          </cell>
          <cell r="I42">
            <v>0</v>
          </cell>
          <cell r="J42">
            <v>0</v>
          </cell>
        </row>
        <row r="50">
          <cell r="E50">
            <v>0</v>
          </cell>
          <cell r="I50">
            <v>0</v>
          </cell>
        </row>
        <row r="51">
          <cell r="E51">
            <v>0</v>
          </cell>
          <cell r="I51">
            <v>0</v>
          </cell>
        </row>
        <row r="52">
          <cell r="E52">
            <v>0</v>
          </cell>
          <cell r="I52">
            <v>0</v>
          </cell>
        </row>
        <row r="58">
          <cell r="F58">
            <v>0</v>
          </cell>
          <cell r="J58">
            <v>0</v>
          </cell>
        </row>
      </sheetData>
      <sheetData sheetId="3"/>
      <sheetData sheetId="4"/>
      <sheetData sheetId="5"/>
      <sheetData sheetId="6">
        <row r="2">
          <cell r="C2" t="str">
            <v>DE GUINEE</v>
          </cell>
        </row>
        <row r="4">
          <cell r="C4" t="str">
            <v>DES FINANCES</v>
          </cell>
        </row>
        <row r="6">
          <cell r="C6" t="str">
            <v>NATIONALE DES IMPOTS</v>
          </cell>
        </row>
        <row r="8">
          <cell r="D8" t="str">
            <v>GRANDES ENTREPRISES</v>
          </cell>
        </row>
        <row r="11">
          <cell r="E11" t="str">
            <v>SYSTÈME COMPTABLE NORMAL</v>
          </cell>
        </row>
        <row r="13">
          <cell r="G13">
            <v>31</v>
          </cell>
          <cell r="H13">
            <v>12</v>
          </cell>
          <cell r="J13">
            <v>2025</v>
          </cell>
        </row>
        <row r="16">
          <cell r="G16">
            <v>31</v>
          </cell>
          <cell r="H16">
            <v>12</v>
          </cell>
          <cell r="J16">
            <v>2024</v>
          </cell>
          <cell r="P16">
            <v>12</v>
          </cell>
        </row>
        <row r="32">
          <cell r="F32" t="str">
            <v>GRANDES ENTREPRISES</v>
          </cell>
        </row>
        <row r="35">
          <cell r="F35">
            <v>1</v>
          </cell>
          <cell r="G35">
            <v>1</v>
          </cell>
          <cell r="H35">
            <v>2024</v>
          </cell>
        </row>
        <row r="37">
          <cell r="D37">
            <v>12</v>
          </cell>
        </row>
        <row r="39">
          <cell r="E39">
            <v>45777</v>
          </cell>
        </row>
      </sheetData>
      <sheetData sheetId="7"/>
      <sheetData sheetId="8"/>
      <sheetData sheetId="9"/>
      <sheetData sheetId="10">
        <row r="30">
          <cell r="B30" t="str">
            <v>ACTIONNAIRES OU ASSOCIES PRINCIPAUX (par ordre décroissant du capital souscrit)</v>
          </cell>
        </row>
        <row r="32">
          <cell r="B32" t="str">
            <v>Nom</v>
          </cell>
          <cell r="D32" t="str">
            <v>Prénoms</v>
          </cell>
          <cell r="F32" t="str">
            <v>Nationalité</v>
          </cell>
          <cell r="I32" t="str">
            <v>Capital</v>
          </cell>
        </row>
        <row r="33">
          <cell r="I33" t="str">
            <v>Montant (millions GNF)</v>
          </cell>
        </row>
        <row r="45">
          <cell r="B45" t="str">
            <v>MEMBRES DU CONSEIL D'ADMINISTRATION</v>
          </cell>
        </row>
        <row r="47">
          <cell r="B47" t="str">
            <v>Nom</v>
          </cell>
          <cell r="D47" t="str">
            <v>Prénoms</v>
          </cell>
          <cell r="F47" t="str">
            <v>Qualité</v>
          </cell>
          <cell r="I47" t="str">
            <v>Adresse (BP, ville, pays)</v>
          </cell>
        </row>
        <row r="58">
          <cell r="B58" t="str">
            <v>FILIALES ET PARTICIPATIONS</v>
          </cell>
        </row>
        <row r="60">
          <cell r="B60" t="str">
            <v>Désignation</v>
          </cell>
          <cell r="F60" t="str">
            <v>Nationalité</v>
          </cell>
          <cell r="I60" t="str">
            <v>Capital</v>
          </cell>
        </row>
        <row r="61">
          <cell r="I61" t="str">
            <v>Montant (millions GNF)</v>
          </cell>
        </row>
      </sheetData>
      <sheetData sheetId="11">
        <row r="11">
          <cell r="H11" t="str">
            <v>EXERCICE AU 31-12-2025</v>
          </cell>
          <cell r="K11" t="str">
            <v>EXERCICE AU 31-12-2024</v>
          </cell>
        </row>
        <row r="37">
          <cell r="H37">
            <v>0</v>
          </cell>
          <cell r="I37">
            <v>0</v>
          </cell>
          <cell r="J37">
            <v>0</v>
          </cell>
          <cell r="K37">
            <v>0</v>
          </cell>
        </row>
      </sheetData>
      <sheetData sheetId="12">
        <row r="6">
          <cell r="J6">
            <v>0</v>
          </cell>
        </row>
        <row r="8">
          <cell r="J8">
            <v>0</v>
          </cell>
        </row>
        <row r="10">
          <cell r="J10">
            <v>0</v>
          </cell>
        </row>
        <row r="12">
          <cell r="J12">
            <v>0</v>
          </cell>
        </row>
        <row r="14">
          <cell r="J14">
            <v>0</v>
          </cell>
        </row>
        <row r="16">
          <cell r="J16">
            <v>0</v>
          </cell>
        </row>
        <row r="18">
          <cell r="J18">
            <v>0</v>
          </cell>
        </row>
        <row r="20">
          <cell r="J20">
            <v>0</v>
          </cell>
        </row>
        <row r="22">
          <cell r="J22">
            <v>0</v>
          </cell>
        </row>
        <row r="32">
          <cell r="J32">
            <v>0</v>
          </cell>
        </row>
        <row r="34">
          <cell r="I34">
            <v>0</v>
          </cell>
          <cell r="J34">
            <v>0</v>
          </cell>
        </row>
        <row r="36">
          <cell r="I36">
            <v>0</v>
          </cell>
          <cell r="J36">
            <v>0</v>
          </cell>
        </row>
        <row r="38">
          <cell r="I38">
            <v>0</v>
          </cell>
          <cell r="J38">
            <v>0</v>
          </cell>
        </row>
        <row r="40">
          <cell r="I40">
            <v>0</v>
          </cell>
          <cell r="J40">
            <v>0</v>
          </cell>
        </row>
        <row r="42">
          <cell r="J42">
            <v>0</v>
          </cell>
        </row>
        <row r="44">
          <cell r="E44">
            <v>0</v>
          </cell>
          <cell r="I44">
            <v>0</v>
          </cell>
        </row>
        <row r="46">
          <cell r="E46">
            <v>0</v>
          </cell>
          <cell r="I46">
            <v>0</v>
          </cell>
        </row>
        <row r="48">
          <cell r="E48">
            <v>0</v>
          </cell>
          <cell r="I48">
            <v>0</v>
          </cell>
        </row>
        <row r="50">
          <cell r="E50">
            <v>0</v>
          </cell>
          <cell r="I50">
            <v>0</v>
          </cell>
        </row>
        <row r="52">
          <cell r="E52">
            <v>0</v>
          </cell>
          <cell r="I52">
            <v>0</v>
          </cell>
        </row>
        <row r="54">
          <cell r="I54">
            <v>0</v>
          </cell>
        </row>
        <row r="64">
          <cell r="I64">
            <v>0</v>
          </cell>
        </row>
        <row r="70">
          <cell r="I70">
            <v>0</v>
          </cell>
        </row>
        <row r="74">
          <cell r="I74">
            <v>0</v>
          </cell>
        </row>
        <row r="80">
          <cell r="I80">
            <v>0</v>
          </cell>
        </row>
        <row r="82">
          <cell r="I82">
            <v>0</v>
          </cell>
        </row>
        <row r="92">
          <cell r="I92">
            <v>0</v>
          </cell>
        </row>
        <row r="98">
          <cell r="I98">
            <v>0</v>
          </cell>
        </row>
        <row r="99">
          <cell r="I99">
            <v>0</v>
          </cell>
        </row>
        <row r="105">
          <cell r="I105">
            <v>0</v>
          </cell>
        </row>
        <row r="111">
          <cell r="I111">
            <v>0</v>
          </cell>
        </row>
        <row r="113">
          <cell r="F113">
            <v>0</v>
          </cell>
          <cell r="J113">
            <v>0</v>
          </cell>
        </row>
        <row r="115">
          <cell r="F115">
            <v>0</v>
          </cell>
          <cell r="J115">
            <v>0</v>
          </cell>
        </row>
        <row r="117">
          <cell r="F117">
            <v>0</v>
          </cell>
          <cell r="J117">
            <v>0</v>
          </cell>
        </row>
        <row r="119">
          <cell r="F119">
            <v>0</v>
          </cell>
          <cell r="J119">
            <v>0</v>
          </cell>
        </row>
        <row r="121">
          <cell r="J121">
            <v>0</v>
          </cell>
        </row>
        <row r="129">
          <cell r="I129">
            <v>0</v>
          </cell>
        </row>
        <row r="130">
          <cell r="J130">
            <v>0</v>
          </cell>
        </row>
        <row r="138">
          <cell r="I138">
            <v>0</v>
          </cell>
          <cell r="J138">
            <v>0</v>
          </cell>
        </row>
        <row r="148">
          <cell r="J148">
            <v>0</v>
          </cell>
        </row>
        <row r="156">
          <cell r="J156">
            <v>0</v>
          </cell>
        </row>
        <row r="162">
          <cell r="J162">
            <v>0</v>
          </cell>
        </row>
        <row r="163">
          <cell r="J163">
            <v>0</v>
          </cell>
        </row>
        <row r="171">
          <cell r="J171">
            <v>0</v>
          </cell>
        </row>
        <row r="183">
          <cell r="I183">
            <v>0</v>
          </cell>
          <cell r="J183">
            <v>0</v>
          </cell>
        </row>
        <row r="184">
          <cell r="I184">
            <v>0</v>
          </cell>
          <cell r="J184">
            <v>0</v>
          </cell>
        </row>
        <row r="186">
          <cell r="J186">
            <v>0</v>
          </cell>
        </row>
        <row r="188">
          <cell r="J188">
            <v>0</v>
          </cell>
        </row>
        <row r="190">
          <cell r="J190">
            <v>0</v>
          </cell>
        </row>
        <row r="192">
          <cell r="I192">
            <v>0</v>
          </cell>
          <cell r="J192">
            <v>0</v>
          </cell>
        </row>
        <row r="194">
          <cell r="J194">
            <v>0</v>
          </cell>
        </row>
        <row r="196">
          <cell r="J196">
            <v>0</v>
          </cell>
        </row>
        <row r="198">
          <cell r="J198">
            <v>0</v>
          </cell>
        </row>
        <row r="200">
          <cell r="I200">
            <v>0</v>
          </cell>
          <cell r="J200">
            <v>0</v>
          </cell>
        </row>
        <row r="202">
          <cell r="I202">
            <v>0</v>
          </cell>
        </row>
        <row r="203">
          <cell r="F203">
            <v>0</v>
          </cell>
          <cell r="J203">
            <v>0</v>
          </cell>
        </row>
        <row r="217">
          <cell r="F217">
            <v>0</v>
          </cell>
          <cell r="J217">
            <v>0</v>
          </cell>
        </row>
        <row r="229">
          <cell r="F229">
            <v>0</v>
          </cell>
          <cell r="J229">
            <v>0</v>
          </cell>
        </row>
        <row r="231">
          <cell r="J231">
            <v>0</v>
          </cell>
        </row>
        <row r="233">
          <cell r="I233">
            <v>0</v>
          </cell>
        </row>
        <row r="235">
          <cell r="F235">
            <v>0</v>
          </cell>
        </row>
        <row r="249">
          <cell r="I249">
            <v>0</v>
          </cell>
        </row>
        <row r="250">
          <cell r="F250">
            <v>0</v>
          </cell>
          <cell r="I250">
            <v>0</v>
          </cell>
          <cell r="J250">
            <v>0</v>
          </cell>
        </row>
        <row r="262">
          <cell r="F262">
            <v>0</v>
          </cell>
          <cell r="J262">
            <v>0</v>
          </cell>
        </row>
        <row r="264">
          <cell r="J264">
            <v>0</v>
          </cell>
        </row>
        <row r="266">
          <cell r="I266">
            <v>0</v>
          </cell>
        </row>
        <row r="268">
          <cell r="F268">
            <v>0</v>
          </cell>
          <cell r="J268">
            <v>0</v>
          </cell>
        </row>
        <row r="286">
          <cell r="I286">
            <v>0</v>
          </cell>
        </row>
        <row r="287">
          <cell r="F287">
            <v>0</v>
          </cell>
          <cell r="I287">
            <v>0</v>
          </cell>
          <cell r="J287">
            <v>0</v>
          </cell>
        </row>
        <row r="288">
          <cell r="F288">
            <v>0</v>
          </cell>
          <cell r="I288">
            <v>0</v>
          </cell>
          <cell r="J288">
            <v>0</v>
          </cell>
        </row>
        <row r="294">
          <cell r="F294">
            <v>0</v>
          </cell>
          <cell r="I294">
            <v>0</v>
          </cell>
          <cell r="J294">
            <v>0</v>
          </cell>
        </row>
        <row r="300">
          <cell r="E300">
            <v>0</v>
          </cell>
          <cell r="I300">
            <v>0</v>
          </cell>
        </row>
        <row r="302">
          <cell r="J302">
            <v>0</v>
          </cell>
        </row>
        <row r="304">
          <cell r="J304">
            <v>0</v>
          </cell>
        </row>
        <row r="306">
          <cell r="J306">
            <v>0</v>
          </cell>
        </row>
        <row r="310">
          <cell r="J310">
            <v>0</v>
          </cell>
        </row>
        <row r="312">
          <cell r="J312">
            <v>0</v>
          </cell>
        </row>
        <row r="314">
          <cell r="F314">
            <v>0</v>
          </cell>
          <cell r="I314">
            <v>0</v>
          </cell>
          <cell r="J314">
            <v>0</v>
          </cell>
        </row>
        <row r="320">
          <cell r="F320">
            <v>0</v>
          </cell>
          <cell r="J320">
            <v>0</v>
          </cell>
        </row>
        <row r="326">
          <cell r="F326">
            <v>0</v>
          </cell>
          <cell r="J326">
            <v>0</v>
          </cell>
        </row>
        <row r="327">
          <cell r="F327">
            <v>0</v>
          </cell>
          <cell r="G327">
            <v>0</v>
          </cell>
          <cell r="J327">
            <v>0</v>
          </cell>
        </row>
        <row r="328">
          <cell r="F328">
            <v>0</v>
          </cell>
          <cell r="J328">
            <v>0</v>
          </cell>
        </row>
        <row r="329">
          <cell r="F329">
            <v>0</v>
          </cell>
          <cell r="J329">
            <v>0</v>
          </cell>
        </row>
        <row r="331">
          <cell r="I331">
            <v>0</v>
          </cell>
        </row>
        <row r="333">
          <cell r="F333">
            <v>0</v>
          </cell>
          <cell r="J333">
            <v>0</v>
          </cell>
        </row>
        <row r="334">
          <cell r="J334">
            <v>0</v>
          </cell>
        </row>
        <row r="335">
          <cell r="F335">
            <v>0</v>
          </cell>
          <cell r="J335">
            <v>0</v>
          </cell>
        </row>
        <row r="337">
          <cell r="J337">
            <v>0</v>
          </cell>
        </row>
        <row r="339">
          <cell r="F339">
            <v>0</v>
          </cell>
          <cell r="J339">
            <v>0</v>
          </cell>
        </row>
        <row r="341">
          <cell r="I341">
            <v>0</v>
          </cell>
        </row>
        <row r="343">
          <cell r="J343">
            <v>0</v>
          </cell>
        </row>
        <row r="345">
          <cell r="J345">
            <v>0</v>
          </cell>
        </row>
        <row r="349">
          <cell r="I349">
            <v>0</v>
          </cell>
          <cell r="J349">
            <v>0</v>
          </cell>
        </row>
        <row r="351">
          <cell r="F351">
            <v>0</v>
          </cell>
          <cell r="J351">
            <v>0</v>
          </cell>
        </row>
        <row r="353">
          <cell r="E353">
            <v>0</v>
          </cell>
          <cell r="F353">
            <v>0</v>
          </cell>
          <cell r="I353">
            <v>0</v>
          </cell>
          <cell r="J353">
            <v>0</v>
          </cell>
        </row>
        <row r="355">
          <cell r="I355">
            <v>0</v>
          </cell>
        </row>
        <row r="357">
          <cell r="F357">
            <v>0</v>
          </cell>
          <cell r="J357">
            <v>0</v>
          </cell>
        </row>
        <row r="359">
          <cell r="I359">
            <v>0</v>
          </cell>
        </row>
        <row r="361">
          <cell r="F361">
            <v>0</v>
          </cell>
          <cell r="J361">
            <v>0</v>
          </cell>
        </row>
        <row r="363">
          <cell r="J363">
            <v>0</v>
          </cell>
        </row>
        <row r="367">
          <cell r="I367">
            <v>0</v>
          </cell>
        </row>
        <row r="369">
          <cell r="F369">
            <v>0</v>
          </cell>
          <cell r="J369">
            <v>0</v>
          </cell>
        </row>
        <row r="373">
          <cell r="I373">
            <v>0</v>
          </cell>
        </row>
        <row r="375">
          <cell r="F375">
            <v>0</v>
          </cell>
          <cell r="J375">
            <v>0</v>
          </cell>
        </row>
        <row r="378">
          <cell r="I378">
            <v>0</v>
          </cell>
        </row>
        <row r="379">
          <cell r="F379">
            <v>0</v>
          </cell>
          <cell r="I379">
            <v>0</v>
          </cell>
          <cell r="J379">
            <v>0</v>
          </cell>
        </row>
        <row r="385">
          <cell r="F385">
            <v>0</v>
          </cell>
          <cell r="J385">
            <v>0</v>
          </cell>
        </row>
        <row r="387">
          <cell r="F387">
            <v>0</v>
          </cell>
          <cell r="J387">
            <v>0</v>
          </cell>
        </row>
        <row r="393">
          <cell r="I393">
            <v>0</v>
          </cell>
        </row>
        <row r="407">
          <cell r="J407">
            <v>0</v>
          </cell>
        </row>
        <row r="413">
          <cell r="J413">
            <v>0</v>
          </cell>
        </row>
        <row r="421">
          <cell r="J421">
            <v>0</v>
          </cell>
        </row>
        <row r="427">
          <cell r="J427">
            <v>0</v>
          </cell>
        </row>
        <row r="428">
          <cell r="J428">
            <v>0</v>
          </cell>
        </row>
        <row r="447">
          <cell r="I447">
            <v>0</v>
          </cell>
        </row>
        <row r="448">
          <cell r="I448">
            <v>0</v>
          </cell>
        </row>
        <row r="449">
          <cell r="F449">
            <v>0</v>
          </cell>
          <cell r="G449">
            <v>0</v>
          </cell>
          <cell r="H449">
            <v>0</v>
          </cell>
          <cell r="J449">
            <v>0</v>
          </cell>
        </row>
        <row r="455">
          <cell r="F455">
            <v>0</v>
          </cell>
          <cell r="G455">
            <v>0</v>
          </cell>
          <cell r="H455">
            <v>0</v>
          </cell>
          <cell r="J455">
            <v>0</v>
          </cell>
        </row>
        <row r="456">
          <cell r="J456">
            <v>0</v>
          </cell>
        </row>
        <row r="457">
          <cell r="J457">
            <v>0</v>
          </cell>
        </row>
        <row r="458">
          <cell r="J458">
            <v>0</v>
          </cell>
        </row>
        <row r="459">
          <cell r="J459">
            <v>0</v>
          </cell>
        </row>
        <row r="460">
          <cell r="J460">
            <v>0</v>
          </cell>
        </row>
        <row r="467">
          <cell r="F467">
            <v>0</v>
          </cell>
          <cell r="G467">
            <v>0</v>
          </cell>
          <cell r="H467">
            <v>0</v>
          </cell>
          <cell r="J467">
            <v>0</v>
          </cell>
        </row>
        <row r="468">
          <cell r="F468">
            <v>0</v>
          </cell>
          <cell r="G468">
            <v>0</v>
          </cell>
          <cell r="H468">
            <v>0</v>
          </cell>
          <cell r="J468">
            <v>0</v>
          </cell>
        </row>
        <row r="476">
          <cell r="F476">
            <v>0</v>
          </cell>
          <cell r="G476">
            <v>0</v>
          </cell>
          <cell r="H476">
            <v>0</v>
          </cell>
          <cell r="J476">
            <v>0</v>
          </cell>
        </row>
        <row r="478">
          <cell r="F478">
            <v>0</v>
          </cell>
          <cell r="G478">
            <v>0</v>
          </cell>
          <cell r="H478">
            <v>0</v>
          </cell>
          <cell r="J478">
            <v>0</v>
          </cell>
        </row>
        <row r="480">
          <cell r="F480">
            <v>0</v>
          </cell>
          <cell r="G480">
            <v>0</v>
          </cell>
          <cell r="H480">
            <v>0</v>
          </cell>
          <cell r="J480">
            <v>0</v>
          </cell>
        </row>
        <row r="482">
          <cell r="F482">
            <v>0</v>
          </cell>
          <cell r="G482">
            <v>0</v>
          </cell>
          <cell r="H482">
            <v>0</v>
          </cell>
          <cell r="J482">
            <v>0</v>
          </cell>
        </row>
        <row r="483">
          <cell r="J483">
            <v>0</v>
          </cell>
        </row>
      </sheetData>
      <sheetData sheetId="13"/>
      <sheetData sheetId="14">
        <row r="31">
          <cell r="G31">
            <v>0</v>
          </cell>
          <cell r="H31">
            <v>0</v>
          </cell>
          <cell r="I31">
            <v>0</v>
          </cell>
          <cell r="J31">
            <v>0</v>
          </cell>
        </row>
      </sheetData>
      <sheetData sheetId="15">
        <row r="12">
          <cell r="I12" t="str">
            <v>EXERCICE AU 31-12-2025</v>
          </cell>
          <cell r="J12" t="str">
            <v>EXERCICE AU 31-12-2024</v>
          </cell>
        </row>
      </sheetData>
      <sheetData sheetId="16">
        <row r="14">
          <cell r="D14">
            <v>0</v>
          </cell>
          <cell r="E14">
            <v>0</v>
          </cell>
        </row>
      </sheetData>
      <sheetData sheetId="17">
        <row r="4">
          <cell r="D4">
            <v>0</v>
          </cell>
        </row>
        <row r="5">
          <cell r="D5">
            <v>0</v>
          </cell>
        </row>
        <row r="6">
          <cell r="E6">
            <v>0</v>
          </cell>
          <cell r="F6">
            <v>0</v>
          </cell>
          <cell r="G6">
            <v>0</v>
          </cell>
        </row>
        <row r="16">
          <cell r="D16">
            <v>0</v>
          </cell>
        </row>
        <row r="17">
          <cell r="D17">
            <v>0</v>
          </cell>
        </row>
        <row r="18">
          <cell r="E18">
            <v>0</v>
          </cell>
          <cell r="F18">
            <v>0</v>
          </cell>
          <cell r="G18">
            <v>0</v>
          </cell>
        </row>
        <row r="21">
          <cell r="D21">
            <v>0</v>
          </cell>
          <cell r="E21">
            <v>0</v>
          </cell>
        </row>
        <row r="24">
          <cell r="D24">
            <v>0</v>
          </cell>
          <cell r="E24">
            <v>0</v>
          </cell>
        </row>
        <row r="25">
          <cell r="D25">
            <v>0</v>
          </cell>
          <cell r="E25">
            <v>0</v>
          </cell>
        </row>
        <row r="26">
          <cell r="D26">
            <v>0</v>
          </cell>
          <cell r="E26">
            <v>0</v>
          </cell>
        </row>
        <row r="29">
          <cell r="D29">
            <v>0</v>
          </cell>
          <cell r="E29">
            <v>0</v>
          </cell>
        </row>
        <row r="32">
          <cell r="D32">
            <v>0</v>
          </cell>
          <cell r="E32">
            <v>0</v>
          </cell>
        </row>
        <row r="33">
          <cell r="D33">
            <v>0</v>
          </cell>
          <cell r="E33">
            <v>0</v>
          </cell>
        </row>
        <row r="34">
          <cell r="D34">
            <v>0</v>
          </cell>
          <cell r="E34">
            <v>0</v>
          </cell>
        </row>
      </sheetData>
      <sheetData sheetId="18">
        <row r="14">
          <cell r="J14">
            <v>0</v>
          </cell>
        </row>
        <row r="22">
          <cell r="J22">
            <v>0</v>
          </cell>
        </row>
        <row r="23">
          <cell r="J23">
            <v>0</v>
          </cell>
        </row>
        <row r="35">
          <cell r="J35">
            <v>0</v>
          </cell>
        </row>
        <row r="47">
          <cell r="J47">
            <v>0</v>
          </cell>
        </row>
        <row r="53">
          <cell r="J53">
            <v>0</v>
          </cell>
        </row>
        <row r="54">
          <cell r="I54">
            <v>0</v>
          </cell>
        </row>
        <row r="55">
          <cell r="J55">
            <v>0</v>
          </cell>
        </row>
        <row r="56">
          <cell r="J56">
            <v>0</v>
          </cell>
        </row>
        <row r="66">
          <cell r="J66">
            <v>0</v>
          </cell>
        </row>
        <row r="72">
          <cell r="J72">
            <v>0</v>
          </cell>
        </row>
        <row r="79">
          <cell r="K79">
            <v>0</v>
          </cell>
        </row>
        <row r="119">
          <cell r="J119">
            <v>0</v>
          </cell>
        </row>
        <row r="121">
          <cell r="J121">
            <v>0</v>
          </cell>
        </row>
        <row r="122">
          <cell r="J122">
            <v>0</v>
          </cell>
        </row>
        <row r="123">
          <cell r="J123">
            <v>0</v>
          </cell>
        </row>
        <row r="124">
          <cell r="J124">
            <v>0</v>
          </cell>
        </row>
        <row r="130">
          <cell r="J130">
            <v>0</v>
          </cell>
        </row>
        <row r="131">
          <cell r="J131">
            <v>0</v>
          </cell>
        </row>
        <row r="135">
          <cell r="J135">
            <v>0</v>
          </cell>
        </row>
        <row r="141">
          <cell r="J141">
            <v>0</v>
          </cell>
        </row>
        <row r="142">
          <cell r="J142">
            <v>0</v>
          </cell>
        </row>
        <row r="143">
          <cell r="J143">
            <v>0</v>
          </cell>
        </row>
        <row r="153">
          <cell r="J153">
            <v>0</v>
          </cell>
        </row>
        <row r="154">
          <cell r="J154">
            <v>0</v>
          </cell>
        </row>
        <row r="155">
          <cell r="J155">
            <v>0</v>
          </cell>
        </row>
        <row r="156">
          <cell r="J156">
            <v>0</v>
          </cell>
        </row>
        <row r="162">
          <cell r="J162">
            <v>0</v>
          </cell>
        </row>
        <row r="178">
          <cell r="J178">
            <v>0</v>
          </cell>
        </row>
        <row r="188">
          <cell r="J188">
            <v>0</v>
          </cell>
        </row>
        <row r="202">
          <cell r="J202">
            <v>0</v>
          </cell>
        </row>
        <row r="203">
          <cell r="J203">
            <v>0</v>
          </cell>
        </row>
        <row r="204">
          <cell r="J204">
            <v>0</v>
          </cell>
        </row>
        <row r="205">
          <cell r="J205">
            <v>0</v>
          </cell>
        </row>
        <row r="215">
          <cell r="J215">
            <v>0</v>
          </cell>
        </row>
        <row r="216">
          <cell r="J216">
            <v>0</v>
          </cell>
        </row>
        <row r="222">
          <cell r="J222">
            <v>0</v>
          </cell>
        </row>
        <row r="223">
          <cell r="J223">
            <v>0</v>
          </cell>
        </row>
        <row r="224">
          <cell r="J224">
            <v>0</v>
          </cell>
        </row>
        <row r="225">
          <cell r="J225">
            <v>0</v>
          </cell>
        </row>
        <row r="227">
          <cell r="I227">
            <v>0</v>
          </cell>
        </row>
        <row r="229">
          <cell r="I229">
            <v>0</v>
          </cell>
          <cell r="J229">
            <v>0</v>
          </cell>
        </row>
        <row r="232">
          <cell r="I232">
            <v>0</v>
          </cell>
        </row>
        <row r="234">
          <cell r="I234">
            <v>0</v>
          </cell>
        </row>
        <row r="235">
          <cell r="J235">
            <v>0</v>
          </cell>
        </row>
        <row r="236">
          <cell r="J236">
            <v>0</v>
          </cell>
        </row>
        <row r="237">
          <cell r="J237">
            <v>0</v>
          </cell>
        </row>
        <row r="238">
          <cell r="J238">
            <v>0</v>
          </cell>
        </row>
        <row r="239">
          <cell r="J239">
            <v>0</v>
          </cell>
        </row>
        <row r="245">
          <cell r="J245">
            <v>0</v>
          </cell>
        </row>
        <row r="246">
          <cell r="J246">
            <v>0</v>
          </cell>
        </row>
        <row r="258">
          <cell r="J258">
            <v>0</v>
          </cell>
        </row>
        <row r="260">
          <cell r="I260">
            <v>0</v>
          </cell>
        </row>
        <row r="270">
          <cell r="I270">
            <v>0</v>
          </cell>
        </row>
        <row r="276">
          <cell r="I276">
            <v>0</v>
          </cell>
        </row>
        <row r="277">
          <cell r="I277">
            <v>0</v>
          </cell>
        </row>
        <row r="278">
          <cell r="I278">
            <v>0</v>
          </cell>
        </row>
        <row r="279">
          <cell r="I279">
            <v>0</v>
          </cell>
        </row>
        <row r="280">
          <cell r="I280">
            <v>0</v>
          </cell>
        </row>
        <row r="282">
          <cell r="I282">
            <v>0</v>
          </cell>
        </row>
        <row r="292">
          <cell r="I292">
            <v>0</v>
          </cell>
        </row>
        <row r="294">
          <cell r="I294">
            <v>0</v>
          </cell>
        </row>
        <row r="296">
          <cell r="I296">
            <v>0</v>
          </cell>
        </row>
        <row r="298">
          <cell r="I298">
            <v>0</v>
          </cell>
        </row>
        <row r="308">
          <cell r="I308">
            <v>0</v>
          </cell>
        </row>
        <row r="314">
          <cell r="I314">
            <v>0</v>
          </cell>
        </row>
        <row r="326">
          <cell r="I326">
            <v>0</v>
          </cell>
        </row>
        <row r="334">
          <cell r="I334">
            <v>0</v>
          </cell>
        </row>
        <row r="338">
          <cell r="I338">
            <v>0</v>
          </cell>
        </row>
        <row r="342">
          <cell r="I342">
            <v>0</v>
          </cell>
        </row>
        <row r="343">
          <cell r="I343">
            <v>0</v>
          </cell>
        </row>
        <row r="353">
          <cell r="I353">
            <v>0</v>
          </cell>
        </row>
        <row r="363">
          <cell r="I363">
            <v>0</v>
          </cell>
        </row>
        <row r="377">
          <cell r="I377">
            <v>0</v>
          </cell>
        </row>
        <row r="391">
          <cell r="I391">
            <v>0</v>
          </cell>
        </row>
        <row r="405">
          <cell r="I405">
            <v>0</v>
          </cell>
        </row>
        <row r="417">
          <cell r="I417">
            <v>0</v>
          </cell>
        </row>
        <row r="423">
          <cell r="I423">
            <v>0</v>
          </cell>
        </row>
        <row r="424">
          <cell r="I424">
            <v>0</v>
          </cell>
        </row>
        <row r="425">
          <cell r="I425">
            <v>0</v>
          </cell>
        </row>
        <row r="427">
          <cell r="I427">
            <v>0</v>
          </cell>
        </row>
        <row r="429">
          <cell r="I429">
            <v>0</v>
          </cell>
        </row>
        <row r="431">
          <cell r="I431">
            <v>0</v>
          </cell>
        </row>
        <row r="433">
          <cell r="I433">
            <v>0</v>
          </cell>
        </row>
        <row r="435">
          <cell r="I435">
            <v>0</v>
          </cell>
        </row>
        <row r="437">
          <cell r="I437">
            <v>0</v>
          </cell>
        </row>
        <row r="451">
          <cell r="I451">
            <v>0</v>
          </cell>
        </row>
        <row r="459">
          <cell r="I459">
            <v>0</v>
          </cell>
        </row>
        <row r="460">
          <cell r="I460">
            <v>0</v>
          </cell>
        </row>
        <row r="476">
          <cell r="I476">
            <v>0</v>
          </cell>
        </row>
        <row r="494">
          <cell r="I494">
            <v>0</v>
          </cell>
        </row>
        <row r="506">
          <cell r="I506">
            <v>0</v>
          </cell>
        </row>
        <row r="514">
          <cell r="I514">
            <v>0</v>
          </cell>
        </row>
        <row r="520">
          <cell r="I520">
            <v>0</v>
          </cell>
        </row>
        <row r="530">
          <cell r="I530">
            <v>0</v>
          </cell>
        </row>
        <row r="538">
          <cell r="I538">
            <v>0</v>
          </cell>
        </row>
        <row r="539">
          <cell r="I539">
            <v>0</v>
          </cell>
        </row>
        <row r="540">
          <cell r="I540">
            <v>0</v>
          </cell>
        </row>
        <row r="541">
          <cell r="I541">
            <v>0</v>
          </cell>
        </row>
        <row r="542">
          <cell r="I542">
            <v>0</v>
          </cell>
        </row>
        <row r="543">
          <cell r="I543">
            <v>0</v>
          </cell>
        </row>
        <row r="544">
          <cell r="I544">
            <v>0</v>
          </cell>
        </row>
        <row r="545">
          <cell r="I545">
            <v>0</v>
          </cell>
        </row>
        <row r="546">
          <cell r="I546">
            <v>0</v>
          </cell>
        </row>
        <row r="558">
          <cell r="I558">
            <v>0</v>
          </cell>
        </row>
        <row r="566">
          <cell r="I566">
            <v>0</v>
          </cell>
        </row>
        <row r="576">
          <cell r="I576">
            <v>0</v>
          </cell>
        </row>
        <row r="592">
          <cell r="I592">
            <v>0</v>
          </cell>
        </row>
        <row r="610">
          <cell r="I610">
            <v>0</v>
          </cell>
        </row>
        <row r="626">
          <cell r="I626">
            <v>0</v>
          </cell>
        </row>
        <row r="632">
          <cell r="I632">
            <v>0</v>
          </cell>
        </row>
        <row r="642">
          <cell r="I642">
            <v>0</v>
          </cell>
        </row>
        <row r="644">
          <cell r="J644">
            <v>0</v>
          </cell>
        </row>
        <row r="646">
          <cell r="J646">
            <v>0</v>
          </cell>
        </row>
        <row r="648">
          <cell r="J648">
            <v>0</v>
          </cell>
        </row>
        <row r="650">
          <cell r="J650">
            <v>0</v>
          </cell>
        </row>
        <row r="652">
          <cell r="J652">
            <v>0</v>
          </cell>
        </row>
        <row r="654">
          <cell r="J654">
            <v>0</v>
          </cell>
        </row>
        <row r="658">
          <cell r="J658">
            <v>0</v>
          </cell>
        </row>
        <row r="663">
          <cell r="J663">
            <v>0</v>
          </cell>
        </row>
        <row r="667">
          <cell r="J667">
            <v>0</v>
          </cell>
        </row>
        <row r="669">
          <cell r="J669">
            <v>0</v>
          </cell>
        </row>
        <row r="671">
          <cell r="J671">
            <v>0</v>
          </cell>
        </row>
        <row r="673">
          <cell r="J673">
            <v>0</v>
          </cell>
        </row>
        <row r="675">
          <cell r="J675">
            <v>0</v>
          </cell>
        </row>
        <row r="677">
          <cell r="J677">
            <v>0</v>
          </cell>
        </row>
        <row r="679">
          <cell r="J679">
            <v>0</v>
          </cell>
        </row>
        <row r="691">
          <cell r="J691">
            <v>0</v>
          </cell>
        </row>
        <row r="699">
          <cell r="J699">
            <v>0</v>
          </cell>
        </row>
        <row r="701">
          <cell r="J701">
            <v>0</v>
          </cell>
        </row>
        <row r="703">
          <cell r="J703">
            <v>0</v>
          </cell>
        </row>
        <row r="705">
          <cell r="J705">
            <v>0</v>
          </cell>
        </row>
        <row r="707">
          <cell r="J707">
            <v>0</v>
          </cell>
        </row>
        <row r="709">
          <cell r="J709">
            <v>0</v>
          </cell>
        </row>
        <row r="711">
          <cell r="J711">
            <v>0</v>
          </cell>
        </row>
        <row r="713">
          <cell r="J713">
            <v>0</v>
          </cell>
        </row>
        <row r="715">
          <cell r="J715">
            <v>0</v>
          </cell>
        </row>
        <row r="718">
          <cell r="J718">
            <v>0</v>
          </cell>
        </row>
        <row r="742">
          <cell r="J742">
            <v>0</v>
          </cell>
        </row>
        <row r="744">
          <cell r="J744">
            <v>0</v>
          </cell>
        </row>
        <row r="746">
          <cell r="J746">
            <v>0</v>
          </cell>
        </row>
        <row r="748">
          <cell r="J748">
            <v>0</v>
          </cell>
        </row>
        <row r="750">
          <cell r="J750">
            <v>0</v>
          </cell>
        </row>
        <row r="752">
          <cell r="J752">
            <v>0</v>
          </cell>
        </row>
        <row r="756">
          <cell r="J756">
            <v>0</v>
          </cell>
        </row>
        <row r="771">
          <cell r="J771">
            <v>0</v>
          </cell>
        </row>
        <row r="782">
          <cell r="J782">
            <v>0</v>
          </cell>
        </row>
        <row r="788">
          <cell r="J788">
            <v>0</v>
          </cell>
        </row>
        <row r="802">
          <cell r="J802">
            <v>0</v>
          </cell>
        </row>
        <row r="818">
          <cell r="J818">
            <v>0</v>
          </cell>
        </row>
        <row r="825">
          <cell r="I825">
            <v>0</v>
          </cell>
        </row>
        <row r="831">
          <cell r="I831">
            <v>0</v>
          </cell>
        </row>
        <row r="837">
          <cell r="I837">
            <v>0</v>
          </cell>
        </row>
        <row r="838">
          <cell r="I838">
            <v>0</v>
          </cell>
        </row>
        <row r="839">
          <cell r="I839">
            <v>0</v>
          </cell>
        </row>
        <row r="840">
          <cell r="I840">
            <v>0</v>
          </cell>
        </row>
        <row r="841">
          <cell r="I841">
            <v>0</v>
          </cell>
        </row>
        <row r="842">
          <cell r="I842">
            <v>0</v>
          </cell>
        </row>
        <row r="843">
          <cell r="I843">
            <v>0</v>
          </cell>
        </row>
        <row r="844">
          <cell r="I844">
            <v>0</v>
          </cell>
        </row>
        <row r="845">
          <cell r="I845">
            <v>0</v>
          </cell>
        </row>
        <row r="855">
          <cell r="I855">
            <v>0</v>
          </cell>
        </row>
        <row r="856">
          <cell r="I856">
            <v>0</v>
          </cell>
        </row>
        <row r="862">
          <cell r="I862">
            <v>0</v>
          </cell>
        </row>
        <row r="868">
          <cell r="I868">
            <v>0</v>
          </cell>
        </row>
        <row r="874">
          <cell r="I874">
            <v>0</v>
          </cell>
        </row>
        <row r="880">
          <cell r="I880">
            <v>0</v>
          </cell>
        </row>
        <row r="886">
          <cell r="I886">
            <v>0</v>
          </cell>
        </row>
        <row r="892">
          <cell r="I892">
            <v>0</v>
          </cell>
        </row>
        <row r="898">
          <cell r="I898">
            <v>0</v>
          </cell>
        </row>
        <row r="899">
          <cell r="I899">
            <v>0</v>
          </cell>
        </row>
        <row r="900">
          <cell r="I900">
            <v>0</v>
          </cell>
        </row>
        <row r="908">
          <cell r="I908">
            <v>0</v>
          </cell>
        </row>
        <row r="914">
          <cell r="I914">
            <v>0</v>
          </cell>
        </row>
        <row r="922">
          <cell r="I922">
            <v>0</v>
          </cell>
        </row>
        <row r="930">
          <cell r="I930">
            <v>0</v>
          </cell>
        </row>
        <row r="931">
          <cell r="I931">
            <v>0</v>
          </cell>
        </row>
        <row r="932">
          <cell r="I932">
            <v>0</v>
          </cell>
        </row>
        <row r="933">
          <cell r="I933">
            <v>0</v>
          </cell>
        </row>
        <row r="934">
          <cell r="I934">
            <v>0</v>
          </cell>
        </row>
        <row r="940">
          <cell r="I940">
            <v>0</v>
          </cell>
        </row>
        <row r="941">
          <cell r="I941">
            <v>0</v>
          </cell>
          <cell r="J941">
            <v>0</v>
          </cell>
        </row>
        <row r="942">
          <cell r="J942">
            <v>0</v>
          </cell>
        </row>
        <row r="943">
          <cell r="J943">
            <v>0</v>
          </cell>
        </row>
        <row r="944">
          <cell r="J944">
            <v>0</v>
          </cell>
        </row>
        <row r="945">
          <cell r="J945">
            <v>0</v>
          </cell>
        </row>
        <row r="946">
          <cell r="J946">
            <v>0</v>
          </cell>
        </row>
        <row r="947">
          <cell r="J947">
            <v>0</v>
          </cell>
        </row>
        <row r="948">
          <cell r="J948">
            <v>0</v>
          </cell>
        </row>
        <row r="949">
          <cell r="J949">
            <v>0</v>
          </cell>
        </row>
        <row r="952">
          <cell r="J952">
            <v>0</v>
          </cell>
        </row>
        <row r="954">
          <cell r="J954">
            <v>0</v>
          </cell>
        </row>
        <row r="956">
          <cell r="J956">
            <v>0</v>
          </cell>
        </row>
        <row r="958">
          <cell r="J958">
            <v>0</v>
          </cell>
        </row>
        <row r="960">
          <cell r="J960">
            <v>0</v>
          </cell>
        </row>
        <row r="962">
          <cell r="J962">
            <v>0</v>
          </cell>
        </row>
        <row r="964">
          <cell r="J964">
            <v>0</v>
          </cell>
        </row>
        <row r="966">
          <cell r="J966">
            <v>0</v>
          </cell>
        </row>
        <row r="968">
          <cell r="J968">
            <v>0</v>
          </cell>
        </row>
        <row r="978">
          <cell r="J978">
            <v>0</v>
          </cell>
        </row>
        <row r="980">
          <cell r="I980">
            <v>0</v>
          </cell>
          <cell r="J980">
            <v>0</v>
          </cell>
        </row>
        <row r="982">
          <cell r="I982">
            <v>0</v>
          </cell>
          <cell r="J982">
            <v>0</v>
          </cell>
        </row>
        <row r="984">
          <cell r="I984">
            <v>0</v>
          </cell>
          <cell r="J984">
            <v>0</v>
          </cell>
        </row>
        <row r="986">
          <cell r="I986">
            <v>0</v>
          </cell>
          <cell r="J986">
            <v>0</v>
          </cell>
        </row>
        <row r="988">
          <cell r="J988">
            <v>0</v>
          </cell>
        </row>
        <row r="1000">
          <cell r="I1000">
            <v>0</v>
          </cell>
        </row>
        <row r="1010">
          <cell r="I1010">
            <v>0</v>
          </cell>
        </row>
        <row r="1016">
          <cell r="I1016">
            <v>0</v>
          </cell>
        </row>
        <row r="1020">
          <cell r="I1020">
            <v>0</v>
          </cell>
        </row>
        <row r="1026">
          <cell r="I1026">
            <v>0</v>
          </cell>
        </row>
        <row r="1028">
          <cell r="I1028">
            <v>0</v>
          </cell>
        </row>
        <row r="1038">
          <cell r="I1038">
            <v>0</v>
          </cell>
        </row>
        <row r="1044">
          <cell r="I1044">
            <v>0</v>
          </cell>
        </row>
        <row r="1045">
          <cell r="I1045">
            <v>0</v>
          </cell>
        </row>
        <row r="1051">
          <cell r="I1051">
            <v>0</v>
          </cell>
        </row>
        <row r="1057">
          <cell r="I1057">
            <v>0</v>
          </cell>
        </row>
        <row r="1067">
          <cell r="J1067">
            <v>0</v>
          </cell>
        </row>
        <row r="1075">
          <cell r="I1075">
            <v>0</v>
          </cell>
        </row>
        <row r="1076">
          <cell r="I1076">
            <v>0</v>
          </cell>
          <cell r="J1076">
            <v>0</v>
          </cell>
        </row>
        <row r="1084">
          <cell r="I1084">
            <v>0</v>
          </cell>
          <cell r="J1084">
            <v>0</v>
          </cell>
        </row>
        <row r="1094">
          <cell r="I1094">
            <v>0</v>
          </cell>
          <cell r="J1094">
            <v>0</v>
          </cell>
        </row>
        <row r="1102">
          <cell r="I1102">
            <v>0</v>
          </cell>
          <cell r="J1102">
            <v>0</v>
          </cell>
        </row>
        <row r="1108">
          <cell r="I1108">
            <v>0</v>
          </cell>
          <cell r="J1108">
            <v>0</v>
          </cell>
        </row>
        <row r="1109">
          <cell r="I1109">
            <v>0</v>
          </cell>
          <cell r="J1109">
            <v>0</v>
          </cell>
        </row>
        <row r="1117">
          <cell r="I1117">
            <v>0</v>
          </cell>
          <cell r="J1117">
            <v>0</v>
          </cell>
        </row>
        <row r="1129">
          <cell r="I1129">
            <v>0</v>
          </cell>
          <cell r="J1129">
            <v>0</v>
          </cell>
        </row>
        <row r="1130">
          <cell r="I1130">
            <v>0</v>
          </cell>
          <cell r="J1130">
            <v>0</v>
          </cell>
        </row>
        <row r="1132">
          <cell r="J1132">
            <v>0</v>
          </cell>
        </row>
        <row r="1134">
          <cell r="J1134">
            <v>0</v>
          </cell>
        </row>
        <row r="1136">
          <cell r="J1136">
            <v>0</v>
          </cell>
        </row>
        <row r="1138">
          <cell r="I1138">
            <v>0</v>
          </cell>
          <cell r="J1138">
            <v>0</v>
          </cell>
        </row>
        <row r="1140">
          <cell r="J1140">
            <v>0</v>
          </cell>
        </row>
        <row r="1142">
          <cell r="J1142">
            <v>0</v>
          </cell>
        </row>
        <row r="1144">
          <cell r="J1144">
            <v>0</v>
          </cell>
        </row>
        <row r="1148">
          <cell r="I1148">
            <v>0</v>
          </cell>
          <cell r="J1148">
            <v>0</v>
          </cell>
        </row>
        <row r="1149">
          <cell r="I1149">
            <v>0</v>
          </cell>
          <cell r="J1149">
            <v>0</v>
          </cell>
        </row>
        <row r="1163">
          <cell r="I1163">
            <v>0</v>
          </cell>
          <cell r="J1163">
            <v>0</v>
          </cell>
        </row>
        <row r="1175">
          <cell r="I1175">
            <v>0</v>
          </cell>
          <cell r="J1175">
            <v>0</v>
          </cell>
        </row>
        <row r="1177">
          <cell r="J1177">
            <v>0</v>
          </cell>
        </row>
        <row r="1181">
          <cell r="I1181">
            <v>0</v>
          </cell>
        </row>
        <row r="1195">
          <cell r="I1195">
            <v>0</v>
          </cell>
        </row>
        <row r="1196">
          <cell r="I1196">
            <v>0</v>
          </cell>
          <cell r="J1196">
            <v>0</v>
          </cell>
        </row>
        <row r="1208">
          <cell r="I1208">
            <v>0</v>
          </cell>
          <cell r="J1208">
            <v>0</v>
          </cell>
        </row>
        <row r="1214">
          <cell r="I1214">
            <v>0</v>
          </cell>
          <cell r="J1214">
            <v>0</v>
          </cell>
        </row>
        <row r="1216">
          <cell r="J1216">
            <v>0</v>
          </cell>
        </row>
        <row r="1218">
          <cell r="J1218">
            <v>0</v>
          </cell>
        </row>
        <row r="1220">
          <cell r="J1220">
            <v>0</v>
          </cell>
        </row>
        <row r="1230">
          <cell r="J1230">
            <v>0</v>
          </cell>
        </row>
        <row r="1232">
          <cell r="I1232">
            <v>0</v>
          </cell>
        </row>
        <row r="1233">
          <cell r="J1233">
            <v>0</v>
          </cell>
        </row>
        <row r="1234">
          <cell r="J1234">
            <v>0</v>
          </cell>
        </row>
        <row r="1235">
          <cell r="I1235">
            <v>0</v>
          </cell>
          <cell r="J1235">
            <v>0</v>
          </cell>
        </row>
        <row r="1240">
          <cell r="I1240">
            <v>0</v>
          </cell>
          <cell r="J1240">
            <v>0</v>
          </cell>
        </row>
        <row r="1246">
          <cell r="E1246">
            <v>0</v>
          </cell>
          <cell r="I1246">
            <v>0</v>
          </cell>
        </row>
        <row r="1260">
          <cell r="I1260">
            <v>0</v>
          </cell>
          <cell r="J1260">
            <v>0</v>
          </cell>
        </row>
        <row r="1266">
          <cell r="I1266">
            <v>0</v>
          </cell>
          <cell r="J1266">
            <v>0</v>
          </cell>
        </row>
        <row r="1272">
          <cell r="I1272">
            <v>0</v>
          </cell>
          <cell r="J1272">
            <v>0</v>
          </cell>
        </row>
        <row r="1273">
          <cell r="G1273">
            <v>0</v>
          </cell>
          <cell r="I1273">
            <v>0</v>
          </cell>
          <cell r="J1273">
            <v>0</v>
          </cell>
        </row>
        <row r="1274">
          <cell r="I1274">
            <v>0</v>
          </cell>
          <cell r="J1274">
            <v>0</v>
          </cell>
        </row>
        <row r="1275">
          <cell r="I1275">
            <v>0</v>
          </cell>
          <cell r="J1275">
            <v>0</v>
          </cell>
        </row>
        <row r="1277">
          <cell r="I1277">
            <v>0</v>
          </cell>
        </row>
        <row r="1279">
          <cell r="I1279">
            <v>0</v>
          </cell>
          <cell r="J1279">
            <v>0</v>
          </cell>
        </row>
        <row r="1281">
          <cell r="I1281">
            <v>0</v>
          </cell>
          <cell r="J1281">
            <v>0</v>
          </cell>
        </row>
        <row r="1283">
          <cell r="I1283">
            <v>0</v>
          </cell>
          <cell r="J1283">
            <v>0</v>
          </cell>
        </row>
        <row r="1285">
          <cell r="I1285">
            <v>0</v>
          </cell>
          <cell r="J1285">
            <v>0</v>
          </cell>
        </row>
        <row r="1287">
          <cell r="I1287">
            <v>0</v>
          </cell>
        </row>
        <row r="1289">
          <cell r="I1289">
            <v>0</v>
          </cell>
          <cell r="J1289">
            <v>0</v>
          </cell>
        </row>
        <row r="1291">
          <cell r="I1291">
            <v>0</v>
          </cell>
          <cell r="J1291">
            <v>0</v>
          </cell>
        </row>
        <row r="1295">
          <cell r="J1295">
            <v>0</v>
          </cell>
        </row>
        <row r="1297">
          <cell r="J1297">
            <v>0</v>
          </cell>
        </row>
        <row r="1299">
          <cell r="E1299">
            <v>0</v>
          </cell>
          <cell r="F1299">
            <v>0</v>
          </cell>
          <cell r="I1299">
            <v>0</v>
          </cell>
          <cell r="J1299">
            <v>0</v>
          </cell>
        </row>
        <row r="1301">
          <cell r="J1301">
            <v>0</v>
          </cell>
        </row>
        <row r="1303">
          <cell r="J1303">
            <v>0</v>
          </cell>
        </row>
        <row r="1305">
          <cell r="J1305">
            <v>0</v>
          </cell>
        </row>
        <row r="1307">
          <cell r="J1307">
            <v>0</v>
          </cell>
        </row>
        <row r="1309">
          <cell r="J1309">
            <v>0</v>
          </cell>
        </row>
        <row r="1311">
          <cell r="I1311">
            <v>0</v>
          </cell>
        </row>
        <row r="1317">
          <cell r="I1317">
            <v>0</v>
          </cell>
          <cell r="J1317">
            <v>0</v>
          </cell>
        </row>
        <row r="1319">
          <cell r="I1319">
            <v>0</v>
          </cell>
        </row>
        <row r="1321">
          <cell r="J1321">
            <v>0</v>
          </cell>
        </row>
        <row r="1324">
          <cell r="I1324">
            <v>0</v>
          </cell>
        </row>
        <row r="1325">
          <cell r="J1325">
            <v>0</v>
          </cell>
        </row>
        <row r="1339">
          <cell r="I1339">
            <v>0</v>
          </cell>
        </row>
        <row r="1353">
          <cell r="J1353">
            <v>0</v>
          </cell>
        </row>
        <row r="1359">
          <cell r="J1359">
            <v>0</v>
          </cell>
        </row>
        <row r="1367">
          <cell r="J1367">
            <v>0</v>
          </cell>
        </row>
        <row r="1373">
          <cell r="J1373">
            <v>0</v>
          </cell>
        </row>
        <row r="1374">
          <cell r="J1374">
            <v>0</v>
          </cell>
        </row>
        <row r="1391">
          <cell r="I1391">
            <v>0</v>
          </cell>
        </row>
        <row r="1392">
          <cell r="I1392">
            <v>0</v>
          </cell>
          <cell r="J1392">
            <v>0</v>
          </cell>
        </row>
        <row r="1393">
          <cell r="J1393">
            <v>0</v>
          </cell>
        </row>
        <row r="1399">
          <cell r="J1399">
            <v>0</v>
          </cell>
        </row>
        <row r="1400">
          <cell r="J1400">
            <v>0</v>
          </cell>
        </row>
        <row r="1401">
          <cell r="J1401">
            <v>0</v>
          </cell>
        </row>
        <row r="1402">
          <cell r="J1402">
            <v>0</v>
          </cell>
        </row>
        <row r="1403">
          <cell r="J1403">
            <v>0</v>
          </cell>
        </row>
        <row r="1411">
          <cell r="J1411">
            <v>0</v>
          </cell>
        </row>
        <row r="1412">
          <cell r="J1412">
            <v>0</v>
          </cell>
        </row>
        <row r="1418">
          <cell r="J1418">
            <v>0</v>
          </cell>
        </row>
        <row r="1420">
          <cell r="J1420">
            <v>0</v>
          </cell>
        </row>
        <row r="1426">
          <cell r="J1426">
            <v>0</v>
          </cell>
        </row>
        <row r="1428">
          <cell r="J1428">
            <v>0</v>
          </cell>
        </row>
        <row r="1439">
          <cell r="I1439">
            <v>0</v>
          </cell>
        </row>
        <row r="1453">
          <cell r="I1453">
            <v>0</v>
          </cell>
        </row>
        <row r="1465">
          <cell r="I1465">
            <v>0</v>
          </cell>
        </row>
        <row r="1471">
          <cell r="I1471">
            <v>0</v>
          </cell>
        </row>
        <row r="1472">
          <cell r="I1472">
            <v>0</v>
          </cell>
        </row>
        <row r="1480">
          <cell r="I1480">
            <v>0</v>
          </cell>
        </row>
        <row r="1481">
          <cell r="I1481">
            <v>0</v>
          </cell>
        </row>
        <row r="1482">
          <cell r="I1482">
            <v>0</v>
          </cell>
        </row>
        <row r="1483">
          <cell r="I1483">
            <v>0</v>
          </cell>
        </row>
        <row r="1484">
          <cell r="I1484">
            <v>0</v>
          </cell>
        </row>
        <row r="1485">
          <cell r="I1485">
            <v>0</v>
          </cell>
        </row>
        <row r="1486">
          <cell r="I1486">
            <v>0</v>
          </cell>
        </row>
        <row r="1498">
          <cell r="I1498">
            <v>0</v>
          </cell>
        </row>
        <row r="1500">
          <cell r="I1500">
            <v>0</v>
          </cell>
          <cell r="J1500">
            <v>0</v>
          </cell>
        </row>
        <row r="1502">
          <cell r="I1502">
            <v>0</v>
          </cell>
          <cell r="J1502">
            <v>0</v>
          </cell>
        </row>
        <row r="1504">
          <cell r="J1504">
            <v>0</v>
          </cell>
        </row>
        <row r="1506">
          <cell r="I1506">
            <v>0</v>
          </cell>
        </row>
        <row r="1507">
          <cell r="I1507">
            <v>0</v>
          </cell>
        </row>
        <row r="1508">
          <cell r="I1508">
            <v>0</v>
          </cell>
        </row>
        <row r="1509">
          <cell r="I1509">
            <v>0</v>
          </cell>
        </row>
        <row r="1511">
          <cell r="J1511">
            <v>0</v>
          </cell>
        </row>
        <row r="1515">
          <cell r="I1515">
            <v>0</v>
          </cell>
        </row>
        <row r="1516">
          <cell r="I1516">
            <v>0</v>
          </cell>
        </row>
        <row r="1517">
          <cell r="I1517">
            <v>0</v>
          </cell>
        </row>
        <row r="1518">
          <cell r="I1518">
            <v>0</v>
          </cell>
        </row>
        <row r="1519">
          <cell r="I1519">
            <v>0</v>
          </cell>
        </row>
        <row r="1520">
          <cell r="I1520">
            <v>0</v>
          </cell>
        </row>
        <row r="1521">
          <cell r="I1521">
            <v>0</v>
          </cell>
        </row>
        <row r="1522">
          <cell r="I1522">
            <v>0</v>
          </cell>
        </row>
        <row r="1523">
          <cell r="I1523">
            <v>0</v>
          </cell>
        </row>
        <row r="1524">
          <cell r="I1524">
            <v>0</v>
          </cell>
        </row>
        <row r="1525">
          <cell r="I1525">
            <v>0</v>
          </cell>
        </row>
        <row r="1526">
          <cell r="I1526">
            <v>0</v>
          </cell>
        </row>
        <row r="1527">
          <cell r="I1527">
            <v>0</v>
          </cell>
        </row>
        <row r="1528">
          <cell r="I1528">
            <v>0</v>
          </cell>
        </row>
        <row r="1529">
          <cell r="I1529">
            <v>0</v>
          </cell>
        </row>
        <row r="1530">
          <cell r="I1530">
            <v>0</v>
          </cell>
        </row>
        <row r="1531">
          <cell r="I1531">
            <v>0</v>
          </cell>
        </row>
        <row r="1532">
          <cell r="I1532">
            <v>0</v>
          </cell>
        </row>
        <row r="1533">
          <cell r="I1533">
            <v>0</v>
          </cell>
          <cell r="J1533">
            <v>0</v>
          </cell>
        </row>
        <row r="1534">
          <cell r="J1534">
            <v>0</v>
          </cell>
        </row>
        <row r="1535">
          <cell r="J1535">
            <v>0</v>
          </cell>
        </row>
        <row r="1536">
          <cell r="J1536">
            <v>0</v>
          </cell>
        </row>
        <row r="1542">
          <cell r="I1542">
            <v>0</v>
          </cell>
        </row>
        <row r="1548">
          <cell r="I1548">
            <v>0</v>
          </cell>
        </row>
        <row r="1554">
          <cell r="I1554">
            <v>0</v>
          </cell>
        </row>
        <row r="1559">
          <cell r="J1559">
            <v>0</v>
          </cell>
        </row>
        <row r="1560">
          <cell r="J1560">
            <v>0</v>
          </cell>
        </row>
        <row r="1561">
          <cell r="J1561">
            <v>0</v>
          </cell>
        </row>
        <row r="1562">
          <cell r="J1562">
            <v>0</v>
          </cell>
        </row>
        <row r="1563">
          <cell r="J1563">
            <v>0</v>
          </cell>
        </row>
        <row r="1564">
          <cell r="J1564">
            <v>0</v>
          </cell>
        </row>
        <row r="1567">
          <cell r="E1567">
            <v>0</v>
          </cell>
          <cell r="F1567">
            <v>0</v>
          </cell>
          <cell r="I1567">
            <v>0</v>
          </cell>
          <cell r="J1567">
            <v>0</v>
          </cell>
        </row>
      </sheetData>
      <sheetData sheetId="19">
        <row r="4">
          <cell r="E4">
            <v>0</v>
          </cell>
          <cell r="I4">
            <v>0</v>
          </cell>
        </row>
        <row r="5">
          <cell r="E5">
            <v>0</v>
          </cell>
          <cell r="I5">
            <v>0</v>
          </cell>
        </row>
        <row r="6">
          <cell r="E6">
            <v>0</v>
          </cell>
          <cell r="I6">
            <v>0</v>
          </cell>
        </row>
        <row r="10">
          <cell r="E10">
            <v>0</v>
          </cell>
        </row>
        <row r="14">
          <cell r="H14">
            <v>0</v>
          </cell>
        </row>
        <row r="15">
          <cell r="H15">
            <v>0</v>
          </cell>
        </row>
        <row r="16">
          <cell r="H16">
            <v>0</v>
          </cell>
        </row>
        <row r="17">
          <cell r="H17">
            <v>0</v>
          </cell>
        </row>
        <row r="21">
          <cell r="D21">
            <v>0</v>
          </cell>
          <cell r="E21">
            <v>0</v>
          </cell>
        </row>
        <row r="25">
          <cell r="H25">
            <v>0</v>
          </cell>
        </row>
        <row r="26">
          <cell r="H26">
            <v>0</v>
          </cell>
        </row>
        <row r="27">
          <cell r="H27">
            <v>0</v>
          </cell>
        </row>
        <row r="28">
          <cell r="H28">
            <v>0</v>
          </cell>
        </row>
        <row r="32">
          <cell r="D32">
            <v>0</v>
          </cell>
          <cell r="E32">
            <v>0</v>
          </cell>
        </row>
        <row r="38">
          <cell r="E38">
            <v>0</v>
          </cell>
        </row>
        <row r="44">
          <cell r="E44">
            <v>0</v>
          </cell>
        </row>
        <row r="48">
          <cell r="C48">
            <v>0</v>
          </cell>
        </row>
        <row r="52">
          <cell r="C52">
            <v>0</v>
          </cell>
        </row>
      </sheetData>
      <sheetData sheetId="20">
        <row r="6">
          <cell r="E6">
            <v>0</v>
          </cell>
          <cell r="I6">
            <v>0</v>
          </cell>
        </row>
        <row r="8">
          <cell r="E8">
            <v>0</v>
          </cell>
          <cell r="I8">
            <v>0</v>
          </cell>
        </row>
        <row r="10">
          <cell r="E10">
            <v>0</v>
          </cell>
          <cell r="F10">
            <v>0</v>
          </cell>
          <cell r="I10">
            <v>0</v>
          </cell>
          <cell r="J10">
            <v>0</v>
          </cell>
        </row>
        <row r="12">
          <cell r="E12">
            <v>0</v>
          </cell>
          <cell r="F12">
            <v>0</v>
          </cell>
          <cell r="I12">
            <v>0</v>
          </cell>
          <cell r="J12">
            <v>0</v>
          </cell>
        </row>
        <row r="14">
          <cell r="E14">
            <v>0</v>
          </cell>
          <cell r="I14">
            <v>0</v>
          </cell>
        </row>
        <row r="16">
          <cell r="F16">
            <v>0</v>
          </cell>
          <cell r="J16">
            <v>0</v>
          </cell>
        </row>
        <row r="18">
          <cell r="E18">
            <v>0</v>
          </cell>
          <cell r="F18">
            <v>0</v>
          </cell>
          <cell r="I18">
            <v>0</v>
          </cell>
        </row>
        <row r="20">
          <cell r="E20">
            <v>0</v>
          </cell>
          <cell r="I20">
            <v>0</v>
          </cell>
        </row>
        <row r="22">
          <cell r="E22">
            <v>0</v>
          </cell>
          <cell r="I22">
            <v>0</v>
          </cell>
        </row>
        <row r="24">
          <cell r="E24">
            <v>0</v>
          </cell>
          <cell r="F24">
            <v>0</v>
          </cell>
          <cell r="I24">
            <v>0</v>
          </cell>
          <cell r="J24">
            <v>0</v>
          </cell>
        </row>
        <row r="26">
          <cell r="E26">
            <v>0</v>
          </cell>
          <cell r="F26">
            <v>0</v>
          </cell>
          <cell r="I26">
            <v>0</v>
          </cell>
          <cell r="J26">
            <v>0</v>
          </cell>
        </row>
        <row r="28">
          <cell r="E28">
            <v>0</v>
          </cell>
          <cell r="I28">
            <v>0</v>
          </cell>
        </row>
        <row r="30">
          <cell r="F30">
            <v>0</v>
          </cell>
          <cell r="J30">
            <v>0</v>
          </cell>
        </row>
        <row r="32">
          <cell r="E32">
            <v>0</v>
          </cell>
          <cell r="F32">
            <v>0</v>
          </cell>
          <cell r="I32">
            <v>0</v>
          </cell>
        </row>
        <row r="34">
          <cell r="E34">
            <v>0</v>
          </cell>
          <cell r="F34">
            <v>0</v>
          </cell>
          <cell r="I34">
            <v>0</v>
          </cell>
          <cell r="J34">
            <v>0</v>
          </cell>
        </row>
        <row r="36">
          <cell r="E36">
            <v>0</v>
          </cell>
          <cell r="F36">
            <v>0</v>
          </cell>
          <cell r="I36">
            <v>0</v>
          </cell>
          <cell r="J36">
            <v>0</v>
          </cell>
        </row>
        <row r="38">
          <cell r="E38">
            <v>0</v>
          </cell>
          <cell r="F38">
            <v>0</v>
          </cell>
          <cell r="I38">
            <v>0</v>
          </cell>
          <cell r="J38">
            <v>0</v>
          </cell>
        </row>
        <row r="42">
          <cell r="E42">
            <v>0</v>
          </cell>
          <cell r="I42">
            <v>0</v>
          </cell>
        </row>
        <row r="44">
          <cell r="E44">
            <v>0</v>
          </cell>
          <cell r="I44">
            <v>0</v>
          </cell>
        </row>
        <row r="46">
          <cell r="E46">
            <v>0</v>
          </cell>
          <cell r="I46">
            <v>0</v>
          </cell>
        </row>
        <row r="48">
          <cell r="E48">
            <v>0</v>
          </cell>
          <cell r="I48">
            <v>0</v>
          </cell>
        </row>
        <row r="50">
          <cell r="E50">
            <v>0</v>
          </cell>
          <cell r="I50">
            <v>0</v>
          </cell>
        </row>
        <row r="52">
          <cell r="E52">
            <v>0</v>
          </cell>
          <cell r="I52">
            <v>0</v>
          </cell>
        </row>
        <row r="54">
          <cell r="E54">
            <v>0</v>
          </cell>
          <cell r="I54">
            <v>0</v>
          </cell>
        </row>
        <row r="56">
          <cell r="F56">
            <v>0</v>
          </cell>
          <cell r="J56">
            <v>0</v>
          </cell>
        </row>
        <row r="58">
          <cell r="E58">
            <v>0</v>
          </cell>
          <cell r="F58">
            <v>0</v>
          </cell>
          <cell r="I58">
            <v>0</v>
          </cell>
        </row>
        <row r="60">
          <cell r="E60">
            <v>0</v>
          </cell>
          <cell r="I60">
            <v>0</v>
          </cell>
        </row>
        <row r="62">
          <cell r="E62">
            <v>0</v>
          </cell>
          <cell r="I62">
            <v>0</v>
          </cell>
        </row>
        <row r="64">
          <cell r="E64">
            <v>0</v>
          </cell>
          <cell r="I64">
            <v>0</v>
          </cell>
        </row>
        <row r="66">
          <cell r="E66">
            <v>0</v>
          </cell>
          <cell r="I66">
            <v>0</v>
          </cell>
        </row>
        <row r="68">
          <cell r="E68">
            <v>0</v>
          </cell>
          <cell r="I68">
            <v>0</v>
          </cell>
        </row>
        <row r="70">
          <cell r="E70">
            <v>0</v>
          </cell>
          <cell r="I70">
            <v>0</v>
          </cell>
        </row>
        <row r="72">
          <cell r="E72">
            <v>0</v>
          </cell>
          <cell r="I72">
            <v>0</v>
          </cell>
        </row>
        <row r="74">
          <cell r="E74">
            <v>0</v>
          </cell>
          <cell r="I74">
            <v>0</v>
          </cell>
        </row>
        <row r="76">
          <cell r="F76">
            <v>0</v>
          </cell>
          <cell r="J76">
            <v>0</v>
          </cell>
        </row>
        <row r="78">
          <cell r="E78">
            <v>0</v>
          </cell>
          <cell r="F78">
            <v>0</v>
          </cell>
          <cell r="I78">
            <v>0</v>
          </cell>
        </row>
        <row r="80">
          <cell r="E80">
            <v>0</v>
          </cell>
          <cell r="I80">
            <v>0</v>
          </cell>
        </row>
        <row r="82">
          <cell r="E82">
            <v>0</v>
          </cell>
          <cell r="I82">
            <v>0</v>
          </cell>
        </row>
        <row r="84">
          <cell r="E84">
            <v>0</v>
          </cell>
          <cell r="I84">
            <v>0</v>
          </cell>
        </row>
        <row r="86">
          <cell r="E86">
            <v>0</v>
          </cell>
          <cell r="I86">
            <v>0</v>
          </cell>
        </row>
        <row r="88">
          <cell r="E88">
            <v>0</v>
          </cell>
          <cell r="F88">
            <v>0</v>
          </cell>
          <cell r="I88">
            <v>0</v>
          </cell>
          <cell r="J88">
            <v>0</v>
          </cell>
        </row>
        <row r="90">
          <cell r="E90">
            <v>0</v>
          </cell>
          <cell r="F90">
            <v>0</v>
          </cell>
          <cell r="I90">
            <v>0</v>
          </cell>
        </row>
        <row r="91">
          <cell r="E91">
            <v>0</v>
          </cell>
          <cell r="I91">
            <v>0</v>
          </cell>
        </row>
        <row r="92">
          <cell r="E92">
            <v>0</v>
          </cell>
          <cell r="I92">
            <v>0</v>
          </cell>
        </row>
        <row r="93">
          <cell r="E93">
            <v>0</v>
          </cell>
          <cell r="I93">
            <v>0</v>
          </cell>
        </row>
        <row r="94">
          <cell r="E94">
            <v>0</v>
          </cell>
          <cell r="I94">
            <v>0</v>
          </cell>
        </row>
        <row r="96">
          <cell r="E96">
            <v>0</v>
          </cell>
          <cell r="I96">
            <v>0</v>
          </cell>
        </row>
        <row r="98">
          <cell r="E98">
            <v>0</v>
          </cell>
          <cell r="I98">
            <v>0</v>
          </cell>
        </row>
        <row r="100">
          <cell r="E100">
            <v>0</v>
          </cell>
          <cell r="I100">
            <v>0</v>
          </cell>
        </row>
        <row r="102">
          <cell r="E102">
            <v>0</v>
          </cell>
          <cell r="F102">
            <v>0</v>
          </cell>
          <cell r="I102">
            <v>0</v>
          </cell>
        </row>
        <row r="103">
          <cell r="E103">
            <v>0</v>
          </cell>
          <cell r="I103">
            <v>0</v>
          </cell>
        </row>
        <row r="104">
          <cell r="K104">
            <v>0</v>
          </cell>
        </row>
        <row r="105">
          <cell r="E105">
            <v>0</v>
          </cell>
          <cell r="I105">
            <v>0</v>
          </cell>
          <cell r="K105">
            <v>0</v>
          </cell>
        </row>
        <row r="107">
          <cell r="E107">
            <v>0</v>
          </cell>
          <cell r="I107">
            <v>0</v>
          </cell>
        </row>
        <row r="109">
          <cell r="E109">
            <v>0</v>
          </cell>
          <cell r="I109">
            <v>0</v>
          </cell>
        </row>
        <row r="111">
          <cell r="E111">
            <v>0</v>
          </cell>
          <cell r="I111">
            <v>0</v>
          </cell>
        </row>
        <row r="113">
          <cell r="E113">
            <v>0</v>
          </cell>
          <cell r="I113">
            <v>0</v>
          </cell>
        </row>
        <row r="115">
          <cell r="E115">
            <v>0</v>
          </cell>
          <cell r="I115">
            <v>0</v>
          </cell>
        </row>
        <row r="117">
          <cell r="E117">
            <v>0</v>
          </cell>
          <cell r="I117">
            <v>0</v>
          </cell>
        </row>
        <row r="119">
          <cell r="E119">
            <v>0</v>
          </cell>
          <cell r="I119">
            <v>0</v>
          </cell>
        </row>
        <row r="121">
          <cell r="E121">
            <v>0</v>
          </cell>
          <cell r="I121">
            <v>0</v>
          </cell>
        </row>
        <row r="123">
          <cell r="E123">
            <v>0</v>
          </cell>
          <cell r="I123">
            <v>0</v>
          </cell>
        </row>
        <row r="125">
          <cell r="E125">
            <v>0</v>
          </cell>
          <cell r="I125">
            <v>0</v>
          </cell>
        </row>
        <row r="127">
          <cell r="E127">
            <v>0</v>
          </cell>
          <cell r="I127">
            <v>0</v>
          </cell>
        </row>
        <row r="129">
          <cell r="E129">
            <v>0</v>
          </cell>
          <cell r="I129">
            <v>0</v>
          </cell>
        </row>
        <row r="131">
          <cell r="E131">
            <v>0</v>
          </cell>
          <cell r="I131">
            <v>0</v>
          </cell>
        </row>
        <row r="133">
          <cell r="E133">
            <v>0</v>
          </cell>
          <cell r="I133">
            <v>0</v>
          </cell>
        </row>
        <row r="135">
          <cell r="E135">
            <v>0</v>
          </cell>
          <cell r="I135">
            <v>0</v>
          </cell>
        </row>
        <row r="137">
          <cell r="E137">
            <v>0</v>
          </cell>
          <cell r="I137">
            <v>0</v>
          </cell>
        </row>
        <row r="139">
          <cell r="E139">
            <v>0</v>
          </cell>
          <cell r="I139">
            <v>0</v>
          </cell>
        </row>
        <row r="141">
          <cell r="E141">
            <v>0</v>
          </cell>
          <cell r="I141">
            <v>0</v>
          </cell>
        </row>
        <row r="143">
          <cell r="E143">
            <v>0</v>
          </cell>
          <cell r="I143">
            <v>0</v>
          </cell>
        </row>
        <row r="145">
          <cell r="E145">
            <v>0</v>
          </cell>
          <cell r="I145">
            <v>0</v>
          </cell>
        </row>
        <row r="147">
          <cell r="E147">
            <v>0</v>
          </cell>
          <cell r="I147">
            <v>0</v>
          </cell>
        </row>
        <row r="149">
          <cell r="E149">
            <v>0</v>
          </cell>
          <cell r="I149">
            <v>0</v>
          </cell>
        </row>
        <row r="151">
          <cell r="E151">
            <v>0</v>
          </cell>
          <cell r="I151">
            <v>0</v>
          </cell>
        </row>
        <row r="153">
          <cell r="E153">
            <v>0</v>
          </cell>
          <cell r="I153">
            <v>0</v>
          </cell>
        </row>
        <row r="155">
          <cell r="E155">
            <v>0</v>
          </cell>
          <cell r="I155">
            <v>0</v>
          </cell>
        </row>
        <row r="157">
          <cell r="E157">
            <v>0</v>
          </cell>
          <cell r="I157">
            <v>0</v>
          </cell>
        </row>
        <row r="159">
          <cell r="E159">
            <v>0</v>
          </cell>
          <cell r="I159">
            <v>0</v>
          </cell>
        </row>
        <row r="161">
          <cell r="E161">
            <v>0</v>
          </cell>
          <cell r="I161">
            <v>0</v>
          </cell>
        </row>
        <row r="163">
          <cell r="E163">
            <v>0</v>
          </cell>
          <cell r="I163">
            <v>0</v>
          </cell>
        </row>
        <row r="165">
          <cell r="E165">
            <v>0</v>
          </cell>
          <cell r="I165">
            <v>0</v>
          </cell>
        </row>
        <row r="167">
          <cell r="E167">
            <v>0</v>
          </cell>
          <cell r="I167">
            <v>0</v>
          </cell>
        </row>
        <row r="169">
          <cell r="E169">
            <v>0</v>
          </cell>
          <cell r="I169">
            <v>0</v>
          </cell>
        </row>
        <row r="171">
          <cell r="E171">
            <v>0</v>
          </cell>
          <cell r="I171">
            <v>0</v>
          </cell>
        </row>
        <row r="173">
          <cell r="E173">
            <v>0</v>
          </cell>
          <cell r="I173">
            <v>0</v>
          </cell>
        </row>
        <row r="175">
          <cell r="E175">
            <v>0</v>
          </cell>
          <cell r="I175">
            <v>0</v>
          </cell>
        </row>
        <row r="177">
          <cell r="E177">
            <v>0</v>
          </cell>
          <cell r="I177">
            <v>0</v>
          </cell>
        </row>
        <row r="179">
          <cell r="E179">
            <v>0</v>
          </cell>
          <cell r="I179">
            <v>0</v>
          </cell>
        </row>
        <row r="181">
          <cell r="E181">
            <v>0</v>
          </cell>
          <cell r="I181">
            <v>0</v>
          </cell>
        </row>
        <row r="183">
          <cell r="E183">
            <v>0</v>
          </cell>
          <cell r="I183">
            <v>0</v>
          </cell>
        </row>
        <row r="185">
          <cell r="E185">
            <v>0</v>
          </cell>
          <cell r="I185">
            <v>0</v>
          </cell>
        </row>
        <row r="187">
          <cell r="E187">
            <v>0</v>
          </cell>
          <cell r="I187">
            <v>0</v>
          </cell>
        </row>
        <row r="189">
          <cell r="E189">
            <v>0</v>
          </cell>
          <cell r="I189">
            <v>0</v>
          </cell>
        </row>
        <row r="191">
          <cell r="E191">
            <v>0</v>
          </cell>
          <cell r="I191">
            <v>0</v>
          </cell>
        </row>
        <row r="193">
          <cell r="E193">
            <v>0</v>
          </cell>
          <cell r="I193">
            <v>0</v>
          </cell>
        </row>
        <row r="195">
          <cell r="E195">
            <v>0</v>
          </cell>
          <cell r="I195">
            <v>0</v>
          </cell>
        </row>
        <row r="197">
          <cell r="E197">
            <v>0</v>
          </cell>
          <cell r="I197">
            <v>0</v>
          </cell>
        </row>
        <row r="199">
          <cell r="E199">
            <v>0</v>
          </cell>
          <cell r="I199">
            <v>0</v>
          </cell>
        </row>
        <row r="201">
          <cell r="E201">
            <v>0</v>
          </cell>
          <cell r="I201">
            <v>0</v>
          </cell>
        </row>
        <row r="203">
          <cell r="E203">
            <v>0</v>
          </cell>
          <cell r="I203">
            <v>0</v>
          </cell>
        </row>
        <row r="205">
          <cell r="E205">
            <v>0</v>
          </cell>
          <cell r="I205">
            <v>0</v>
          </cell>
        </row>
        <row r="207">
          <cell r="E207">
            <v>0</v>
          </cell>
          <cell r="I207">
            <v>0</v>
          </cell>
        </row>
        <row r="209">
          <cell r="E209">
            <v>0</v>
          </cell>
          <cell r="I209">
            <v>0</v>
          </cell>
        </row>
        <row r="211">
          <cell r="E211">
            <v>0</v>
          </cell>
          <cell r="I211">
            <v>0</v>
          </cell>
        </row>
        <row r="213">
          <cell r="E213">
            <v>0</v>
          </cell>
          <cell r="I213">
            <v>0</v>
          </cell>
        </row>
        <row r="215">
          <cell r="E215">
            <v>0</v>
          </cell>
          <cell r="I215">
            <v>0</v>
          </cell>
        </row>
        <row r="217">
          <cell r="E217">
            <v>0</v>
          </cell>
          <cell r="I217">
            <v>0</v>
          </cell>
        </row>
        <row r="219">
          <cell r="E219">
            <v>0</v>
          </cell>
          <cell r="I219">
            <v>0</v>
          </cell>
        </row>
        <row r="221">
          <cell r="E221">
            <v>0</v>
          </cell>
          <cell r="I221">
            <v>0</v>
          </cell>
        </row>
        <row r="223">
          <cell r="E223">
            <v>0</v>
          </cell>
          <cell r="I223">
            <v>0</v>
          </cell>
        </row>
        <row r="225">
          <cell r="E225">
            <v>0</v>
          </cell>
          <cell r="I225">
            <v>0</v>
          </cell>
        </row>
        <row r="226">
          <cell r="E226">
            <v>0</v>
          </cell>
          <cell r="I226">
            <v>0</v>
          </cell>
        </row>
        <row r="228">
          <cell r="E228">
            <v>0</v>
          </cell>
          <cell r="I228">
            <v>0</v>
          </cell>
        </row>
        <row r="230">
          <cell r="E230">
            <v>0</v>
          </cell>
          <cell r="I230">
            <v>0</v>
          </cell>
        </row>
        <row r="232">
          <cell r="E232">
            <v>0</v>
          </cell>
          <cell r="I232">
            <v>0</v>
          </cell>
        </row>
        <row r="234">
          <cell r="E234">
            <v>0</v>
          </cell>
          <cell r="I234">
            <v>0</v>
          </cell>
        </row>
        <row r="236">
          <cell r="E236">
            <v>0</v>
          </cell>
          <cell r="I236">
            <v>0</v>
          </cell>
        </row>
        <row r="238">
          <cell r="E238">
            <v>0</v>
          </cell>
          <cell r="I238">
            <v>0</v>
          </cell>
        </row>
        <row r="240">
          <cell r="E240">
            <v>0</v>
          </cell>
          <cell r="I240">
            <v>0</v>
          </cell>
        </row>
        <row r="242">
          <cell r="E242">
            <v>0</v>
          </cell>
          <cell r="I242">
            <v>0</v>
          </cell>
        </row>
        <row r="244">
          <cell r="E244">
            <v>0</v>
          </cell>
          <cell r="I244">
            <v>0</v>
          </cell>
        </row>
        <row r="246">
          <cell r="E246">
            <v>0</v>
          </cell>
          <cell r="I246">
            <v>0</v>
          </cell>
        </row>
        <row r="248">
          <cell r="E248">
            <v>0</v>
          </cell>
          <cell r="I248">
            <v>0</v>
          </cell>
        </row>
        <row r="250">
          <cell r="E250">
            <v>0</v>
          </cell>
          <cell r="I250">
            <v>0</v>
          </cell>
        </row>
        <row r="252">
          <cell r="E252">
            <v>0</v>
          </cell>
          <cell r="I252">
            <v>0</v>
          </cell>
        </row>
        <row r="254">
          <cell r="E254">
            <v>0</v>
          </cell>
          <cell r="I254">
            <v>0</v>
          </cell>
        </row>
        <row r="256">
          <cell r="E256">
            <v>0</v>
          </cell>
          <cell r="I256">
            <v>0</v>
          </cell>
        </row>
        <row r="258">
          <cell r="E258">
            <v>0</v>
          </cell>
          <cell r="I258">
            <v>0</v>
          </cell>
        </row>
        <row r="260">
          <cell r="E260">
            <v>0</v>
          </cell>
          <cell r="I260">
            <v>0</v>
          </cell>
        </row>
        <row r="262">
          <cell r="E262">
            <v>0</v>
          </cell>
          <cell r="I262">
            <v>0</v>
          </cell>
        </row>
        <row r="263">
          <cell r="E263">
            <v>0</v>
          </cell>
          <cell r="I263">
            <v>0</v>
          </cell>
        </row>
        <row r="265">
          <cell r="E265">
            <v>0</v>
          </cell>
          <cell r="I265">
            <v>0</v>
          </cell>
        </row>
        <row r="267">
          <cell r="E267">
            <v>0</v>
          </cell>
          <cell r="I267">
            <v>0</v>
          </cell>
        </row>
        <row r="269">
          <cell r="E269">
            <v>0</v>
          </cell>
          <cell r="I269">
            <v>0</v>
          </cell>
        </row>
        <row r="271">
          <cell r="E271">
            <v>0</v>
          </cell>
          <cell r="I271">
            <v>0</v>
          </cell>
        </row>
        <row r="273">
          <cell r="E273">
            <v>0</v>
          </cell>
          <cell r="I273">
            <v>0</v>
          </cell>
        </row>
        <row r="275">
          <cell r="E275">
            <v>0</v>
          </cell>
          <cell r="I275">
            <v>0</v>
          </cell>
        </row>
        <row r="277">
          <cell r="E277">
            <v>0</v>
          </cell>
          <cell r="F277">
            <v>0</v>
          </cell>
          <cell r="I277">
            <v>0</v>
          </cell>
        </row>
        <row r="278">
          <cell r="E278">
            <v>0</v>
          </cell>
          <cell r="I278">
            <v>0</v>
          </cell>
        </row>
        <row r="280">
          <cell r="E280">
            <v>0</v>
          </cell>
          <cell r="I280">
            <v>0</v>
          </cell>
        </row>
        <row r="282">
          <cell r="E282">
            <v>0</v>
          </cell>
          <cell r="I282">
            <v>0</v>
          </cell>
        </row>
        <row r="284">
          <cell r="E284">
            <v>0</v>
          </cell>
          <cell r="I284">
            <v>0</v>
          </cell>
        </row>
        <row r="286">
          <cell r="E286">
            <v>0</v>
          </cell>
          <cell r="I286">
            <v>0</v>
          </cell>
        </row>
        <row r="288">
          <cell r="E288">
            <v>0</v>
          </cell>
          <cell r="I288">
            <v>0</v>
          </cell>
        </row>
        <row r="290">
          <cell r="E290">
            <v>0</v>
          </cell>
          <cell r="F290">
            <v>0</v>
          </cell>
          <cell r="I290">
            <v>0</v>
          </cell>
        </row>
        <row r="292">
          <cell r="E292">
            <v>0</v>
          </cell>
          <cell r="I292">
            <v>0</v>
          </cell>
        </row>
        <row r="294">
          <cell r="E294">
            <v>0</v>
          </cell>
          <cell r="I294">
            <v>0</v>
          </cell>
        </row>
        <row r="296">
          <cell r="E296">
            <v>0</v>
          </cell>
          <cell r="I296">
            <v>0</v>
          </cell>
        </row>
        <row r="298">
          <cell r="E298">
            <v>0</v>
          </cell>
          <cell r="I298">
            <v>0</v>
          </cell>
        </row>
        <row r="300">
          <cell r="E300">
            <v>0</v>
          </cell>
          <cell r="I300">
            <v>0</v>
          </cell>
        </row>
        <row r="302">
          <cell r="E302">
            <v>0</v>
          </cell>
          <cell r="F302">
            <v>0</v>
          </cell>
          <cell r="I302">
            <v>0</v>
          </cell>
        </row>
        <row r="303">
          <cell r="E303">
            <v>0</v>
          </cell>
          <cell r="I303">
            <v>0</v>
          </cell>
        </row>
        <row r="305">
          <cell r="E305">
            <v>0</v>
          </cell>
          <cell r="I305">
            <v>0</v>
          </cell>
        </row>
        <row r="307">
          <cell r="E307">
            <v>0</v>
          </cell>
          <cell r="I307">
            <v>0</v>
          </cell>
        </row>
        <row r="309">
          <cell r="E309">
            <v>0</v>
          </cell>
          <cell r="F309">
            <v>0</v>
          </cell>
          <cell r="I309">
            <v>0</v>
          </cell>
        </row>
        <row r="311">
          <cell r="E311">
            <v>0</v>
          </cell>
          <cell r="I311">
            <v>0</v>
          </cell>
        </row>
        <row r="313">
          <cell r="E313">
            <v>0</v>
          </cell>
          <cell r="I313">
            <v>0</v>
          </cell>
        </row>
        <row r="315">
          <cell r="E315">
            <v>0</v>
          </cell>
          <cell r="F315">
            <v>0</v>
          </cell>
          <cell r="I315">
            <v>0</v>
          </cell>
        </row>
        <row r="317">
          <cell r="E317">
            <v>0</v>
          </cell>
          <cell r="I317">
            <v>0</v>
          </cell>
        </row>
        <row r="319">
          <cell r="E319">
            <v>0</v>
          </cell>
          <cell r="I319">
            <v>0</v>
          </cell>
        </row>
        <row r="321">
          <cell r="E321">
            <v>0</v>
          </cell>
          <cell r="F321">
            <v>0</v>
          </cell>
          <cell r="I321">
            <v>0</v>
          </cell>
        </row>
        <row r="322">
          <cell r="E322">
            <v>0</v>
          </cell>
          <cell r="I322">
            <v>0</v>
          </cell>
        </row>
        <row r="323">
          <cell r="E323">
            <v>0</v>
          </cell>
          <cell r="I323">
            <v>0</v>
          </cell>
        </row>
        <row r="325">
          <cell r="E325">
            <v>0</v>
          </cell>
          <cell r="I325">
            <v>0</v>
          </cell>
        </row>
        <row r="327">
          <cell r="E327">
            <v>0</v>
          </cell>
          <cell r="I327">
            <v>0</v>
          </cell>
        </row>
        <row r="329">
          <cell r="E329">
            <v>0</v>
          </cell>
          <cell r="I329">
            <v>0</v>
          </cell>
        </row>
        <row r="331">
          <cell r="E331">
            <v>0</v>
          </cell>
          <cell r="I331">
            <v>0</v>
          </cell>
        </row>
        <row r="333">
          <cell r="E333">
            <v>0</v>
          </cell>
          <cell r="F333">
            <v>0</v>
          </cell>
          <cell r="I333">
            <v>0</v>
          </cell>
        </row>
        <row r="335">
          <cell r="E335">
            <v>0</v>
          </cell>
          <cell r="I335">
            <v>0</v>
          </cell>
        </row>
        <row r="337">
          <cell r="E337">
            <v>0</v>
          </cell>
          <cell r="I337">
            <v>0</v>
          </cell>
        </row>
        <row r="339">
          <cell r="E339">
            <v>0</v>
          </cell>
          <cell r="I339">
            <v>0</v>
          </cell>
        </row>
        <row r="341">
          <cell r="E341">
            <v>0</v>
          </cell>
          <cell r="I341">
            <v>0</v>
          </cell>
        </row>
        <row r="343">
          <cell r="E343">
            <v>0</v>
          </cell>
          <cell r="F343">
            <v>0</v>
          </cell>
          <cell r="I343">
            <v>0</v>
          </cell>
        </row>
        <row r="345">
          <cell r="E345">
            <v>0</v>
          </cell>
          <cell r="I345">
            <v>0</v>
          </cell>
        </row>
        <row r="347">
          <cell r="E347">
            <v>0</v>
          </cell>
          <cell r="I347">
            <v>0</v>
          </cell>
        </row>
        <row r="349">
          <cell r="E349">
            <v>0</v>
          </cell>
          <cell r="I349">
            <v>0</v>
          </cell>
        </row>
        <row r="351">
          <cell r="E351">
            <v>0</v>
          </cell>
          <cell r="I351">
            <v>0</v>
          </cell>
        </row>
        <row r="353">
          <cell r="E353">
            <v>0</v>
          </cell>
          <cell r="I353">
            <v>0</v>
          </cell>
        </row>
        <row r="355">
          <cell r="E355">
            <v>0</v>
          </cell>
          <cell r="I355">
            <v>0</v>
          </cell>
        </row>
        <row r="357">
          <cell r="E357">
            <v>0</v>
          </cell>
          <cell r="I357">
            <v>0</v>
          </cell>
        </row>
        <row r="359">
          <cell r="E359">
            <v>0</v>
          </cell>
          <cell r="I359">
            <v>0</v>
          </cell>
        </row>
        <row r="361">
          <cell r="E361">
            <v>0</v>
          </cell>
          <cell r="F361">
            <v>0</v>
          </cell>
          <cell r="I361">
            <v>0</v>
          </cell>
        </row>
        <row r="363">
          <cell r="E363">
            <v>0</v>
          </cell>
          <cell r="I363">
            <v>0</v>
          </cell>
        </row>
        <row r="365">
          <cell r="E365">
            <v>0</v>
          </cell>
          <cell r="I365">
            <v>0</v>
          </cell>
        </row>
        <row r="367">
          <cell r="E367">
            <v>0</v>
          </cell>
          <cell r="I367">
            <v>0</v>
          </cell>
        </row>
        <row r="369">
          <cell r="E369">
            <v>0</v>
          </cell>
          <cell r="I369">
            <v>0</v>
          </cell>
        </row>
        <row r="371">
          <cell r="E371">
            <v>0</v>
          </cell>
          <cell r="I371">
            <v>0</v>
          </cell>
        </row>
        <row r="373">
          <cell r="E373">
            <v>0</v>
          </cell>
          <cell r="I373">
            <v>0</v>
          </cell>
        </row>
        <row r="375">
          <cell r="E375">
            <v>0</v>
          </cell>
          <cell r="I375">
            <v>0</v>
          </cell>
        </row>
        <row r="377">
          <cell r="E377">
            <v>0</v>
          </cell>
          <cell r="I377">
            <v>0</v>
          </cell>
        </row>
        <row r="379">
          <cell r="E379">
            <v>0</v>
          </cell>
          <cell r="F379">
            <v>0</v>
          </cell>
          <cell r="I379">
            <v>0</v>
          </cell>
        </row>
        <row r="381">
          <cell r="E381">
            <v>0</v>
          </cell>
          <cell r="I381">
            <v>0</v>
          </cell>
        </row>
        <row r="383">
          <cell r="E383">
            <v>0</v>
          </cell>
          <cell r="I383">
            <v>0</v>
          </cell>
        </row>
        <row r="385">
          <cell r="E385">
            <v>0</v>
          </cell>
          <cell r="I385">
            <v>0</v>
          </cell>
        </row>
        <row r="387">
          <cell r="E387">
            <v>0</v>
          </cell>
          <cell r="I387">
            <v>0</v>
          </cell>
        </row>
        <row r="389">
          <cell r="E389">
            <v>0</v>
          </cell>
          <cell r="I389">
            <v>0</v>
          </cell>
        </row>
        <row r="391">
          <cell r="E391">
            <v>0</v>
          </cell>
          <cell r="F391">
            <v>0</v>
          </cell>
          <cell r="I391">
            <v>0</v>
          </cell>
        </row>
        <row r="393">
          <cell r="E393">
            <v>0</v>
          </cell>
          <cell r="I393">
            <v>0</v>
          </cell>
        </row>
        <row r="395">
          <cell r="E395">
            <v>0</v>
          </cell>
          <cell r="I395">
            <v>0</v>
          </cell>
        </row>
        <row r="397">
          <cell r="E397">
            <v>0</v>
          </cell>
          <cell r="F397">
            <v>0</v>
          </cell>
          <cell r="I397">
            <v>0</v>
          </cell>
        </row>
        <row r="399">
          <cell r="E399">
            <v>0</v>
          </cell>
          <cell r="I399">
            <v>0</v>
          </cell>
        </row>
        <row r="401">
          <cell r="E401">
            <v>0</v>
          </cell>
          <cell r="I401">
            <v>0</v>
          </cell>
        </row>
        <row r="403">
          <cell r="E403">
            <v>0</v>
          </cell>
          <cell r="F403">
            <v>0</v>
          </cell>
          <cell r="I403">
            <v>0</v>
          </cell>
        </row>
        <row r="405">
          <cell r="E405">
            <v>0</v>
          </cell>
          <cell r="I405">
            <v>0</v>
          </cell>
        </row>
        <row r="407">
          <cell r="E407">
            <v>0</v>
          </cell>
          <cell r="I407">
            <v>0</v>
          </cell>
        </row>
        <row r="409">
          <cell r="E409">
            <v>0</v>
          </cell>
          <cell r="F409">
            <v>0</v>
          </cell>
          <cell r="I409">
            <v>0</v>
          </cell>
        </row>
        <row r="411">
          <cell r="E411">
            <v>0</v>
          </cell>
          <cell r="I411">
            <v>0</v>
          </cell>
        </row>
        <row r="413">
          <cell r="E413">
            <v>0</v>
          </cell>
          <cell r="I413">
            <v>0</v>
          </cell>
        </row>
        <row r="415">
          <cell r="E415">
            <v>0</v>
          </cell>
          <cell r="I415">
            <v>0</v>
          </cell>
        </row>
        <row r="417">
          <cell r="E417">
            <v>0</v>
          </cell>
          <cell r="I417">
            <v>0</v>
          </cell>
        </row>
        <row r="419">
          <cell r="E419">
            <v>0</v>
          </cell>
          <cell r="I419">
            <v>0</v>
          </cell>
        </row>
        <row r="421">
          <cell r="E421">
            <v>0</v>
          </cell>
          <cell r="I421">
            <v>0</v>
          </cell>
        </row>
        <row r="423">
          <cell r="E423">
            <v>0</v>
          </cell>
          <cell r="I423">
            <v>0</v>
          </cell>
        </row>
        <row r="425">
          <cell r="E425">
            <v>0</v>
          </cell>
          <cell r="I425">
            <v>0</v>
          </cell>
        </row>
        <row r="427">
          <cell r="E427">
            <v>0</v>
          </cell>
          <cell r="F427">
            <v>0</v>
          </cell>
          <cell r="I427">
            <v>0</v>
          </cell>
        </row>
        <row r="429">
          <cell r="E429">
            <v>0</v>
          </cell>
          <cell r="I429">
            <v>0</v>
          </cell>
        </row>
        <row r="431">
          <cell r="E431">
            <v>0</v>
          </cell>
          <cell r="I431">
            <v>0</v>
          </cell>
        </row>
        <row r="433">
          <cell r="E433">
            <v>0</v>
          </cell>
          <cell r="I433">
            <v>0</v>
          </cell>
        </row>
        <row r="435">
          <cell r="E435">
            <v>0</v>
          </cell>
          <cell r="I435">
            <v>0</v>
          </cell>
        </row>
        <row r="437">
          <cell r="E437">
            <v>0</v>
          </cell>
          <cell r="F437">
            <v>0</v>
          </cell>
          <cell r="I437">
            <v>0</v>
          </cell>
        </row>
        <row r="439">
          <cell r="E439">
            <v>0</v>
          </cell>
          <cell r="I439">
            <v>0</v>
          </cell>
        </row>
        <row r="441">
          <cell r="E441">
            <v>0</v>
          </cell>
          <cell r="I441">
            <v>0</v>
          </cell>
        </row>
        <row r="443">
          <cell r="E443">
            <v>0</v>
          </cell>
          <cell r="I443">
            <v>0</v>
          </cell>
        </row>
        <row r="445">
          <cell r="E445">
            <v>0</v>
          </cell>
          <cell r="I445">
            <v>0</v>
          </cell>
        </row>
        <row r="447">
          <cell r="E447">
            <v>0</v>
          </cell>
          <cell r="F447">
            <v>0</v>
          </cell>
          <cell r="I447">
            <v>0</v>
          </cell>
        </row>
        <row r="448">
          <cell r="E448">
            <v>0</v>
          </cell>
          <cell r="I448">
            <v>0</v>
          </cell>
        </row>
        <row r="450">
          <cell r="E450">
            <v>0</v>
          </cell>
          <cell r="I450">
            <v>0</v>
          </cell>
        </row>
        <row r="452">
          <cell r="E452">
            <v>0</v>
          </cell>
          <cell r="I452">
            <v>0</v>
          </cell>
        </row>
        <row r="454">
          <cell r="E454">
            <v>0</v>
          </cell>
          <cell r="I454">
            <v>0</v>
          </cell>
        </row>
        <row r="456">
          <cell r="E456">
            <v>0</v>
          </cell>
          <cell r="I456">
            <v>0</v>
          </cell>
        </row>
        <row r="458">
          <cell r="E458">
            <v>0</v>
          </cell>
          <cell r="I458">
            <v>0</v>
          </cell>
        </row>
        <row r="460">
          <cell r="E460">
            <v>0</v>
          </cell>
          <cell r="I460">
            <v>0</v>
          </cell>
        </row>
        <row r="462">
          <cell r="E462">
            <v>0</v>
          </cell>
          <cell r="F462">
            <v>0</v>
          </cell>
          <cell r="I462">
            <v>0</v>
          </cell>
        </row>
        <row r="463">
          <cell r="E463">
            <v>0</v>
          </cell>
          <cell r="I463">
            <v>0</v>
          </cell>
        </row>
        <row r="464">
          <cell r="E464">
            <v>0</v>
          </cell>
          <cell r="I464">
            <v>0</v>
          </cell>
        </row>
        <row r="466">
          <cell r="E466">
            <v>0</v>
          </cell>
          <cell r="I466">
            <v>0</v>
          </cell>
        </row>
        <row r="468">
          <cell r="E468">
            <v>0</v>
          </cell>
          <cell r="I468">
            <v>0</v>
          </cell>
        </row>
        <row r="470">
          <cell r="E470">
            <v>0</v>
          </cell>
          <cell r="F470">
            <v>0</v>
          </cell>
          <cell r="I470">
            <v>0</v>
          </cell>
        </row>
        <row r="472">
          <cell r="E472">
            <v>0</v>
          </cell>
          <cell r="I472">
            <v>0</v>
          </cell>
        </row>
        <row r="474">
          <cell r="E474">
            <v>0</v>
          </cell>
          <cell r="I474">
            <v>0</v>
          </cell>
        </row>
        <row r="476">
          <cell r="E476">
            <v>0</v>
          </cell>
          <cell r="I476">
            <v>0</v>
          </cell>
        </row>
        <row r="478">
          <cell r="E478">
            <v>0</v>
          </cell>
          <cell r="F478">
            <v>0</v>
          </cell>
          <cell r="I478">
            <v>0</v>
          </cell>
        </row>
        <row r="480">
          <cell r="E480">
            <v>0</v>
          </cell>
          <cell r="I480">
            <v>0</v>
          </cell>
        </row>
        <row r="482">
          <cell r="E482">
            <v>0</v>
          </cell>
          <cell r="I482">
            <v>0</v>
          </cell>
        </row>
        <row r="484">
          <cell r="E484">
            <v>0</v>
          </cell>
          <cell r="I484">
            <v>0</v>
          </cell>
        </row>
        <row r="486">
          <cell r="E486">
            <v>0</v>
          </cell>
          <cell r="F486">
            <v>0</v>
          </cell>
          <cell r="I486">
            <v>0</v>
          </cell>
        </row>
        <row r="488">
          <cell r="E488">
            <v>0</v>
          </cell>
          <cell r="I488">
            <v>0</v>
          </cell>
        </row>
        <row r="490">
          <cell r="E490">
            <v>0</v>
          </cell>
          <cell r="I490">
            <v>0</v>
          </cell>
        </row>
        <row r="492">
          <cell r="E492">
            <v>0</v>
          </cell>
          <cell r="F492">
            <v>0</v>
          </cell>
          <cell r="I492">
            <v>0</v>
          </cell>
        </row>
        <row r="494">
          <cell r="E494">
            <v>0</v>
          </cell>
          <cell r="I494">
            <v>0</v>
          </cell>
        </row>
        <row r="496">
          <cell r="E496">
            <v>0</v>
          </cell>
          <cell r="I496">
            <v>0</v>
          </cell>
        </row>
        <row r="498">
          <cell r="E498">
            <v>0</v>
          </cell>
          <cell r="I498">
            <v>0</v>
          </cell>
        </row>
        <row r="500">
          <cell r="E500">
            <v>0</v>
          </cell>
          <cell r="F500">
            <v>0</v>
          </cell>
          <cell r="I500">
            <v>0</v>
          </cell>
        </row>
        <row r="502">
          <cell r="E502">
            <v>0</v>
          </cell>
          <cell r="I502">
            <v>0</v>
          </cell>
        </row>
        <row r="504">
          <cell r="E504">
            <v>0</v>
          </cell>
          <cell r="I504">
            <v>0</v>
          </cell>
        </row>
        <row r="506">
          <cell r="E506">
            <v>0</v>
          </cell>
          <cell r="F506">
            <v>0</v>
          </cell>
          <cell r="I506">
            <v>0</v>
          </cell>
        </row>
      </sheetData>
      <sheetData sheetId="21">
        <row r="6">
          <cell r="F6">
            <v>0</v>
          </cell>
          <cell r="J6">
            <v>0</v>
          </cell>
        </row>
        <row r="8">
          <cell r="F8">
            <v>0</v>
          </cell>
          <cell r="J8">
            <v>0</v>
          </cell>
        </row>
        <row r="10">
          <cell r="F10">
            <v>0</v>
          </cell>
          <cell r="J10">
            <v>0</v>
          </cell>
        </row>
        <row r="12">
          <cell r="F12">
            <v>0</v>
          </cell>
          <cell r="J12">
            <v>0</v>
          </cell>
        </row>
        <row r="14">
          <cell r="F14">
            <v>0</v>
          </cell>
          <cell r="J14">
            <v>0</v>
          </cell>
        </row>
        <row r="16">
          <cell r="E16">
            <v>0</v>
          </cell>
          <cell r="I16">
            <v>0</v>
          </cell>
        </row>
        <row r="18">
          <cell r="E18">
            <v>0</v>
          </cell>
          <cell r="F18">
            <v>0</v>
          </cell>
          <cell r="J18">
            <v>0</v>
          </cell>
        </row>
        <row r="20">
          <cell r="F20">
            <v>0</v>
          </cell>
          <cell r="J20">
            <v>0</v>
          </cell>
        </row>
        <row r="22">
          <cell r="F22">
            <v>0</v>
          </cell>
          <cell r="J22">
            <v>0</v>
          </cell>
        </row>
        <row r="24">
          <cell r="F24">
            <v>0</v>
          </cell>
          <cell r="J24">
            <v>0</v>
          </cell>
        </row>
        <row r="26">
          <cell r="F26">
            <v>0</v>
          </cell>
          <cell r="J26">
            <v>0</v>
          </cell>
        </row>
        <row r="28">
          <cell r="F28">
            <v>0</v>
          </cell>
          <cell r="J28">
            <v>0</v>
          </cell>
        </row>
        <row r="30">
          <cell r="E30">
            <v>0</v>
          </cell>
          <cell r="I30">
            <v>0</v>
          </cell>
        </row>
        <row r="32">
          <cell r="E32">
            <v>0</v>
          </cell>
          <cell r="F32">
            <v>0</v>
          </cell>
          <cell r="J32">
            <v>0</v>
          </cell>
        </row>
        <row r="34">
          <cell r="F34">
            <v>0</v>
          </cell>
          <cell r="J34">
            <v>0</v>
          </cell>
        </row>
        <row r="36">
          <cell r="F36">
            <v>0</v>
          </cell>
          <cell r="J36">
            <v>0</v>
          </cell>
        </row>
        <row r="38">
          <cell r="F38">
            <v>0</v>
          </cell>
          <cell r="J38">
            <v>0</v>
          </cell>
        </row>
        <row r="40">
          <cell r="F40">
            <v>0</v>
          </cell>
          <cell r="J40">
            <v>0</v>
          </cell>
        </row>
        <row r="42">
          <cell r="F42">
            <v>0</v>
          </cell>
          <cell r="J42">
            <v>0</v>
          </cell>
        </row>
        <row r="44">
          <cell r="E44">
            <v>0</v>
          </cell>
          <cell r="I44">
            <v>0</v>
          </cell>
        </row>
        <row r="46">
          <cell r="E46">
            <v>0</v>
          </cell>
          <cell r="F46">
            <v>0</v>
          </cell>
          <cell r="J46">
            <v>0</v>
          </cell>
        </row>
        <row r="48">
          <cell r="F48">
            <v>0</v>
          </cell>
          <cell r="J48">
            <v>0</v>
          </cell>
        </row>
        <row r="50">
          <cell r="F50">
            <v>0</v>
          </cell>
          <cell r="J50">
            <v>0</v>
          </cell>
        </row>
        <row r="52">
          <cell r="F52">
            <v>0</v>
          </cell>
          <cell r="J52">
            <v>0</v>
          </cell>
        </row>
        <row r="54">
          <cell r="F54">
            <v>0</v>
          </cell>
          <cell r="J54">
            <v>0</v>
          </cell>
        </row>
        <row r="56">
          <cell r="F56">
            <v>0</v>
          </cell>
          <cell r="J56">
            <v>0</v>
          </cell>
        </row>
        <row r="58">
          <cell r="E58">
            <v>0</v>
          </cell>
          <cell r="I58">
            <v>0</v>
          </cell>
        </row>
        <row r="60">
          <cell r="E60">
            <v>0</v>
          </cell>
          <cell r="F60">
            <v>0</v>
          </cell>
          <cell r="J60">
            <v>0</v>
          </cell>
        </row>
        <row r="62">
          <cell r="F62">
            <v>0</v>
          </cell>
          <cell r="J62">
            <v>0</v>
          </cell>
        </row>
        <row r="64">
          <cell r="F64">
            <v>0</v>
          </cell>
          <cell r="J64">
            <v>0</v>
          </cell>
        </row>
        <row r="66">
          <cell r="F66">
            <v>0</v>
          </cell>
          <cell r="J66">
            <v>0</v>
          </cell>
        </row>
        <row r="68">
          <cell r="F68">
            <v>0</v>
          </cell>
          <cell r="J68">
            <v>0</v>
          </cell>
        </row>
        <row r="70">
          <cell r="F70">
            <v>0</v>
          </cell>
          <cell r="J70">
            <v>0</v>
          </cell>
        </row>
        <row r="72">
          <cell r="E72">
            <v>0</v>
          </cell>
          <cell r="I72">
            <v>0</v>
          </cell>
        </row>
        <row r="74">
          <cell r="E74">
            <v>0</v>
          </cell>
          <cell r="F74">
            <v>0</v>
          </cell>
          <cell r="J74">
            <v>0</v>
          </cell>
        </row>
        <row r="76">
          <cell r="F76">
            <v>0</v>
          </cell>
          <cell r="J76">
            <v>0</v>
          </cell>
        </row>
        <row r="78">
          <cell r="F78">
            <v>0</v>
          </cell>
          <cell r="J78">
            <v>0</v>
          </cell>
        </row>
        <row r="80">
          <cell r="F80">
            <v>0</v>
          </cell>
          <cell r="J80">
            <v>0</v>
          </cell>
        </row>
        <row r="82">
          <cell r="F82">
            <v>0</v>
          </cell>
          <cell r="J82">
            <v>0</v>
          </cell>
        </row>
        <row r="84">
          <cell r="F84">
            <v>0</v>
          </cell>
          <cell r="J84">
            <v>0</v>
          </cell>
        </row>
        <row r="86">
          <cell r="E86">
            <v>0</v>
          </cell>
          <cell r="I86">
            <v>0</v>
          </cell>
        </row>
        <row r="88">
          <cell r="E88">
            <v>0</v>
          </cell>
          <cell r="F88">
            <v>0</v>
          </cell>
          <cell r="J88">
            <v>0</v>
          </cell>
        </row>
        <row r="90">
          <cell r="F90">
            <v>0</v>
          </cell>
          <cell r="J90">
            <v>0</v>
          </cell>
        </row>
        <row r="92">
          <cell r="F92">
            <v>0</v>
          </cell>
          <cell r="J92">
            <v>0</v>
          </cell>
        </row>
        <row r="94">
          <cell r="F94">
            <v>0</v>
          </cell>
          <cell r="J94">
            <v>0</v>
          </cell>
        </row>
        <row r="96">
          <cell r="F96">
            <v>0</v>
          </cell>
          <cell r="J96">
            <v>0</v>
          </cell>
        </row>
        <row r="98">
          <cell r="F98">
            <v>0</v>
          </cell>
          <cell r="J98">
            <v>0</v>
          </cell>
        </row>
        <row r="100">
          <cell r="F100">
            <v>0</v>
          </cell>
          <cell r="J100">
            <v>0</v>
          </cell>
        </row>
        <row r="102">
          <cell r="F102">
            <v>0</v>
          </cell>
          <cell r="J102">
            <v>0</v>
          </cell>
        </row>
        <row r="104">
          <cell r="F104">
            <v>0</v>
          </cell>
          <cell r="J104">
            <v>0</v>
          </cell>
        </row>
        <row r="106">
          <cell r="E106">
            <v>0</v>
          </cell>
          <cell r="F106">
            <v>0</v>
          </cell>
          <cell r="J106">
            <v>0</v>
          </cell>
        </row>
        <row r="107">
          <cell r="F107">
            <v>0</v>
          </cell>
          <cell r="J107">
            <v>0</v>
          </cell>
        </row>
        <row r="108">
          <cell r="F108">
            <v>0</v>
          </cell>
          <cell r="J108">
            <v>0</v>
          </cell>
        </row>
        <row r="109">
          <cell r="F109">
            <v>0</v>
          </cell>
          <cell r="J109">
            <v>0</v>
          </cell>
        </row>
        <row r="110">
          <cell r="F110">
            <v>0</v>
          </cell>
          <cell r="J110">
            <v>0</v>
          </cell>
        </row>
        <row r="111">
          <cell r="E111">
            <v>0</v>
          </cell>
          <cell r="F111">
            <v>0</v>
          </cell>
          <cell r="J111">
            <v>0</v>
          </cell>
        </row>
        <row r="118">
          <cell r="E118">
            <v>0</v>
          </cell>
          <cell r="F118">
            <v>0</v>
          </cell>
          <cell r="J118">
            <v>0</v>
          </cell>
        </row>
        <row r="119">
          <cell r="F119">
            <v>0</v>
          </cell>
          <cell r="J119">
            <v>0</v>
          </cell>
        </row>
        <row r="125">
          <cell r="F125">
            <v>0</v>
          </cell>
          <cell r="J125">
            <v>0</v>
          </cell>
        </row>
        <row r="126">
          <cell r="F126">
            <v>0</v>
          </cell>
          <cell r="J126">
            <v>0</v>
          </cell>
        </row>
        <row r="127">
          <cell r="F127">
            <v>0</v>
          </cell>
          <cell r="J127">
            <v>0</v>
          </cell>
        </row>
        <row r="133">
          <cell r="L133">
            <v>0</v>
          </cell>
        </row>
        <row r="137">
          <cell r="L137">
            <v>0</v>
          </cell>
        </row>
        <row r="147">
          <cell r="F147">
            <v>0</v>
          </cell>
          <cell r="J147">
            <v>0</v>
          </cell>
        </row>
        <row r="153">
          <cell r="E153">
            <v>0</v>
          </cell>
          <cell r="F153">
            <v>0</v>
          </cell>
          <cell r="J153">
            <v>0</v>
          </cell>
        </row>
        <row r="159">
          <cell r="E159">
            <v>0</v>
          </cell>
          <cell r="F159">
            <v>0</v>
          </cell>
          <cell r="J159">
            <v>0</v>
          </cell>
        </row>
        <row r="160">
          <cell r="F160">
            <v>0</v>
          </cell>
          <cell r="J160">
            <v>0</v>
          </cell>
        </row>
        <row r="168">
          <cell r="E168">
            <v>0</v>
          </cell>
          <cell r="F168">
            <v>0</v>
          </cell>
          <cell r="J168">
            <v>0</v>
          </cell>
        </row>
        <row r="178">
          <cell r="E178">
            <v>0</v>
          </cell>
          <cell r="F178">
            <v>0</v>
          </cell>
          <cell r="J178">
            <v>0</v>
          </cell>
        </row>
        <row r="184">
          <cell r="E184">
            <v>0</v>
          </cell>
          <cell r="F184">
            <v>0</v>
          </cell>
          <cell r="J184">
            <v>0</v>
          </cell>
        </row>
        <row r="190">
          <cell r="E190">
            <v>0</v>
          </cell>
          <cell r="F190">
            <v>0</v>
          </cell>
          <cell r="J190">
            <v>0</v>
          </cell>
        </row>
        <row r="191">
          <cell r="F191">
            <v>0</v>
          </cell>
          <cell r="J191">
            <v>0</v>
          </cell>
        </row>
        <row r="197">
          <cell r="E197">
            <v>0</v>
          </cell>
          <cell r="F197">
            <v>0</v>
          </cell>
          <cell r="J197">
            <v>0</v>
          </cell>
        </row>
        <row r="198">
          <cell r="E198">
            <v>0</v>
          </cell>
          <cell r="F198">
            <v>0</v>
          </cell>
          <cell r="J198">
            <v>0</v>
          </cell>
        </row>
        <row r="199">
          <cell r="E199">
            <v>0</v>
          </cell>
          <cell r="F199">
            <v>0</v>
          </cell>
          <cell r="J199">
            <v>0</v>
          </cell>
        </row>
        <row r="200">
          <cell r="E200">
            <v>0</v>
          </cell>
          <cell r="F200">
            <v>0</v>
          </cell>
          <cell r="J200">
            <v>0</v>
          </cell>
        </row>
        <row r="208">
          <cell r="E208">
            <v>0</v>
          </cell>
          <cell r="F208">
            <v>0</v>
          </cell>
          <cell r="J208">
            <v>0</v>
          </cell>
        </row>
        <row r="216">
          <cell r="E216">
            <v>0</v>
          </cell>
          <cell r="F216">
            <v>0</v>
          </cell>
          <cell r="J216">
            <v>0</v>
          </cell>
        </row>
        <row r="217">
          <cell r="F217">
            <v>0</v>
          </cell>
          <cell r="J217">
            <v>0</v>
          </cell>
        </row>
        <row r="218">
          <cell r="F218">
            <v>0</v>
          </cell>
          <cell r="J218">
            <v>0</v>
          </cell>
        </row>
        <row r="226">
          <cell r="E226">
            <v>0</v>
          </cell>
          <cell r="F226">
            <v>0</v>
          </cell>
          <cell r="J226">
            <v>0</v>
          </cell>
        </row>
        <row r="232">
          <cell r="E232">
            <v>0</v>
          </cell>
          <cell r="F232">
            <v>0</v>
          </cell>
          <cell r="J232">
            <v>0</v>
          </cell>
        </row>
        <row r="233">
          <cell r="F233">
            <v>0</v>
          </cell>
          <cell r="J233">
            <v>0</v>
          </cell>
        </row>
        <row r="234">
          <cell r="F234">
            <v>0</v>
          </cell>
          <cell r="J234">
            <v>0</v>
          </cell>
        </row>
      </sheetData>
      <sheetData sheetId="22">
        <row r="11">
          <cell r="H11" t="str">
            <v>EXERCICE 2025</v>
          </cell>
          <cell r="I11" t="str">
            <v>EXERCICE 2024</v>
          </cell>
        </row>
        <row r="32">
          <cell r="I32">
            <v>0</v>
          </cell>
        </row>
      </sheetData>
      <sheetData sheetId="23">
        <row r="4">
          <cell r="H4">
            <v>0</v>
          </cell>
        </row>
        <row r="6">
          <cell r="C6">
            <v>0</v>
          </cell>
          <cell r="D6">
            <v>0</v>
          </cell>
          <cell r="H6">
            <v>0</v>
          </cell>
        </row>
      </sheetData>
      <sheetData sheetId="24"/>
      <sheetData sheetId="25">
        <row r="18">
          <cell r="E18">
            <v>0</v>
          </cell>
        </row>
        <row r="24">
          <cell r="E24">
            <v>0</v>
          </cell>
        </row>
      </sheetData>
      <sheetData sheetId="26">
        <row r="14">
          <cell r="B14" t="str">
            <v xml:space="preserve">Les états financiers sont établis en conformité avec le système comptable OHADA et l'acte uniforme relatif au droit comptable et à </v>
          </cell>
        </row>
        <row r="15">
          <cell r="B15" t="str">
            <v>l'information financière,</v>
          </cell>
        </row>
        <row r="25">
          <cell r="B25" t="str">
            <v>Les états financiers ont été confectionnés dans le respect des postulats, conventions et des règles d'évaluation édictés par le</v>
          </cell>
        </row>
        <row r="26">
          <cell r="B26" t="str">
            <v>SYSCOHADA et l'acte uniforme</v>
          </cell>
        </row>
        <row r="36">
          <cell r="B36" t="str">
            <v>Respect de tous les postulats et conventions comptables sans aucune dérogation</v>
          </cell>
        </row>
        <row r="49">
          <cell r="B49" t="str">
            <v>Pas d'informations complémantaires relatives aux autres états financiers</v>
          </cell>
        </row>
      </sheetData>
      <sheetData sheetId="27">
        <row r="5">
          <cell r="E5">
            <v>0</v>
          </cell>
          <cell r="G5">
            <v>0</v>
          </cell>
          <cell r="H5">
            <v>0</v>
          </cell>
          <cell r="I5">
            <v>0</v>
          </cell>
        </row>
        <row r="15">
          <cell r="E15">
            <v>0</v>
          </cell>
          <cell r="G15">
            <v>0</v>
          </cell>
          <cell r="H15">
            <v>0</v>
          </cell>
          <cell r="I15">
            <v>0</v>
          </cell>
        </row>
        <row r="21">
          <cell r="E21">
            <v>0</v>
          </cell>
          <cell r="G21">
            <v>0</v>
          </cell>
          <cell r="H21">
            <v>0</v>
          </cell>
          <cell r="I21">
            <v>0</v>
          </cell>
        </row>
        <row r="22">
          <cell r="E22">
            <v>0</v>
          </cell>
          <cell r="G22">
            <v>0</v>
          </cell>
          <cell r="H22">
            <v>0</v>
          </cell>
          <cell r="I22">
            <v>0</v>
          </cell>
        </row>
        <row r="23">
          <cell r="E23">
            <v>0</v>
          </cell>
          <cell r="G23">
            <v>0</v>
          </cell>
          <cell r="H23">
            <v>0</v>
          </cell>
          <cell r="I23">
            <v>0</v>
          </cell>
        </row>
        <row r="24">
          <cell r="E24">
            <v>0</v>
          </cell>
          <cell r="G24">
            <v>0</v>
          </cell>
          <cell r="H24">
            <v>0</v>
          </cell>
          <cell r="I24">
            <v>0</v>
          </cell>
        </row>
        <row r="25">
          <cell r="E25">
            <v>0</v>
          </cell>
          <cell r="G25">
            <v>0</v>
          </cell>
          <cell r="H25">
            <v>0</v>
          </cell>
          <cell r="I25">
            <v>0</v>
          </cell>
        </row>
        <row r="27">
          <cell r="E27">
            <v>0</v>
          </cell>
          <cell r="G27">
            <v>0</v>
          </cell>
          <cell r="H27">
            <v>0</v>
          </cell>
          <cell r="I27">
            <v>0</v>
          </cell>
        </row>
        <row r="29">
          <cell r="E29">
            <v>0</v>
          </cell>
          <cell r="G29">
            <v>0</v>
          </cell>
          <cell r="H29">
            <v>0</v>
          </cell>
        </row>
        <row r="31">
          <cell r="E31">
            <v>0</v>
          </cell>
          <cell r="G31">
            <v>0</v>
          </cell>
          <cell r="H31">
            <v>0</v>
          </cell>
        </row>
        <row r="33">
          <cell r="E33">
            <v>0</v>
          </cell>
          <cell r="G33">
            <v>0</v>
          </cell>
          <cell r="H33">
            <v>0</v>
          </cell>
        </row>
        <row r="35">
          <cell r="E35">
            <v>0</v>
          </cell>
          <cell r="G35">
            <v>0</v>
          </cell>
          <cell r="H35">
            <v>0</v>
          </cell>
        </row>
        <row r="37">
          <cell r="I37">
            <v>0</v>
          </cell>
        </row>
        <row r="39">
          <cell r="E39">
            <v>0</v>
          </cell>
          <cell r="G39">
            <v>0</v>
          </cell>
          <cell r="I39">
            <v>0</v>
          </cell>
        </row>
        <row r="41">
          <cell r="E41">
            <v>0</v>
          </cell>
          <cell r="G41">
            <v>0</v>
          </cell>
          <cell r="I41">
            <v>0</v>
          </cell>
        </row>
        <row r="43">
          <cell r="E43">
            <v>0</v>
          </cell>
          <cell r="G43">
            <v>0</v>
          </cell>
          <cell r="I43">
            <v>0</v>
          </cell>
        </row>
        <row r="53">
          <cell r="E53">
            <v>0</v>
          </cell>
          <cell r="G53">
            <v>0</v>
          </cell>
          <cell r="H53">
            <v>0</v>
          </cell>
          <cell r="I53">
            <v>0</v>
          </cell>
        </row>
        <row r="59">
          <cell r="E59">
            <v>0</v>
          </cell>
          <cell r="G59">
            <v>0</v>
          </cell>
          <cell r="H59">
            <v>0</v>
          </cell>
          <cell r="I59">
            <v>0</v>
          </cell>
        </row>
        <row r="71">
          <cell r="E71">
            <v>0</v>
          </cell>
          <cell r="G71">
            <v>0</v>
          </cell>
          <cell r="H71">
            <v>0</v>
          </cell>
          <cell r="I71">
            <v>0</v>
          </cell>
        </row>
        <row r="79">
          <cell r="E79">
            <v>0</v>
          </cell>
          <cell r="G79">
            <v>0</v>
          </cell>
          <cell r="H79">
            <v>0</v>
          </cell>
          <cell r="I79">
            <v>0</v>
          </cell>
        </row>
        <row r="83">
          <cell r="E83">
            <v>0</v>
          </cell>
          <cell r="G83">
            <v>0</v>
          </cell>
          <cell r="H83">
            <v>0</v>
          </cell>
          <cell r="I83">
            <v>0</v>
          </cell>
        </row>
        <row r="87">
          <cell r="E87">
            <v>0</v>
          </cell>
          <cell r="G87">
            <v>0</v>
          </cell>
          <cell r="H87">
            <v>0</v>
          </cell>
          <cell r="I87">
            <v>0</v>
          </cell>
        </row>
        <row r="88">
          <cell r="E88">
            <v>0</v>
          </cell>
          <cell r="G88">
            <v>0</v>
          </cell>
          <cell r="H88">
            <v>0</v>
          </cell>
          <cell r="I88">
            <v>0</v>
          </cell>
        </row>
        <row r="90">
          <cell r="E90">
            <v>0</v>
          </cell>
          <cell r="G90">
            <v>0</v>
          </cell>
          <cell r="H90">
            <v>0</v>
          </cell>
          <cell r="I90">
            <v>0</v>
          </cell>
        </row>
        <row r="98">
          <cell r="E98">
            <v>0</v>
          </cell>
          <cell r="G98">
            <v>0</v>
          </cell>
          <cell r="H98">
            <v>0</v>
          </cell>
          <cell r="I98">
            <v>0</v>
          </cell>
        </row>
        <row r="108">
          <cell r="E108">
            <v>0</v>
          </cell>
          <cell r="G108">
            <v>0</v>
          </cell>
          <cell r="I108">
            <v>0</v>
          </cell>
        </row>
        <row r="118">
          <cell r="E118">
            <v>0</v>
          </cell>
          <cell r="G118">
            <v>0</v>
          </cell>
          <cell r="H118">
            <v>0</v>
          </cell>
          <cell r="I118">
            <v>0</v>
          </cell>
        </row>
        <row r="122">
          <cell r="E122">
            <v>0</v>
          </cell>
          <cell r="G122">
            <v>0</v>
          </cell>
          <cell r="H122">
            <v>0</v>
          </cell>
          <cell r="I122">
            <v>0</v>
          </cell>
        </row>
        <row r="132">
          <cell r="E132">
            <v>0</v>
          </cell>
          <cell r="G132">
            <v>0</v>
          </cell>
          <cell r="H132">
            <v>0</v>
          </cell>
          <cell r="I132">
            <v>0</v>
          </cell>
        </row>
        <row r="136">
          <cell r="E136">
            <v>0</v>
          </cell>
          <cell r="G136">
            <v>0</v>
          </cell>
          <cell r="H136">
            <v>0</v>
          </cell>
          <cell r="I136">
            <v>0</v>
          </cell>
        </row>
        <row r="150">
          <cell r="E150">
            <v>0</v>
          </cell>
          <cell r="G150">
            <v>0</v>
          </cell>
          <cell r="H150">
            <v>0</v>
          </cell>
          <cell r="I150">
            <v>0</v>
          </cell>
        </row>
        <row r="162">
          <cell r="E162">
            <v>0</v>
          </cell>
          <cell r="G162">
            <v>0</v>
          </cell>
          <cell r="H162">
            <v>0</v>
          </cell>
          <cell r="I162">
            <v>0</v>
          </cell>
        </row>
        <row r="168">
          <cell r="E168">
            <v>0</v>
          </cell>
          <cell r="G168">
            <v>0</v>
          </cell>
          <cell r="H168">
            <v>0</v>
          </cell>
          <cell r="I168">
            <v>0</v>
          </cell>
        </row>
        <row r="169">
          <cell r="E169">
            <v>0</v>
          </cell>
          <cell r="G169">
            <v>0</v>
          </cell>
          <cell r="H169">
            <v>0</v>
          </cell>
          <cell r="I169">
            <v>0</v>
          </cell>
        </row>
        <row r="170">
          <cell r="E170">
            <v>0</v>
          </cell>
          <cell r="G170">
            <v>0</v>
          </cell>
          <cell r="H170">
            <v>0</v>
          </cell>
          <cell r="I170">
            <v>0</v>
          </cell>
        </row>
        <row r="172">
          <cell r="E172">
            <v>0</v>
          </cell>
          <cell r="G172">
            <v>0</v>
          </cell>
          <cell r="I172">
            <v>0</v>
          </cell>
        </row>
        <row r="174">
          <cell r="E174">
            <v>0</v>
          </cell>
          <cell r="G174">
            <v>0</v>
          </cell>
          <cell r="I174">
            <v>0</v>
          </cell>
        </row>
        <row r="176">
          <cell r="E176">
            <v>0</v>
          </cell>
          <cell r="G176">
            <v>0</v>
          </cell>
          <cell r="I176">
            <v>0</v>
          </cell>
        </row>
        <row r="178">
          <cell r="E178">
            <v>0</v>
          </cell>
          <cell r="G178">
            <v>0</v>
          </cell>
          <cell r="I178">
            <v>0</v>
          </cell>
        </row>
        <row r="180">
          <cell r="E180">
            <v>0</v>
          </cell>
          <cell r="G180">
            <v>0</v>
          </cell>
          <cell r="I180">
            <v>0</v>
          </cell>
        </row>
        <row r="182">
          <cell r="E182">
            <v>0</v>
          </cell>
          <cell r="G182">
            <v>0</v>
          </cell>
          <cell r="I182">
            <v>0</v>
          </cell>
        </row>
        <row r="196">
          <cell r="E196">
            <v>0</v>
          </cell>
          <cell r="G196">
            <v>0</v>
          </cell>
          <cell r="H196">
            <v>0</v>
          </cell>
          <cell r="I196">
            <v>0</v>
          </cell>
        </row>
        <row r="204">
          <cell r="E204">
            <v>0</v>
          </cell>
          <cell r="G204">
            <v>0</v>
          </cell>
          <cell r="H204">
            <v>0</v>
          </cell>
          <cell r="I204">
            <v>0</v>
          </cell>
        </row>
        <row r="205">
          <cell r="E205">
            <v>0</v>
          </cell>
          <cell r="G205">
            <v>0</v>
          </cell>
          <cell r="H205">
            <v>0</v>
          </cell>
          <cell r="I205">
            <v>0</v>
          </cell>
        </row>
        <row r="221">
          <cell r="E221">
            <v>0</v>
          </cell>
          <cell r="G221">
            <v>0</v>
          </cell>
          <cell r="H221">
            <v>0</v>
          </cell>
          <cell r="I221">
            <v>0</v>
          </cell>
        </row>
        <row r="239">
          <cell r="E239">
            <v>0</v>
          </cell>
          <cell r="G239">
            <v>0</v>
          </cell>
          <cell r="H239">
            <v>0</v>
          </cell>
          <cell r="I239">
            <v>0</v>
          </cell>
        </row>
        <row r="251">
          <cell r="E251">
            <v>0</v>
          </cell>
          <cell r="G251">
            <v>0</v>
          </cell>
          <cell r="H251">
            <v>0</v>
          </cell>
          <cell r="I251">
            <v>0</v>
          </cell>
        </row>
        <row r="259">
          <cell r="E259">
            <v>0</v>
          </cell>
          <cell r="G259">
            <v>0</v>
          </cell>
          <cell r="H259">
            <v>0</v>
          </cell>
          <cell r="I259">
            <v>0</v>
          </cell>
        </row>
        <row r="265">
          <cell r="E265">
            <v>0</v>
          </cell>
          <cell r="G265">
            <v>0</v>
          </cell>
          <cell r="H265">
            <v>0</v>
          </cell>
          <cell r="I265">
            <v>0</v>
          </cell>
        </row>
        <row r="275">
          <cell r="E275">
            <v>0</v>
          </cell>
          <cell r="G275">
            <v>0</v>
          </cell>
          <cell r="I275">
            <v>0</v>
          </cell>
        </row>
        <row r="283">
          <cell r="E283">
            <v>0</v>
          </cell>
          <cell r="G283">
            <v>0</v>
          </cell>
          <cell r="I283">
            <v>0</v>
          </cell>
        </row>
        <row r="284">
          <cell r="E284">
            <v>0</v>
          </cell>
          <cell r="G284">
            <v>0</v>
          </cell>
          <cell r="H284">
            <v>0</v>
          </cell>
          <cell r="I284">
            <v>0</v>
          </cell>
        </row>
        <row r="285">
          <cell r="E285">
            <v>0</v>
          </cell>
          <cell r="G285">
            <v>0</v>
          </cell>
          <cell r="H285">
            <v>0</v>
          </cell>
          <cell r="I285">
            <v>0</v>
          </cell>
        </row>
        <row r="286">
          <cell r="E286">
            <v>0</v>
          </cell>
          <cell r="G286">
            <v>0</v>
          </cell>
          <cell r="H286">
            <v>0</v>
          </cell>
          <cell r="I286">
            <v>0</v>
          </cell>
        </row>
        <row r="287">
          <cell r="E287">
            <v>0</v>
          </cell>
          <cell r="G287">
            <v>0</v>
          </cell>
          <cell r="H287">
            <v>0</v>
          </cell>
          <cell r="I287">
            <v>0</v>
          </cell>
        </row>
        <row r="288">
          <cell r="E288">
            <v>0</v>
          </cell>
          <cell r="G288">
            <v>0</v>
          </cell>
          <cell r="H288">
            <v>0</v>
          </cell>
          <cell r="I288">
            <v>0</v>
          </cell>
        </row>
        <row r="289">
          <cell r="E289">
            <v>0</v>
          </cell>
          <cell r="G289">
            <v>0</v>
          </cell>
          <cell r="H289">
            <v>0</v>
          </cell>
          <cell r="I289">
            <v>0</v>
          </cell>
        </row>
        <row r="290">
          <cell r="E290">
            <v>0</v>
          </cell>
          <cell r="G290">
            <v>0</v>
          </cell>
          <cell r="H290">
            <v>0</v>
          </cell>
          <cell r="I290">
            <v>0</v>
          </cell>
        </row>
        <row r="291">
          <cell r="E291">
            <v>0</v>
          </cell>
          <cell r="G291">
            <v>0</v>
          </cell>
          <cell r="H291">
            <v>0</v>
          </cell>
          <cell r="I291">
            <v>0</v>
          </cell>
        </row>
        <row r="303">
          <cell r="E303">
            <v>0</v>
          </cell>
          <cell r="G303">
            <v>0</v>
          </cell>
          <cell r="H303">
            <v>0</v>
          </cell>
          <cell r="I303">
            <v>0</v>
          </cell>
        </row>
        <row r="311">
          <cell r="E311">
            <v>0</v>
          </cell>
          <cell r="G311">
            <v>0</v>
          </cell>
          <cell r="H311">
            <v>0</v>
          </cell>
          <cell r="I311">
            <v>0</v>
          </cell>
        </row>
        <row r="321">
          <cell r="E321">
            <v>0</v>
          </cell>
          <cell r="G321">
            <v>0</v>
          </cell>
          <cell r="H321">
            <v>0</v>
          </cell>
          <cell r="I321">
            <v>0</v>
          </cell>
        </row>
        <row r="337">
          <cell r="E337">
            <v>0</v>
          </cell>
          <cell r="G337">
            <v>0</v>
          </cell>
          <cell r="H337">
            <v>0</v>
          </cell>
          <cell r="I337">
            <v>0</v>
          </cell>
        </row>
        <row r="355">
          <cell r="E355">
            <v>0</v>
          </cell>
          <cell r="G355">
            <v>0</v>
          </cell>
          <cell r="H355">
            <v>0</v>
          </cell>
          <cell r="I355">
            <v>0</v>
          </cell>
        </row>
        <row r="371">
          <cell r="E371">
            <v>0</v>
          </cell>
          <cell r="G371">
            <v>0</v>
          </cell>
          <cell r="H371">
            <v>0</v>
          </cell>
          <cell r="I371">
            <v>0</v>
          </cell>
        </row>
        <row r="377">
          <cell r="E377">
            <v>0</v>
          </cell>
          <cell r="G377">
            <v>0</v>
          </cell>
          <cell r="H377">
            <v>0</v>
          </cell>
          <cell r="I377">
            <v>0</v>
          </cell>
        </row>
        <row r="387">
          <cell r="E387">
            <v>0</v>
          </cell>
          <cell r="G387">
            <v>0</v>
          </cell>
          <cell r="H387">
            <v>0</v>
          </cell>
          <cell r="I387">
            <v>0</v>
          </cell>
        </row>
        <row r="389">
          <cell r="F389">
            <v>0</v>
          </cell>
          <cell r="G389">
            <v>0</v>
          </cell>
          <cell r="H389">
            <v>0</v>
          </cell>
          <cell r="J389">
            <v>0</v>
          </cell>
        </row>
        <row r="391">
          <cell r="F391">
            <v>0</v>
          </cell>
          <cell r="G391">
            <v>0</v>
          </cell>
          <cell r="H391">
            <v>0</v>
          </cell>
          <cell r="J391">
            <v>0</v>
          </cell>
        </row>
        <row r="393">
          <cell r="F393">
            <v>0</v>
          </cell>
          <cell r="G393">
            <v>0</v>
          </cell>
          <cell r="H393">
            <v>0</v>
          </cell>
          <cell r="J393">
            <v>0</v>
          </cell>
        </row>
        <row r="395">
          <cell r="F395">
            <v>0</v>
          </cell>
          <cell r="G395">
            <v>0</v>
          </cell>
          <cell r="H395">
            <v>0</v>
          </cell>
          <cell r="J395">
            <v>0</v>
          </cell>
        </row>
        <row r="397">
          <cell r="F397">
            <v>0</v>
          </cell>
          <cell r="G397">
            <v>0</v>
          </cell>
          <cell r="H397">
            <v>0</v>
          </cell>
          <cell r="J397">
            <v>0</v>
          </cell>
        </row>
        <row r="399">
          <cell r="F399">
            <v>0</v>
          </cell>
          <cell r="G399">
            <v>0</v>
          </cell>
          <cell r="H399">
            <v>0</v>
          </cell>
          <cell r="J399">
            <v>0</v>
          </cell>
        </row>
        <row r="401">
          <cell r="F401">
            <v>0</v>
          </cell>
          <cell r="G401">
            <v>0</v>
          </cell>
          <cell r="H401">
            <v>0</v>
          </cell>
          <cell r="J401">
            <v>0</v>
          </cell>
        </row>
        <row r="403">
          <cell r="F403">
            <v>0</v>
          </cell>
          <cell r="G403">
            <v>0</v>
          </cell>
          <cell r="H403">
            <v>0</v>
          </cell>
          <cell r="J403">
            <v>0</v>
          </cell>
        </row>
        <row r="404">
          <cell r="J404">
            <v>0</v>
          </cell>
        </row>
        <row r="410">
          <cell r="F410">
            <v>0</v>
          </cell>
          <cell r="G410">
            <v>0</v>
          </cell>
          <cell r="H410">
            <v>0</v>
          </cell>
          <cell r="J410">
            <v>0</v>
          </cell>
        </row>
        <row r="412">
          <cell r="F412">
            <v>0</v>
          </cell>
          <cell r="G412">
            <v>0</v>
          </cell>
          <cell r="H412">
            <v>0</v>
          </cell>
          <cell r="J412">
            <v>0</v>
          </cell>
        </row>
        <row r="414">
          <cell r="F414">
            <v>0</v>
          </cell>
          <cell r="G414">
            <v>0</v>
          </cell>
          <cell r="H414">
            <v>0</v>
          </cell>
          <cell r="J414">
            <v>0</v>
          </cell>
        </row>
        <row r="416">
          <cell r="F416">
            <v>0</v>
          </cell>
          <cell r="G416">
            <v>0</v>
          </cell>
          <cell r="H416">
            <v>0</v>
          </cell>
          <cell r="J416">
            <v>0</v>
          </cell>
        </row>
        <row r="418">
          <cell r="F418">
            <v>0</v>
          </cell>
          <cell r="H418">
            <v>0</v>
          </cell>
          <cell r="J418">
            <v>0</v>
          </cell>
        </row>
        <row r="420">
          <cell r="F420">
            <v>0</v>
          </cell>
          <cell r="H420">
            <v>0</v>
          </cell>
          <cell r="J420">
            <v>0</v>
          </cell>
        </row>
        <row r="422">
          <cell r="J422">
            <v>0</v>
          </cell>
        </row>
        <row r="424">
          <cell r="F424">
            <v>0</v>
          </cell>
          <cell r="H424">
            <v>0</v>
          </cell>
          <cell r="J424">
            <v>0</v>
          </cell>
        </row>
        <row r="436">
          <cell r="F436">
            <v>0</v>
          </cell>
          <cell r="H436">
            <v>0</v>
          </cell>
          <cell r="J436">
            <v>0</v>
          </cell>
        </row>
        <row r="444">
          <cell r="F444">
            <v>0</v>
          </cell>
          <cell r="H444">
            <v>0</v>
          </cell>
          <cell r="J444">
            <v>0</v>
          </cell>
        </row>
        <row r="446">
          <cell r="F446">
            <v>0</v>
          </cell>
          <cell r="G446">
            <v>0</v>
          </cell>
          <cell r="H446">
            <v>0</v>
          </cell>
          <cell r="J446">
            <v>0</v>
          </cell>
        </row>
        <row r="448">
          <cell r="F448">
            <v>0</v>
          </cell>
          <cell r="G448">
            <v>0</v>
          </cell>
          <cell r="H448">
            <v>0</v>
          </cell>
          <cell r="J448">
            <v>0</v>
          </cell>
        </row>
        <row r="450">
          <cell r="F450">
            <v>0</v>
          </cell>
          <cell r="G450">
            <v>0</v>
          </cell>
          <cell r="H450">
            <v>0</v>
          </cell>
          <cell r="J450">
            <v>0</v>
          </cell>
        </row>
        <row r="452">
          <cell r="F452">
            <v>0</v>
          </cell>
          <cell r="G452">
            <v>0</v>
          </cell>
          <cell r="H452">
            <v>0</v>
          </cell>
          <cell r="J452">
            <v>0</v>
          </cell>
        </row>
        <row r="454">
          <cell r="F454">
            <v>0</v>
          </cell>
          <cell r="G454">
            <v>0</v>
          </cell>
          <cell r="H454">
            <v>0</v>
          </cell>
          <cell r="J454">
            <v>0</v>
          </cell>
        </row>
        <row r="456">
          <cell r="F456">
            <v>0</v>
          </cell>
          <cell r="G456">
            <v>0</v>
          </cell>
          <cell r="H456">
            <v>0</v>
          </cell>
          <cell r="J456">
            <v>0</v>
          </cell>
        </row>
        <row r="458">
          <cell r="F458">
            <v>0</v>
          </cell>
          <cell r="G458">
            <v>0</v>
          </cell>
          <cell r="H458">
            <v>0</v>
          </cell>
          <cell r="J458">
            <v>0</v>
          </cell>
        </row>
        <row r="459">
          <cell r="F459">
            <v>0</v>
          </cell>
          <cell r="G459">
            <v>0</v>
          </cell>
          <cell r="H459">
            <v>0</v>
          </cell>
          <cell r="J459">
            <v>0</v>
          </cell>
        </row>
        <row r="460">
          <cell r="F460">
            <v>0</v>
          </cell>
          <cell r="G460">
            <v>0</v>
          </cell>
          <cell r="H460">
            <v>0</v>
          </cell>
          <cell r="J460">
            <v>0</v>
          </cell>
        </row>
        <row r="461">
          <cell r="J461">
            <v>0</v>
          </cell>
        </row>
        <row r="462">
          <cell r="F462">
            <v>0</v>
          </cell>
          <cell r="G462">
            <v>0</v>
          </cell>
          <cell r="H462">
            <v>0</v>
          </cell>
          <cell r="J462">
            <v>0</v>
          </cell>
        </row>
        <row r="463">
          <cell r="F463">
            <v>0</v>
          </cell>
          <cell r="G463">
            <v>0</v>
          </cell>
          <cell r="H463">
            <v>0</v>
          </cell>
          <cell r="J463">
            <v>0</v>
          </cell>
        </row>
        <row r="464">
          <cell r="F464">
            <v>0</v>
          </cell>
          <cell r="G464">
            <v>0</v>
          </cell>
          <cell r="H464">
            <v>0</v>
          </cell>
          <cell r="J464">
            <v>0</v>
          </cell>
        </row>
        <row r="465">
          <cell r="J465">
            <v>0</v>
          </cell>
        </row>
        <row r="466">
          <cell r="J466">
            <v>0</v>
          </cell>
        </row>
        <row r="487">
          <cell r="F487">
            <v>0</v>
          </cell>
          <cell r="G487">
            <v>0</v>
          </cell>
          <cell r="H487">
            <v>0</v>
          </cell>
          <cell r="J487">
            <v>0</v>
          </cell>
        </row>
        <row r="489">
          <cell r="F489">
            <v>0</v>
          </cell>
          <cell r="G489">
            <v>0</v>
          </cell>
          <cell r="H489">
            <v>0</v>
          </cell>
          <cell r="J489">
            <v>0</v>
          </cell>
        </row>
        <row r="491">
          <cell r="F491">
            <v>0</v>
          </cell>
          <cell r="G491">
            <v>0</v>
          </cell>
          <cell r="H491">
            <v>0</v>
          </cell>
          <cell r="J491">
            <v>0</v>
          </cell>
        </row>
        <row r="493">
          <cell r="F493">
            <v>0</v>
          </cell>
          <cell r="G493">
            <v>0</v>
          </cell>
          <cell r="H493">
            <v>0</v>
          </cell>
          <cell r="J493">
            <v>0</v>
          </cell>
        </row>
        <row r="495">
          <cell r="F495">
            <v>0</v>
          </cell>
          <cell r="G495">
            <v>0</v>
          </cell>
          <cell r="H495">
            <v>0</v>
          </cell>
          <cell r="J495">
            <v>0</v>
          </cell>
        </row>
        <row r="497">
          <cell r="F497">
            <v>0</v>
          </cell>
          <cell r="G497">
            <v>0</v>
          </cell>
          <cell r="H497">
            <v>0</v>
          </cell>
          <cell r="J497">
            <v>0</v>
          </cell>
        </row>
        <row r="499">
          <cell r="F499">
            <v>0</v>
          </cell>
          <cell r="G499">
            <v>0</v>
          </cell>
          <cell r="H499">
            <v>0</v>
          </cell>
          <cell r="J499">
            <v>0</v>
          </cell>
        </row>
        <row r="501">
          <cell r="F501">
            <v>0</v>
          </cell>
          <cell r="G501">
            <v>0</v>
          </cell>
          <cell r="H501">
            <v>0</v>
          </cell>
          <cell r="J501">
            <v>0</v>
          </cell>
        </row>
        <row r="503">
          <cell r="F503">
            <v>0</v>
          </cell>
          <cell r="G503">
            <v>0</v>
          </cell>
          <cell r="H503">
            <v>0</v>
          </cell>
          <cell r="J503">
            <v>0</v>
          </cell>
        </row>
        <row r="505">
          <cell r="J505">
            <v>0</v>
          </cell>
        </row>
        <row r="516">
          <cell r="F516">
            <v>0</v>
          </cell>
          <cell r="G516">
            <v>0</v>
          </cell>
          <cell r="H516">
            <v>0</v>
          </cell>
          <cell r="J516">
            <v>0</v>
          </cell>
        </row>
        <row r="526">
          <cell r="J526">
            <v>0</v>
          </cell>
        </row>
        <row r="527">
          <cell r="F527">
            <v>0</v>
          </cell>
          <cell r="G527">
            <v>0</v>
          </cell>
          <cell r="H527">
            <v>0</v>
          </cell>
          <cell r="J527">
            <v>0</v>
          </cell>
        </row>
        <row r="533">
          <cell r="J533">
            <v>0</v>
          </cell>
        </row>
        <row r="547">
          <cell r="F547">
            <v>0</v>
          </cell>
          <cell r="G547">
            <v>0</v>
          </cell>
          <cell r="H547">
            <v>0</v>
          </cell>
          <cell r="J547">
            <v>0</v>
          </cell>
        </row>
        <row r="563">
          <cell r="F563">
            <v>0</v>
          </cell>
          <cell r="G563">
            <v>0</v>
          </cell>
          <cell r="H563">
            <v>0</v>
          </cell>
          <cell r="J563">
            <v>0</v>
          </cell>
        </row>
      </sheetData>
      <sheetData sheetId="28"/>
      <sheetData sheetId="29"/>
      <sheetData sheetId="30"/>
      <sheetData sheetId="31">
        <row r="18">
          <cell r="G18">
            <v>0</v>
          </cell>
          <cell r="I18">
            <v>0</v>
          </cell>
        </row>
        <row r="20">
          <cell r="G20">
            <v>0</v>
          </cell>
          <cell r="I20">
            <v>0</v>
          </cell>
        </row>
      </sheetData>
      <sheetData sheetId="32"/>
      <sheetData sheetId="33"/>
      <sheetData sheetId="34">
        <row r="10">
          <cell r="D10" t="str">
            <v>Année 2025</v>
          </cell>
          <cell r="E10" t="str">
            <v>Année 2024</v>
          </cell>
        </row>
        <row r="11">
          <cell r="J11">
            <v>0</v>
          </cell>
          <cell r="K11">
            <v>1</v>
          </cell>
          <cell r="L11">
            <v>0</v>
          </cell>
          <cell r="M11">
            <v>1</v>
          </cell>
        </row>
      </sheetData>
      <sheetData sheetId="35"/>
      <sheetData sheetId="36">
        <row r="10">
          <cell r="I10">
            <v>0</v>
          </cell>
        </row>
        <row r="16">
          <cell r="I16">
            <v>0</v>
          </cell>
        </row>
        <row r="22">
          <cell r="I22">
            <v>0</v>
          </cell>
        </row>
        <row r="23">
          <cell r="I23">
            <v>0</v>
          </cell>
        </row>
        <row r="24">
          <cell r="I24">
            <v>0</v>
          </cell>
        </row>
        <row r="25">
          <cell r="I25">
            <v>0</v>
          </cell>
        </row>
        <row r="26">
          <cell r="I26">
            <v>0</v>
          </cell>
        </row>
        <row r="27">
          <cell r="I27">
            <v>0</v>
          </cell>
        </row>
        <row r="28">
          <cell r="I28">
            <v>0</v>
          </cell>
        </row>
        <row r="29">
          <cell r="I29">
            <v>0</v>
          </cell>
        </row>
        <row r="30">
          <cell r="I30">
            <v>0</v>
          </cell>
        </row>
        <row r="40">
          <cell r="I40">
            <v>0</v>
          </cell>
        </row>
        <row r="41">
          <cell r="I41">
            <v>0</v>
          </cell>
        </row>
        <row r="47">
          <cell r="I47">
            <v>0</v>
          </cell>
        </row>
        <row r="53">
          <cell r="I53">
            <v>0</v>
          </cell>
        </row>
        <row r="59">
          <cell r="I59">
            <v>0</v>
          </cell>
        </row>
        <row r="65">
          <cell r="I65">
            <v>0</v>
          </cell>
        </row>
        <row r="71">
          <cell r="I71">
            <v>0</v>
          </cell>
        </row>
        <row r="77">
          <cell r="I77">
            <v>0</v>
          </cell>
        </row>
        <row r="83">
          <cell r="I83">
            <v>0</v>
          </cell>
        </row>
        <row r="84">
          <cell r="I84">
            <v>0</v>
          </cell>
        </row>
        <row r="85">
          <cell r="I85">
            <v>0</v>
          </cell>
        </row>
        <row r="93">
          <cell r="I93">
            <v>0</v>
          </cell>
        </row>
        <row r="99">
          <cell r="I99">
            <v>0</v>
          </cell>
        </row>
        <row r="107">
          <cell r="I107">
            <v>0</v>
          </cell>
        </row>
        <row r="115">
          <cell r="I115">
            <v>0</v>
          </cell>
        </row>
        <row r="116">
          <cell r="I116">
            <v>0</v>
          </cell>
        </row>
        <row r="117">
          <cell r="I117">
            <v>0</v>
          </cell>
        </row>
        <row r="118">
          <cell r="I118">
            <v>0</v>
          </cell>
        </row>
        <row r="119">
          <cell r="I119">
            <v>0</v>
          </cell>
        </row>
        <row r="125">
          <cell r="I125">
            <v>0</v>
          </cell>
        </row>
        <row r="126">
          <cell r="I126">
            <v>0</v>
          </cell>
        </row>
        <row r="127">
          <cell r="F127">
            <v>0</v>
          </cell>
          <cell r="G127">
            <v>0</v>
          </cell>
          <cell r="H127">
            <v>0</v>
          </cell>
          <cell r="J127">
            <v>0</v>
          </cell>
        </row>
        <row r="128">
          <cell r="F128">
            <v>0</v>
          </cell>
          <cell r="G128">
            <v>0</v>
          </cell>
          <cell r="H128">
            <v>0</v>
          </cell>
          <cell r="J128">
            <v>0</v>
          </cell>
        </row>
        <row r="129">
          <cell r="F129">
            <v>0</v>
          </cell>
          <cell r="G129">
            <v>0</v>
          </cell>
          <cell r="H129">
            <v>0</v>
          </cell>
          <cell r="J129">
            <v>0</v>
          </cell>
        </row>
        <row r="130">
          <cell r="F130">
            <v>0</v>
          </cell>
          <cell r="G130">
            <v>0</v>
          </cell>
          <cell r="H130">
            <v>0</v>
          </cell>
          <cell r="J130">
            <v>0</v>
          </cell>
        </row>
        <row r="131">
          <cell r="F131">
            <v>0</v>
          </cell>
          <cell r="G131">
            <v>0</v>
          </cell>
          <cell r="H131">
            <v>0</v>
          </cell>
          <cell r="J131">
            <v>0</v>
          </cell>
        </row>
        <row r="132">
          <cell r="F132">
            <v>0</v>
          </cell>
          <cell r="G132">
            <v>0</v>
          </cell>
          <cell r="H132">
            <v>0</v>
          </cell>
          <cell r="J132">
            <v>0</v>
          </cell>
        </row>
        <row r="133">
          <cell r="F133">
            <v>0</v>
          </cell>
          <cell r="G133">
            <v>0</v>
          </cell>
          <cell r="H133">
            <v>0</v>
          </cell>
          <cell r="J133">
            <v>0</v>
          </cell>
        </row>
        <row r="134">
          <cell r="F134">
            <v>0</v>
          </cell>
          <cell r="G134">
            <v>0</v>
          </cell>
          <cell r="H134">
            <v>0</v>
          </cell>
          <cell r="J134">
            <v>0</v>
          </cell>
        </row>
      </sheetData>
      <sheetData sheetId="37"/>
      <sheetData sheetId="38">
        <row r="19">
          <cell r="G19">
            <v>0</v>
          </cell>
          <cell r="H19">
            <v>0</v>
          </cell>
          <cell r="I19">
            <v>0</v>
          </cell>
        </row>
        <row r="21">
          <cell r="G21">
            <v>0</v>
          </cell>
          <cell r="H21">
            <v>0</v>
          </cell>
          <cell r="I21">
            <v>0</v>
          </cell>
        </row>
        <row r="25">
          <cell r="I25">
            <v>0</v>
          </cell>
        </row>
      </sheetData>
      <sheetData sheetId="39">
        <row r="22">
          <cell r="G22">
            <v>0</v>
          </cell>
          <cell r="H22">
            <v>0</v>
          </cell>
          <cell r="I22">
            <v>0</v>
          </cell>
        </row>
      </sheetData>
      <sheetData sheetId="40">
        <row r="14">
          <cell r="D14" t="str">
            <v>60…</v>
          </cell>
          <cell r="F14" t="str">
            <v>60…</v>
          </cell>
        </row>
        <row r="15">
          <cell r="D15" t="str">
            <v>61…</v>
          </cell>
          <cell r="F15" t="str">
            <v>61…</v>
          </cell>
        </row>
        <row r="16">
          <cell r="D16" t="str">
            <v>62…</v>
          </cell>
          <cell r="F16" t="str">
            <v>62…</v>
          </cell>
        </row>
        <row r="17">
          <cell r="D17" t="str">
            <v>63…</v>
          </cell>
          <cell r="F17" t="str">
            <v>63…</v>
          </cell>
        </row>
        <row r="25">
          <cell r="D25" t="str">
            <v>….</v>
          </cell>
          <cell r="F25" t="str">
            <v>…</v>
          </cell>
        </row>
      </sheetData>
      <sheetData sheetId="41">
        <row r="22">
          <cell r="I22">
            <v>0</v>
          </cell>
        </row>
      </sheetData>
      <sheetData sheetId="42"/>
      <sheetData sheetId="43"/>
      <sheetData sheetId="44"/>
      <sheetData sheetId="45"/>
      <sheetData sheetId="46">
        <row r="11">
          <cell r="H11">
            <v>0</v>
          </cell>
        </row>
        <row r="27">
          <cell r="H27">
            <v>0</v>
          </cell>
        </row>
      </sheetData>
      <sheetData sheetId="47">
        <row r="10">
          <cell r="H10">
            <v>500000</v>
          </cell>
        </row>
        <row r="14">
          <cell r="G14">
            <v>0</v>
          </cell>
        </row>
        <row r="15">
          <cell r="G15">
            <v>0</v>
          </cell>
        </row>
        <row r="16">
          <cell r="G16">
            <v>0</v>
          </cell>
        </row>
        <row r="17">
          <cell r="G17">
            <v>0</v>
          </cell>
        </row>
        <row r="18">
          <cell r="G18">
            <v>0</v>
          </cell>
        </row>
        <row r="19">
          <cell r="G19">
            <v>0</v>
          </cell>
        </row>
        <row r="20">
          <cell r="G20">
            <v>0</v>
          </cell>
        </row>
        <row r="21">
          <cell r="G21">
            <v>0</v>
          </cell>
        </row>
        <row r="22">
          <cell r="G22">
            <v>0</v>
          </cell>
        </row>
        <row r="23">
          <cell r="G23">
            <v>0</v>
          </cell>
        </row>
        <row r="24">
          <cell r="G24">
            <v>0</v>
          </cell>
        </row>
        <row r="25">
          <cell r="G25">
            <v>0</v>
          </cell>
        </row>
        <row r="26">
          <cell r="G26">
            <v>0</v>
          </cell>
        </row>
        <row r="27">
          <cell r="G27">
            <v>0</v>
          </cell>
        </row>
        <row r="28">
          <cell r="G28">
            <v>0</v>
          </cell>
        </row>
      </sheetData>
      <sheetData sheetId="48"/>
      <sheetData sheetId="49">
        <row r="16">
          <cell r="J16">
            <v>0</v>
          </cell>
        </row>
        <row r="24">
          <cell r="J24">
            <v>0</v>
          </cell>
        </row>
        <row r="25">
          <cell r="J25">
            <v>0</v>
          </cell>
        </row>
        <row r="37">
          <cell r="J37">
            <v>0</v>
          </cell>
        </row>
        <row r="39">
          <cell r="F39">
            <v>0</v>
          </cell>
          <cell r="J39">
            <v>0</v>
          </cell>
        </row>
        <row r="41">
          <cell r="F41">
            <v>0</v>
          </cell>
          <cell r="J41">
            <v>0</v>
          </cell>
        </row>
        <row r="43">
          <cell r="F43">
            <v>0</v>
          </cell>
          <cell r="J43">
            <v>0</v>
          </cell>
        </row>
        <row r="45">
          <cell r="F45">
            <v>0</v>
          </cell>
          <cell r="J45">
            <v>0</v>
          </cell>
        </row>
        <row r="47">
          <cell r="F47">
            <v>0</v>
          </cell>
          <cell r="J47">
            <v>0</v>
          </cell>
        </row>
        <row r="49">
          <cell r="J49">
            <v>0</v>
          </cell>
        </row>
        <row r="55">
          <cell r="F55">
            <v>0</v>
          </cell>
          <cell r="J55">
            <v>0</v>
          </cell>
        </row>
        <row r="56">
          <cell r="I56">
            <v>0</v>
          </cell>
        </row>
        <row r="57">
          <cell r="F57">
            <v>0</v>
          </cell>
          <cell r="J57">
            <v>0</v>
          </cell>
        </row>
        <row r="58">
          <cell r="F58">
            <v>0</v>
          </cell>
          <cell r="J58">
            <v>0</v>
          </cell>
        </row>
        <row r="60">
          <cell r="F60">
            <v>0</v>
          </cell>
          <cell r="J60">
            <v>0</v>
          </cell>
        </row>
        <row r="62">
          <cell r="F62">
            <v>0</v>
          </cell>
          <cell r="J62">
            <v>0</v>
          </cell>
        </row>
        <row r="64">
          <cell r="F64">
            <v>0</v>
          </cell>
          <cell r="J64">
            <v>0</v>
          </cell>
        </row>
        <row r="66">
          <cell r="F66">
            <v>0</v>
          </cell>
          <cell r="J66">
            <v>0</v>
          </cell>
        </row>
        <row r="68">
          <cell r="J68">
            <v>0</v>
          </cell>
        </row>
        <row r="74">
          <cell r="F74">
            <v>0</v>
          </cell>
          <cell r="J74">
            <v>0</v>
          </cell>
        </row>
        <row r="75">
          <cell r="F75">
            <v>0</v>
          </cell>
        </row>
        <row r="76">
          <cell r="K76">
            <v>0</v>
          </cell>
        </row>
        <row r="81">
          <cell r="E81">
            <v>0</v>
          </cell>
        </row>
        <row r="107">
          <cell r="F107">
            <v>0</v>
          </cell>
          <cell r="J107">
            <v>0</v>
          </cell>
        </row>
        <row r="109">
          <cell r="F109">
            <v>0</v>
          </cell>
          <cell r="J109">
            <v>0</v>
          </cell>
        </row>
        <row r="111">
          <cell r="F111">
            <v>0</v>
          </cell>
          <cell r="J111">
            <v>0</v>
          </cell>
        </row>
        <row r="113">
          <cell r="F113">
            <v>0</v>
          </cell>
          <cell r="J113">
            <v>0</v>
          </cell>
        </row>
        <row r="115">
          <cell r="F115">
            <v>0</v>
          </cell>
          <cell r="J115">
            <v>0</v>
          </cell>
        </row>
        <row r="117">
          <cell r="F117">
            <v>0</v>
          </cell>
          <cell r="J117">
            <v>0</v>
          </cell>
        </row>
        <row r="119">
          <cell r="F119">
            <v>0</v>
          </cell>
          <cell r="J119">
            <v>0</v>
          </cell>
        </row>
        <row r="121">
          <cell r="J121">
            <v>0</v>
          </cell>
        </row>
        <row r="123">
          <cell r="J123">
            <v>0</v>
          </cell>
        </row>
        <row r="124">
          <cell r="J124">
            <v>0</v>
          </cell>
        </row>
        <row r="125">
          <cell r="F125">
            <v>0</v>
          </cell>
          <cell r="J125">
            <v>0</v>
          </cell>
        </row>
        <row r="126">
          <cell r="F126">
            <v>0</v>
          </cell>
          <cell r="J126">
            <v>0</v>
          </cell>
        </row>
        <row r="132">
          <cell r="F132">
            <v>0</v>
          </cell>
          <cell r="J132">
            <v>0</v>
          </cell>
        </row>
        <row r="133">
          <cell r="F133">
            <v>0</v>
          </cell>
          <cell r="H133">
            <v>0</v>
          </cell>
          <cell r="J133">
            <v>0</v>
          </cell>
        </row>
        <row r="135">
          <cell r="F135">
            <v>0</v>
          </cell>
          <cell r="J135">
            <v>0</v>
          </cell>
        </row>
        <row r="137">
          <cell r="J137">
            <v>0</v>
          </cell>
        </row>
        <row r="143">
          <cell r="F143">
            <v>0</v>
          </cell>
          <cell r="J143">
            <v>0</v>
          </cell>
        </row>
        <row r="144">
          <cell r="F144">
            <v>0</v>
          </cell>
          <cell r="J144">
            <v>0</v>
          </cell>
        </row>
        <row r="145">
          <cell r="F145">
            <v>0</v>
          </cell>
          <cell r="J145">
            <v>0</v>
          </cell>
        </row>
        <row r="155">
          <cell r="F155">
            <v>0</v>
          </cell>
          <cell r="J155">
            <v>0</v>
          </cell>
        </row>
        <row r="156">
          <cell r="F156">
            <v>0</v>
          </cell>
          <cell r="J156">
            <v>0</v>
          </cell>
        </row>
        <row r="157">
          <cell r="F157">
            <v>0</v>
          </cell>
          <cell r="J157">
            <v>0</v>
          </cell>
        </row>
        <row r="158">
          <cell r="J158">
            <v>0</v>
          </cell>
        </row>
        <row r="164">
          <cell r="F164">
            <v>0</v>
          </cell>
          <cell r="J164">
            <v>0</v>
          </cell>
        </row>
        <row r="180">
          <cell r="F180">
            <v>0</v>
          </cell>
          <cell r="J180">
            <v>0</v>
          </cell>
        </row>
        <row r="190">
          <cell r="F190">
            <v>0</v>
          </cell>
          <cell r="J190">
            <v>0</v>
          </cell>
        </row>
        <row r="204">
          <cell r="F204">
            <v>0</v>
          </cell>
          <cell r="J204">
            <v>0</v>
          </cell>
        </row>
        <row r="205">
          <cell r="F205">
            <v>0</v>
          </cell>
          <cell r="J205">
            <v>0</v>
          </cell>
        </row>
        <row r="206">
          <cell r="F206">
            <v>0</v>
          </cell>
          <cell r="J206">
            <v>0</v>
          </cell>
        </row>
        <row r="207">
          <cell r="F207">
            <v>0</v>
          </cell>
          <cell r="J207">
            <v>0</v>
          </cell>
        </row>
        <row r="217">
          <cell r="F217">
            <v>0</v>
          </cell>
          <cell r="J217">
            <v>0</v>
          </cell>
        </row>
        <row r="218">
          <cell r="F218">
            <v>0</v>
          </cell>
          <cell r="J218">
            <v>0</v>
          </cell>
        </row>
        <row r="224">
          <cell r="F224">
            <v>0</v>
          </cell>
          <cell r="J224">
            <v>0</v>
          </cell>
        </row>
        <row r="225">
          <cell r="F225">
            <v>0</v>
          </cell>
          <cell r="J225">
            <v>0</v>
          </cell>
        </row>
        <row r="226">
          <cell r="F226">
            <v>0</v>
          </cell>
          <cell r="J226">
            <v>0</v>
          </cell>
        </row>
        <row r="227">
          <cell r="F227">
            <v>0</v>
          </cell>
          <cell r="J227">
            <v>0</v>
          </cell>
        </row>
        <row r="229">
          <cell r="I229">
            <v>0</v>
          </cell>
        </row>
        <row r="231">
          <cell r="F231">
            <v>0</v>
          </cell>
          <cell r="J231">
            <v>0</v>
          </cell>
        </row>
        <row r="234">
          <cell r="F234">
            <v>0</v>
          </cell>
          <cell r="J234">
            <v>0</v>
          </cell>
        </row>
        <row r="235">
          <cell r="F235">
            <v>0</v>
          </cell>
          <cell r="I235">
            <v>0</v>
          </cell>
          <cell r="J235">
            <v>0</v>
          </cell>
        </row>
        <row r="236">
          <cell r="I236">
            <v>0</v>
          </cell>
        </row>
        <row r="237">
          <cell r="F237">
            <v>0</v>
          </cell>
          <cell r="G237">
            <v>0</v>
          </cell>
          <cell r="H237">
            <v>0</v>
          </cell>
          <cell r="J237">
            <v>0</v>
          </cell>
        </row>
        <row r="238">
          <cell r="F238">
            <v>0</v>
          </cell>
          <cell r="G238">
            <v>0</v>
          </cell>
          <cell r="H238">
            <v>0</v>
          </cell>
          <cell r="J238">
            <v>0</v>
          </cell>
        </row>
        <row r="239">
          <cell r="F239">
            <v>0</v>
          </cell>
          <cell r="G239">
            <v>0</v>
          </cell>
          <cell r="H239">
            <v>0</v>
          </cell>
          <cell r="J239">
            <v>0</v>
          </cell>
        </row>
        <row r="240">
          <cell r="F240">
            <v>0</v>
          </cell>
          <cell r="G240">
            <v>0</v>
          </cell>
          <cell r="H240">
            <v>0</v>
          </cell>
          <cell r="J240">
            <v>0</v>
          </cell>
        </row>
        <row r="241">
          <cell r="F241">
            <v>0</v>
          </cell>
          <cell r="G241">
            <v>0</v>
          </cell>
          <cell r="H241">
            <v>0</v>
          </cell>
          <cell r="J241">
            <v>0</v>
          </cell>
        </row>
        <row r="243">
          <cell r="J243">
            <v>0</v>
          </cell>
        </row>
        <row r="245">
          <cell r="F245">
            <v>0</v>
          </cell>
          <cell r="J245">
            <v>0</v>
          </cell>
        </row>
        <row r="247">
          <cell r="F247">
            <v>0</v>
          </cell>
          <cell r="G247">
            <v>0</v>
          </cell>
          <cell r="H247">
            <v>0</v>
          </cell>
          <cell r="J247">
            <v>0</v>
          </cell>
        </row>
        <row r="248">
          <cell r="F248">
            <v>0</v>
          </cell>
          <cell r="G248">
            <v>0</v>
          </cell>
          <cell r="H248">
            <v>0</v>
          </cell>
          <cell r="J248">
            <v>0</v>
          </cell>
        </row>
        <row r="250">
          <cell r="F250">
            <v>0</v>
          </cell>
          <cell r="J250">
            <v>0</v>
          </cell>
        </row>
        <row r="252">
          <cell r="F252">
            <v>0</v>
          </cell>
          <cell r="J252">
            <v>0</v>
          </cell>
        </row>
        <row r="254">
          <cell r="F254">
            <v>0</v>
          </cell>
          <cell r="J254">
            <v>0</v>
          </cell>
        </row>
        <row r="256">
          <cell r="F256">
            <v>0</v>
          </cell>
          <cell r="J256">
            <v>0</v>
          </cell>
        </row>
        <row r="258">
          <cell r="F258">
            <v>0</v>
          </cell>
          <cell r="J258">
            <v>0</v>
          </cell>
        </row>
        <row r="260">
          <cell r="F260">
            <v>0</v>
          </cell>
          <cell r="G260">
            <v>0</v>
          </cell>
          <cell r="H260">
            <v>0</v>
          </cell>
          <cell r="J260">
            <v>0</v>
          </cell>
        </row>
      </sheetData>
      <sheetData sheetId="50">
        <row r="20">
          <cell r="I20">
            <v>0</v>
          </cell>
          <cell r="J20">
            <v>0</v>
          </cell>
        </row>
        <row r="23">
          <cell r="D23" t="str">
            <v>3E</v>
          </cell>
        </row>
        <row r="28">
          <cell r="I28">
            <v>0</v>
          </cell>
          <cell r="J28">
            <v>0</v>
          </cell>
        </row>
        <row r="29">
          <cell r="I29">
            <v>0</v>
          </cell>
          <cell r="J29">
            <v>0</v>
          </cell>
        </row>
      </sheetData>
      <sheetData sheetId="51">
        <row r="15">
          <cell r="E15" t="str">
            <v xml:space="preserve"> </v>
          </cell>
        </row>
        <row r="16">
          <cell r="F16">
            <v>0</v>
          </cell>
          <cell r="G16">
            <v>0</v>
          </cell>
          <cell r="J16">
            <v>0</v>
          </cell>
        </row>
      </sheetData>
      <sheetData sheetId="52">
        <row r="22">
          <cell r="H22">
            <v>0</v>
          </cell>
          <cell r="I22">
            <v>0</v>
          </cell>
          <cell r="J22">
            <v>0</v>
          </cell>
        </row>
        <row r="28">
          <cell r="H28">
            <v>0</v>
          </cell>
          <cell r="I28">
            <v>0</v>
          </cell>
          <cell r="J28">
            <v>0</v>
          </cell>
        </row>
        <row r="42">
          <cell r="H42">
            <v>0</v>
          </cell>
          <cell r="I42">
            <v>0</v>
          </cell>
          <cell r="J42">
            <v>0</v>
          </cell>
        </row>
      </sheetData>
      <sheetData sheetId="53">
        <row r="1">
          <cell r="B1">
            <v>0</v>
          </cell>
        </row>
      </sheetData>
      <sheetData sheetId="54"/>
      <sheetData sheetId="55">
        <row r="22">
          <cell r="E22">
            <v>0</v>
          </cell>
          <cell r="F22">
            <v>0</v>
          </cell>
          <cell r="G22">
            <v>0</v>
          </cell>
          <cell r="H22">
            <v>0</v>
          </cell>
        </row>
      </sheetData>
      <sheetData sheetId="56"/>
      <sheetData sheetId="57"/>
      <sheetData sheetId="58">
        <row r="17">
          <cell r="H17">
            <v>0</v>
          </cell>
        </row>
      </sheetData>
      <sheetData sheetId="59">
        <row r="28">
          <cell r="H28">
            <v>0</v>
          </cell>
          <cell r="I28">
            <v>0</v>
          </cell>
          <cell r="J28">
            <v>0</v>
          </cell>
        </row>
        <row r="29">
          <cell r="H29">
            <v>0</v>
          </cell>
          <cell r="I29">
            <v>0</v>
          </cell>
          <cell r="J29">
            <v>0</v>
          </cell>
        </row>
      </sheetData>
      <sheetData sheetId="60">
        <row r="17">
          <cell r="J17">
            <v>0</v>
          </cell>
          <cell r="K17">
            <v>0</v>
          </cell>
          <cell r="L17">
            <v>0</v>
          </cell>
        </row>
        <row r="25">
          <cell r="J25">
            <v>0</v>
          </cell>
          <cell r="K25">
            <v>0</v>
          </cell>
          <cell r="L25">
            <v>0</v>
          </cell>
        </row>
      </sheetData>
      <sheetData sheetId="61"/>
      <sheetData sheetId="62"/>
      <sheetData sheetId="63"/>
      <sheetData sheetId="64">
        <row r="21">
          <cell r="C21">
            <v>0</v>
          </cell>
        </row>
      </sheetData>
      <sheetData sheetId="65"/>
      <sheetData sheetId="66"/>
      <sheetData sheetId="67"/>
      <sheetData sheetId="68"/>
      <sheetData sheetId="69">
        <row r="22">
          <cell r="F22">
            <v>0</v>
          </cell>
        </row>
      </sheetData>
      <sheetData sheetId="70"/>
      <sheetData sheetId="71"/>
      <sheetData sheetId="72"/>
      <sheetData sheetId="73"/>
      <sheetData sheetId="74"/>
      <sheetData sheetId="75">
        <row r="10">
          <cell r="D10">
            <v>2025</v>
          </cell>
          <cell r="E10">
            <v>2024</v>
          </cell>
          <cell r="F10">
            <v>2023</v>
          </cell>
          <cell r="G10">
            <v>2022</v>
          </cell>
          <cell r="H10">
            <v>2021</v>
          </cell>
        </row>
        <row r="13">
          <cell r="D13">
            <v>0</v>
          </cell>
          <cell r="E13">
            <v>0</v>
          </cell>
        </row>
        <row r="20">
          <cell r="D20">
            <v>0</v>
          </cell>
          <cell r="E20">
            <v>0</v>
          </cell>
        </row>
        <row r="21">
          <cell r="D21">
            <v>0</v>
          </cell>
          <cell r="E21">
            <v>0</v>
          </cell>
        </row>
        <row r="23">
          <cell r="D23">
            <v>0</v>
          </cell>
          <cell r="E23">
            <v>0</v>
          </cell>
        </row>
        <row r="24">
          <cell r="D24">
            <v>0</v>
          </cell>
          <cell r="E24">
            <v>0</v>
          </cell>
        </row>
        <row r="25">
          <cell r="D25">
            <v>0</v>
          </cell>
          <cell r="E25">
            <v>0</v>
          </cell>
        </row>
        <row r="27">
          <cell r="D27">
            <v>0</v>
          </cell>
          <cell r="E27">
            <v>0</v>
          </cell>
        </row>
        <row r="28">
          <cell r="D28" t="str">
            <v/>
          </cell>
          <cell r="E28" t="str">
            <v/>
          </cell>
        </row>
        <row r="32">
          <cell r="D32">
            <v>0</v>
          </cell>
          <cell r="E32">
            <v>0</v>
          </cell>
        </row>
        <row r="33">
          <cell r="D33">
            <v>0</v>
          </cell>
          <cell r="E33">
            <v>0</v>
          </cell>
        </row>
        <row r="34">
          <cell r="D34">
            <v>0</v>
          </cell>
          <cell r="E34">
            <v>0</v>
          </cell>
        </row>
      </sheetData>
      <sheetData sheetId="76">
        <row r="38">
          <cell r="C38">
            <v>0</v>
          </cell>
          <cell r="D38">
            <v>0</v>
          </cell>
          <cell r="E38">
            <v>0</v>
          </cell>
          <cell r="F38">
            <v>0</v>
          </cell>
          <cell r="G38">
            <v>0</v>
          </cell>
          <cell r="H38">
            <v>0</v>
          </cell>
          <cell r="I38">
            <v>0</v>
          </cell>
          <cell r="J38">
            <v>0</v>
          </cell>
          <cell r="K38">
            <v>0</v>
          </cell>
        </row>
      </sheetData>
      <sheetData sheetId="77">
        <row r="37">
          <cell r="B37" t="str">
            <v>NON VENTILÉS</v>
          </cell>
        </row>
        <row r="38">
          <cell r="B38" t="str">
            <v>TOTAL</v>
          </cell>
        </row>
      </sheetData>
      <sheetData sheetId="78"/>
      <sheetData sheetId="79"/>
      <sheetData sheetId="80"/>
      <sheetData sheetId="81"/>
      <sheetData sheetId="82"/>
      <sheetData sheetId="83">
        <row r="4">
          <cell r="C4" t="str">
            <v/>
          </cell>
        </row>
        <row r="5">
          <cell r="C5" t="str">
            <v/>
          </cell>
        </row>
        <row r="6">
          <cell r="C6">
            <v>0</v>
          </cell>
          <cell r="H6" t="str">
            <v/>
          </cell>
        </row>
        <row r="7">
          <cell r="C7" t="str">
            <v/>
          </cell>
          <cell r="F7">
            <v>2025</v>
          </cell>
          <cell r="H7">
            <v>12</v>
          </cell>
        </row>
      </sheetData>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vmlDrawing" Target="../drawings/vmlDrawing1.vml"/><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trlProp" Target="../ctrlProps/ctrlProp11.xml"/><Relationship Id="rId2" Type="http://schemas.openxmlformats.org/officeDocument/2006/relationships/printerSettings" Target="../printerSettings/printerSettings2.bin"/><Relationship Id="rId1" Type="http://schemas.openxmlformats.org/officeDocument/2006/relationships/hyperlink" Target="mailto:boubasow1010@gmail.com" TargetMode="External"/><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6.bin"/><Relationship Id="rId4" Type="http://schemas.openxmlformats.org/officeDocument/2006/relationships/ctrlProp" Target="../ctrlProps/ctrlProp1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56.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5.xml"/><Relationship Id="rId1" Type="http://schemas.openxmlformats.org/officeDocument/2006/relationships/printerSettings" Target="../printerSettings/printerSettings60.bin"/><Relationship Id="rId4" Type="http://schemas.openxmlformats.org/officeDocument/2006/relationships/ctrlProp" Target="../ctrlProps/ctrlProp17.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6.xml"/><Relationship Id="rId1" Type="http://schemas.openxmlformats.org/officeDocument/2006/relationships/printerSettings" Target="../printerSettings/printerSettings61.bin"/><Relationship Id="rId4" Type="http://schemas.openxmlformats.org/officeDocument/2006/relationships/ctrlProp" Target="../ctrlProps/ctrlProp18.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7.xml"/><Relationship Id="rId1" Type="http://schemas.openxmlformats.org/officeDocument/2006/relationships/printerSettings" Target="../printerSettings/printerSettings62.bin"/><Relationship Id="rId4" Type="http://schemas.openxmlformats.org/officeDocument/2006/relationships/ctrlProp" Target="../ctrlProps/ctrlProp19.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S134"/>
  <sheetViews>
    <sheetView showGridLines="0" topLeftCell="A123" zoomScale="70" zoomScaleNormal="70" workbookViewId="0">
      <selection activeCell="S138" sqref="S138"/>
    </sheetView>
  </sheetViews>
  <sheetFormatPr baseColWidth="10" defaultColWidth="11.42578125" defaultRowHeight="15"/>
  <cols>
    <col min="1" max="1" width="1.5703125" style="2" customWidth="1"/>
    <col min="2" max="2" width="11.28515625" style="2" customWidth="1"/>
    <col min="3" max="3" width="26.42578125" style="2" customWidth="1"/>
    <col min="4" max="4" width="6.85546875" style="2" customWidth="1"/>
    <col min="5" max="5" width="8.85546875" style="2" customWidth="1"/>
    <col min="6" max="6" width="8.28515625" style="2" customWidth="1"/>
    <col min="7" max="7" width="8.5703125" style="2" customWidth="1"/>
    <col min="8" max="8" width="4" style="2" customWidth="1"/>
    <col min="9" max="9" width="7.140625" style="2" customWidth="1"/>
    <col min="10" max="10" width="3.42578125" style="2" customWidth="1"/>
    <col min="11" max="11" width="2.85546875" style="2" customWidth="1"/>
    <col min="12" max="12" width="6.5703125" style="2" customWidth="1"/>
    <col min="13" max="13" width="11.42578125" style="2"/>
    <col min="14" max="14" width="9.5703125" style="2" customWidth="1"/>
    <col min="15" max="15" width="11.42578125" style="2"/>
    <col min="16" max="16" width="24.85546875" style="2" customWidth="1"/>
    <col min="17" max="17" width="4.42578125" style="2" customWidth="1"/>
    <col min="18" max="16384" width="11.42578125" style="2"/>
  </cols>
  <sheetData>
    <row r="1" spans="1:19" ht="15.75">
      <c r="A1" s="1">
        <v>2019</v>
      </c>
      <c r="C1" s="1364"/>
      <c r="D1" s="1364"/>
      <c r="E1" s="1364"/>
      <c r="F1" s="1364"/>
      <c r="G1" s="1364"/>
      <c r="H1" s="1364"/>
      <c r="I1" s="1364"/>
      <c r="J1" s="1364"/>
      <c r="K1" s="1364"/>
      <c r="L1" s="1364"/>
      <c r="M1" s="1364"/>
      <c r="N1" s="1364"/>
      <c r="O1" s="1364"/>
      <c r="P1" s="1364"/>
    </row>
    <row r="3" spans="1:19" ht="24" customHeight="1">
      <c r="C3" s="3" t="str">
        <f>IF([1]ACCUEIL!B1=1,"  REPUBLIC:","   REPUBLIQUE:")</f>
        <v xml:space="preserve">   REPUBLIQUE:</v>
      </c>
      <c r="D3" s="4" t="str">
        <f>IF(D90&lt;&gt;"",D90,"")</f>
        <v>DE GUINEE</v>
      </c>
      <c r="E3" s="5"/>
      <c r="F3" s="5"/>
      <c r="G3" s="5"/>
      <c r="H3" s="5"/>
      <c r="I3" s="5"/>
      <c r="J3" s="5"/>
      <c r="K3" s="5"/>
      <c r="L3" s="6"/>
      <c r="M3" s="6"/>
      <c r="N3" s="6"/>
      <c r="O3" s="6"/>
      <c r="P3" s="7"/>
    </row>
    <row r="4" spans="1:19" ht="24" customHeight="1">
      <c r="C4" s="8"/>
      <c r="D4" s="9"/>
      <c r="E4" s="9"/>
      <c r="F4" s="9"/>
      <c r="G4" s="9"/>
      <c r="H4" s="9"/>
      <c r="I4" s="10"/>
      <c r="J4" s="9"/>
      <c r="K4" s="9"/>
      <c r="P4" s="11"/>
    </row>
    <row r="5" spans="1:19" ht="24" customHeight="1">
      <c r="C5" s="8"/>
      <c r="D5" s="9"/>
      <c r="E5" s="9"/>
      <c r="F5" s="9"/>
      <c r="G5" s="9"/>
      <c r="H5" s="9"/>
      <c r="I5" s="9"/>
      <c r="J5" s="9"/>
      <c r="K5" s="9"/>
      <c r="P5" s="11"/>
    </row>
    <row r="6" spans="1:19" ht="24" customHeight="1">
      <c r="C6" s="8"/>
      <c r="D6" s="9"/>
      <c r="E6" s="9"/>
      <c r="F6" s="9"/>
      <c r="G6" s="9"/>
      <c r="H6" s="9"/>
      <c r="I6" s="10"/>
      <c r="J6" s="9"/>
      <c r="K6" s="9"/>
      <c r="P6" s="11"/>
    </row>
    <row r="7" spans="1:19" ht="24" customHeight="1">
      <c r="C7" s="8"/>
      <c r="D7" s="9"/>
      <c r="E7" s="9"/>
      <c r="F7" s="12"/>
      <c r="H7" s="9"/>
      <c r="I7" s="10"/>
      <c r="J7" s="9"/>
      <c r="K7" s="9"/>
      <c r="P7" s="11"/>
      <c r="Q7" s="13"/>
    </row>
    <row r="8" spans="1:19" ht="24" customHeight="1">
      <c r="C8" s="8"/>
      <c r="D8" s="9"/>
      <c r="E8" s="9"/>
      <c r="F8" s="12"/>
      <c r="H8" s="9"/>
      <c r="I8" s="10"/>
      <c r="J8" s="9"/>
      <c r="K8" s="9"/>
      <c r="P8" s="11"/>
      <c r="Q8" s="13"/>
    </row>
    <row r="9" spans="1:19" ht="24" customHeight="1">
      <c r="C9" s="1365" t="str">
        <f>IF([1]ACCUEIL!B1=1,"ACCOUNTING AND FINANCIAL DOCUMENTS","DOCUMENTS COMPTABLES ET FINANCIERS")</f>
        <v>DOCUMENTS COMPTABLES ET FINANCIERS</v>
      </c>
      <c r="D9" s="1366"/>
      <c r="E9" s="1366"/>
      <c r="F9" s="1366"/>
      <c r="G9" s="1366"/>
      <c r="H9" s="1366"/>
      <c r="I9" s="1366"/>
      <c r="J9" s="1366"/>
      <c r="K9" s="1366"/>
      <c r="L9" s="1366"/>
      <c r="M9" s="1366"/>
      <c r="N9" s="1366"/>
      <c r="O9" s="1366"/>
      <c r="P9" s="1367"/>
      <c r="Q9" s="13"/>
    </row>
    <row r="10" spans="1:19" ht="24" customHeight="1">
      <c r="C10" s="8"/>
      <c r="E10" s="14"/>
      <c r="F10" s="9"/>
      <c r="G10" s="9"/>
      <c r="H10" s="9"/>
      <c r="I10" s="9"/>
      <c r="J10" s="9"/>
      <c r="K10" s="9"/>
      <c r="P10" s="11"/>
      <c r="Q10" s="13"/>
      <c r="S10" s="1">
        <v>1</v>
      </c>
    </row>
    <row r="11" spans="1:19" ht="24" customHeight="1">
      <c r="C11" s="8"/>
      <c r="D11" s="14"/>
      <c r="F11" s="9"/>
      <c r="G11" s="9"/>
      <c r="H11" s="15"/>
      <c r="I11" s="16"/>
      <c r="J11" s="16"/>
      <c r="K11" s="17"/>
      <c r="P11" s="11"/>
      <c r="Q11" s="13"/>
    </row>
    <row r="12" spans="1:19" ht="24" customHeight="1">
      <c r="C12" s="8"/>
      <c r="D12" s="9"/>
      <c r="E12" s="9"/>
      <c r="F12" s="9"/>
      <c r="G12" s="10"/>
      <c r="H12" s="9"/>
      <c r="I12" s="9"/>
      <c r="J12" s="10"/>
      <c r="K12" s="9"/>
      <c r="P12" s="11"/>
      <c r="Q12" s="13"/>
    </row>
    <row r="13" spans="1:19" ht="24" customHeight="1">
      <c r="C13" s="1368" t="str">
        <f>IF([1]ACCUEIL!B1=1,"NORMAL ACCOUNTING SYSTEM","SYSTÈME COMPTABLE NORMAL")</f>
        <v>SYSTÈME COMPTABLE NORMAL</v>
      </c>
      <c r="D13" s="1369"/>
      <c r="E13" s="1369"/>
      <c r="F13" s="1369"/>
      <c r="G13" s="1369"/>
      <c r="H13" s="1369"/>
      <c r="I13" s="1369"/>
      <c r="J13" s="1369"/>
      <c r="K13" s="1369"/>
      <c r="L13" s="1369"/>
      <c r="M13" s="1369"/>
      <c r="N13" s="1369"/>
      <c r="O13" s="1369"/>
      <c r="P13" s="1370"/>
      <c r="Q13" s="13"/>
    </row>
    <row r="14" spans="1:19" ht="24" customHeight="1">
      <c r="C14" s="13"/>
      <c r="P14" s="11"/>
      <c r="Q14" s="13"/>
    </row>
    <row r="15" spans="1:19" ht="24" customHeight="1">
      <c r="C15" s="8"/>
      <c r="D15" s="9"/>
      <c r="E15" s="9"/>
      <c r="F15" s="9"/>
      <c r="G15" s="9"/>
      <c r="H15" s="9"/>
      <c r="I15" s="9"/>
      <c r="J15" s="9"/>
      <c r="K15" s="9"/>
      <c r="P15" s="11"/>
      <c r="Q15" s="13"/>
    </row>
    <row r="16" spans="1:19" ht="24" customHeight="1" thickBot="1">
      <c r="C16" s="8"/>
      <c r="D16" s="9"/>
      <c r="E16" s="9"/>
      <c r="F16" s="9"/>
      <c r="G16" s="9"/>
      <c r="H16" s="9"/>
      <c r="I16" s="10"/>
      <c r="J16" s="9"/>
      <c r="K16" s="9"/>
      <c r="P16" s="11"/>
      <c r="Q16" s="13"/>
    </row>
    <row r="17" spans="3:17" ht="24" customHeight="1" thickBot="1">
      <c r="C17" s="18" t="str">
        <f>IF([1]ACCUEIL!B1=1,"   EXERCISE:","   EXERCICE:")</f>
        <v xml:space="preserve">   EXERCICE:</v>
      </c>
      <c r="E17" s="1371">
        <f>IF([1]RENSEIGNEMENT!J13=0,"",[1]RENSEIGNEMENT!J13)</f>
        <v>2025</v>
      </c>
      <c r="F17" s="1372"/>
      <c r="G17" s="1372"/>
      <c r="H17" s="1372"/>
      <c r="I17" s="1372"/>
      <c r="J17" s="1372"/>
      <c r="K17" s="1372"/>
      <c r="L17" s="1372"/>
      <c r="M17" s="1372"/>
      <c r="N17" s="1372"/>
      <c r="O17" s="1373"/>
      <c r="P17" s="11"/>
      <c r="Q17" s="13"/>
    </row>
    <row r="18" spans="3:17" ht="24" customHeight="1" thickBot="1">
      <c r="C18" s="8"/>
      <c r="D18" s="9"/>
      <c r="E18" s="9"/>
      <c r="F18" s="9"/>
      <c r="G18" s="9"/>
      <c r="H18" s="9"/>
      <c r="I18" s="10"/>
      <c r="J18" s="9"/>
      <c r="K18" s="9"/>
      <c r="P18" s="11"/>
      <c r="Q18" s="13"/>
    </row>
    <row r="19" spans="3:17" ht="24" customHeight="1" thickBot="1">
      <c r="C19" s="19" t="str">
        <f>IF([1]ACCUEIL!B1=1,"   SOCIAL REASON","   RAISON SOCIALE")</f>
        <v xml:space="preserve">   RAISON SOCIALE</v>
      </c>
      <c r="D19" s="9"/>
      <c r="E19" s="1371" t="str">
        <f>IF([1]RENSEIGNEMENT!E19=0,"",[1]RENSEIGNEMENT!E19)</f>
        <v/>
      </c>
      <c r="F19" s="1372"/>
      <c r="G19" s="1372"/>
      <c r="H19" s="1372"/>
      <c r="I19" s="1372"/>
      <c r="J19" s="1372"/>
      <c r="K19" s="1372"/>
      <c r="L19" s="1372"/>
      <c r="M19" s="1372"/>
      <c r="N19" s="1372"/>
      <c r="O19" s="1373"/>
      <c r="P19" s="11"/>
      <c r="Q19" s="13"/>
    </row>
    <row r="20" spans="3:17" ht="24" customHeight="1" thickBot="1">
      <c r="C20" s="8"/>
      <c r="D20" s="9"/>
      <c r="E20" s="9"/>
      <c r="F20" s="9"/>
      <c r="G20" s="9"/>
      <c r="H20" s="9"/>
      <c r="I20" s="9"/>
      <c r="J20" s="9"/>
      <c r="K20" s="9"/>
      <c r="P20" s="11"/>
      <c r="Q20" s="13"/>
    </row>
    <row r="21" spans="3:17" ht="24" customHeight="1" thickBot="1">
      <c r="C21" s="19" t="str">
        <f>IF([1]ACCUEIL!B1=1,"   USUAL ACRONYM:","   SIGLE USUEL:")</f>
        <v xml:space="preserve">   SIGLE USUEL:</v>
      </c>
      <c r="D21" s="9"/>
      <c r="E21" s="1371" t="str">
        <f>IF([1]RENSEIGNEMENT!C24=0,"",[1]RENSEIGNEMENT!C24)</f>
        <v/>
      </c>
      <c r="F21" s="1372"/>
      <c r="G21" s="1372"/>
      <c r="H21" s="1372"/>
      <c r="I21" s="1372"/>
      <c r="J21" s="1372"/>
      <c r="K21" s="1372"/>
      <c r="L21" s="1372"/>
      <c r="M21" s="1372"/>
      <c r="N21" s="1372"/>
      <c r="O21" s="1373"/>
      <c r="P21" s="11"/>
      <c r="Q21" s="13"/>
    </row>
    <row r="22" spans="3:17" ht="24" customHeight="1" thickBot="1">
      <c r="C22" s="8"/>
      <c r="D22" s="9"/>
      <c r="E22" s="9"/>
      <c r="F22" s="9"/>
      <c r="G22" s="9"/>
      <c r="H22" s="9"/>
      <c r="I22" s="9"/>
      <c r="J22" s="9"/>
      <c r="K22" s="9"/>
      <c r="P22" s="11"/>
      <c r="Q22" s="13"/>
    </row>
    <row r="23" spans="3:17" ht="24" customHeight="1" thickBot="1">
      <c r="C23" s="19" t="str">
        <f>IF([1]ACCUEIL!B1=1,"   TAXPAYER ACCOUNT NO.","   COMPTE CONTRIBUABLE N°")</f>
        <v xml:space="preserve">   COMPTE CONTRIBUABLE N°</v>
      </c>
      <c r="D23" s="9"/>
      <c r="E23" s="1371" t="str">
        <f>IF([1]RENSEIGNEMENT!E30=0,"",[1]RENSEIGNEMENT!E30)</f>
        <v/>
      </c>
      <c r="F23" s="1372"/>
      <c r="G23" s="1372"/>
      <c r="H23" s="1372"/>
      <c r="I23" s="1372"/>
      <c r="J23" s="1372"/>
      <c r="K23" s="1372"/>
      <c r="L23" s="1372"/>
      <c r="M23" s="1372"/>
      <c r="N23" s="1372"/>
      <c r="O23" s="1373"/>
      <c r="P23" s="11"/>
      <c r="Q23" s="13"/>
    </row>
    <row r="24" spans="3:17" ht="24" customHeight="1" thickBot="1">
      <c r="C24" s="8"/>
      <c r="D24" s="9"/>
      <c r="E24" s="9"/>
      <c r="F24" s="9"/>
      <c r="G24" s="9"/>
      <c r="H24" s="9"/>
      <c r="I24" s="10"/>
      <c r="J24" s="9"/>
      <c r="K24" s="9"/>
      <c r="P24" s="11"/>
      <c r="Q24" s="13"/>
    </row>
    <row r="25" spans="3:17" ht="24" customHeight="1" thickBot="1">
      <c r="C25" s="19" t="str">
        <f>IF([1]ACCUEIL!B1=1,"   ADDRESS:","   ADRESSE:")</f>
        <v xml:space="preserve">   ADRESSE:</v>
      </c>
      <c r="E25" s="1371" t="str">
        <f>IF([1]RENSEIGNEMENT!D26=0,"",[1]RENSEIGNEMENT!D26)</f>
        <v/>
      </c>
      <c r="F25" s="1372"/>
      <c r="G25" s="1372"/>
      <c r="H25" s="1372"/>
      <c r="I25" s="1372"/>
      <c r="J25" s="1372"/>
      <c r="K25" s="1372"/>
      <c r="L25" s="1372"/>
      <c r="M25" s="1372"/>
      <c r="N25" s="1372"/>
      <c r="O25" s="1373"/>
      <c r="P25" s="11"/>
      <c r="Q25" s="13"/>
    </row>
    <row r="26" spans="3:17" ht="24" customHeight="1" thickBot="1">
      <c r="C26" s="8"/>
      <c r="D26" s="9"/>
      <c r="E26" s="9"/>
      <c r="F26" s="9"/>
      <c r="G26" s="9"/>
      <c r="H26" s="9"/>
      <c r="I26" s="10"/>
      <c r="J26" s="9"/>
      <c r="K26" s="9"/>
      <c r="P26" s="11"/>
      <c r="Q26" s="13"/>
    </row>
    <row r="27" spans="3:17" ht="24" customHeight="1" thickBot="1">
      <c r="C27" s="19" t="str">
        <f>IF([1]ACCUEIL!B1=1,"   PHONE:","   TELEPHONE:")</f>
        <v xml:space="preserve">   TELEPHONE:</v>
      </c>
      <c r="D27" s="9"/>
      <c r="E27" s="1374" t="str">
        <f>IF([1]RENSEIGNEMENT!B50=0,"",[1]RENSEIGNEMENT!B50)</f>
        <v/>
      </c>
      <c r="F27" s="1372"/>
      <c r="G27" s="1372"/>
      <c r="H27" s="1372"/>
      <c r="I27" s="1372"/>
      <c r="J27" s="1372"/>
      <c r="K27" s="1372"/>
      <c r="L27" s="1372"/>
      <c r="M27" s="1372"/>
      <c r="N27" s="1372"/>
      <c r="O27" s="1373"/>
      <c r="P27" s="11"/>
      <c r="Q27" s="13"/>
    </row>
    <row r="28" spans="3:17" ht="24" customHeight="1">
      <c r="C28" s="8"/>
      <c r="E28" s="9"/>
      <c r="F28" s="9"/>
      <c r="G28" s="9"/>
      <c r="H28" s="9"/>
      <c r="I28" s="10"/>
      <c r="J28" s="9"/>
      <c r="K28" s="9"/>
      <c r="P28" s="11"/>
      <c r="Q28" s="13"/>
    </row>
    <row r="29" spans="3:17" ht="24" customHeight="1">
      <c r="C29" s="8"/>
      <c r="D29" s="9"/>
      <c r="E29" s="9"/>
      <c r="F29" s="9"/>
      <c r="G29" s="9"/>
      <c r="H29" s="9"/>
      <c r="I29" s="10"/>
      <c r="J29" s="9"/>
      <c r="K29" s="9"/>
      <c r="P29" s="11"/>
      <c r="Q29" s="13"/>
    </row>
    <row r="30" spans="3:17" ht="24" customHeight="1">
      <c r="C30" s="8"/>
      <c r="D30" s="9"/>
      <c r="E30" s="9"/>
      <c r="F30" s="9"/>
      <c r="G30" s="9"/>
      <c r="H30" s="9"/>
      <c r="I30" s="10"/>
      <c r="J30" s="9"/>
      <c r="K30" s="9"/>
      <c r="P30" s="11"/>
      <c r="Q30" s="13"/>
    </row>
    <row r="31" spans="3:17" ht="24" customHeight="1">
      <c r="C31" s="8"/>
      <c r="D31" s="9"/>
      <c r="E31" s="9"/>
      <c r="F31" s="9"/>
      <c r="G31" s="9"/>
      <c r="H31" s="9"/>
      <c r="I31" s="10"/>
      <c r="J31" s="9"/>
      <c r="K31" s="9"/>
      <c r="P31" s="11"/>
      <c r="Q31" s="13"/>
    </row>
    <row r="32" spans="3:17" ht="24" customHeight="1">
      <c r="C32" s="1375" t="str">
        <f>IF([1]ACCUEIL!B1=1,"CENTRE OF THE RELATED TAXES:","CENTRE DES IMPOTS DE RATTACHEMENT:")</f>
        <v>CENTRE DES IMPOTS DE RATTACHEMENT:</v>
      </c>
      <c r="D32" s="1376"/>
      <c r="E32" s="1376"/>
      <c r="F32" s="1376"/>
      <c r="G32" s="1376"/>
      <c r="H32" s="1376"/>
      <c r="I32" s="1376"/>
      <c r="J32" s="1376"/>
      <c r="K32" s="1376"/>
      <c r="L32" s="1376"/>
      <c r="M32" s="1376"/>
      <c r="N32" s="1376"/>
      <c r="O32" s="1376"/>
      <c r="P32" s="1377"/>
      <c r="Q32" s="13"/>
    </row>
    <row r="33" spans="3:17" ht="24" customHeight="1" thickBot="1">
      <c r="C33" s="8"/>
      <c r="D33" s="9"/>
      <c r="E33" s="9"/>
      <c r="F33" s="9"/>
      <c r="G33" s="9"/>
      <c r="H33" s="9"/>
      <c r="I33" s="10"/>
      <c r="J33" s="9"/>
      <c r="K33" s="9"/>
      <c r="P33" s="11"/>
      <c r="Q33" s="13"/>
    </row>
    <row r="34" spans="3:17" ht="24" customHeight="1" thickBot="1">
      <c r="C34" s="8"/>
      <c r="D34" s="9"/>
      <c r="E34" s="1374" t="str">
        <f>IF([1]RENSEIGNEMENT!F32=0,"",[1]RENSEIGNEMENT!F32)</f>
        <v>GRANDES ENTREPRISES</v>
      </c>
      <c r="F34" s="1372"/>
      <c r="G34" s="1372"/>
      <c r="H34" s="1372"/>
      <c r="I34" s="1372"/>
      <c r="J34" s="1372"/>
      <c r="K34" s="1372"/>
      <c r="L34" s="1372"/>
      <c r="M34" s="1372"/>
      <c r="N34" s="1372"/>
      <c r="O34" s="1373"/>
      <c r="P34" s="11"/>
      <c r="Q34" s="13"/>
    </row>
    <row r="35" spans="3:17" ht="24" customHeight="1">
      <c r="C35" s="8"/>
      <c r="D35" s="9"/>
      <c r="E35" s="9"/>
      <c r="F35" s="9"/>
      <c r="G35" s="9"/>
      <c r="H35" s="9"/>
      <c r="I35" s="10"/>
      <c r="J35" s="9"/>
      <c r="K35" s="9"/>
      <c r="P35" s="11"/>
      <c r="Q35" s="13"/>
    </row>
    <row r="36" spans="3:17" ht="24" customHeight="1">
      <c r="C36" s="8"/>
      <c r="D36" s="9"/>
      <c r="E36" s="9"/>
      <c r="F36" s="9"/>
      <c r="G36" s="9"/>
      <c r="H36" s="9"/>
      <c r="I36" s="10"/>
      <c r="J36" s="9"/>
      <c r="K36" s="9"/>
      <c r="P36" s="11"/>
    </row>
    <row r="37" spans="3:17" ht="24" customHeight="1">
      <c r="C37" s="8"/>
      <c r="D37" s="9"/>
      <c r="E37" s="9"/>
      <c r="F37" s="9"/>
      <c r="G37" s="9"/>
      <c r="H37" s="9"/>
      <c r="I37" s="10"/>
      <c r="J37" s="9"/>
      <c r="K37" s="9"/>
      <c r="P37" s="11"/>
    </row>
    <row r="38" spans="3:17" ht="24" customHeight="1">
      <c r="C38" s="8"/>
      <c r="D38" s="9"/>
      <c r="E38" s="9"/>
      <c r="F38" s="9"/>
      <c r="G38" s="9"/>
      <c r="H38" s="9"/>
      <c r="I38" s="10"/>
      <c r="J38" s="9"/>
      <c r="K38" s="9"/>
      <c r="P38" s="11"/>
    </row>
    <row r="39" spans="3:17" ht="24" customHeight="1">
      <c r="C39" s="8"/>
      <c r="D39" s="9"/>
      <c r="E39" s="9"/>
      <c r="F39" s="9"/>
      <c r="G39" s="9"/>
      <c r="H39" s="9"/>
      <c r="I39" s="10"/>
      <c r="J39" s="9"/>
      <c r="K39" s="9"/>
      <c r="P39" s="11"/>
    </row>
    <row r="40" spans="3:17" ht="24" customHeight="1">
      <c r="C40" s="8"/>
      <c r="D40" s="9"/>
      <c r="E40" s="9"/>
      <c r="F40" s="9"/>
      <c r="G40" s="9"/>
      <c r="H40" s="9"/>
      <c r="I40" s="10"/>
      <c r="J40" s="9"/>
      <c r="K40" s="9"/>
      <c r="P40" s="11"/>
    </row>
    <row r="41" spans="3:17" ht="24" customHeight="1">
      <c r="C41" s="8"/>
      <c r="D41" s="9"/>
      <c r="E41" s="9"/>
      <c r="F41" s="9"/>
      <c r="G41" s="9"/>
      <c r="H41" s="9"/>
      <c r="I41" s="10"/>
      <c r="J41" s="9"/>
      <c r="K41" s="9"/>
      <c r="P41" s="11"/>
    </row>
    <row r="42" spans="3:17" ht="24" customHeight="1">
      <c r="C42" s="8"/>
      <c r="D42" s="9"/>
      <c r="E42" s="9"/>
      <c r="F42" s="9"/>
      <c r="G42" s="9"/>
      <c r="H42" s="9"/>
      <c r="I42" s="10"/>
      <c r="J42" s="9"/>
      <c r="K42" s="9"/>
      <c r="P42" s="11"/>
    </row>
    <row r="43" spans="3:17" ht="24" customHeight="1">
      <c r="C43" s="8"/>
      <c r="D43" s="9"/>
      <c r="E43" s="9"/>
      <c r="F43" s="9"/>
      <c r="G43" s="9"/>
      <c r="H43" s="9"/>
      <c r="I43" s="10"/>
      <c r="J43" s="9"/>
      <c r="K43" s="9"/>
      <c r="P43" s="11"/>
    </row>
    <row r="44" spans="3:17" ht="24" customHeight="1">
      <c r="C44" s="20"/>
      <c r="D44" s="21"/>
      <c r="E44" s="21"/>
      <c r="F44" s="21"/>
      <c r="G44" s="21"/>
      <c r="H44" s="21"/>
      <c r="I44" s="22"/>
      <c r="J44" s="21"/>
      <c r="K44" s="21"/>
      <c r="L44" s="23"/>
      <c r="M44" s="23"/>
      <c r="N44" s="23"/>
      <c r="O44" s="23"/>
      <c r="P44" s="24"/>
    </row>
    <row r="45" spans="3:17" ht="24" customHeight="1">
      <c r="C45" s="25"/>
      <c r="D45" s="25"/>
      <c r="E45" s="25"/>
      <c r="F45" s="25"/>
      <c r="G45" s="25"/>
      <c r="H45" s="25"/>
      <c r="I45" s="26"/>
      <c r="J45" s="25"/>
      <c r="K45" s="25"/>
      <c r="L45" s="6"/>
      <c r="M45" s="6"/>
      <c r="N45" s="6"/>
      <c r="O45" s="6"/>
      <c r="P45" s="6"/>
    </row>
    <row r="46" spans="3:17" ht="24" customHeight="1"/>
    <row r="47" spans="3:17" ht="24" customHeight="1">
      <c r="C47" s="1363"/>
      <c r="D47" s="1363"/>
      <c r="E47" s="1363"/>
      <c r="F47" s="1363"/>
      <c r="G47" s="1363"/>
      <c r="H47" s="1363"/>
      <c r="I47" s="1363"/>
      <c r="J47" s="1363"/>
      <c r="K47" s="1363"/>
      <c r="L47" s="1363"/>
      <c r="M47" s="1363"/>
      <c r="N47" s="1363"/>
      <c r="O47" s="1363"/>
      <c r="P47" s="1363"/>
    </row>
    <row r="48" spans="3:17" ht="24" customHeight="1">
      <c r="C48" s="27"/>
      <c r="D48" s="28"/>
      <c r="E48" s="28"/>
      <c r="F48" s="28"/>
      <c r="G48" s="28"/>
      <c r="H48" s="28"/>
      <c r="I48" s="28"/>
      <c r="J48" s="28"/>
      <c r="K48" s="28"/>
      <c r="P48" s="11"/>
    </row>
    <row r="49" spans="3:16" ht="24" customHeight="1">
      <c r="C49" s="1379" t="str">
        <f>IF([1]ACCUEIL!B1=1,"CONDITIONS OF ADMISSIBILITY","CONDITIONS DE RECEVABILITE")</f>
        <v>CONDITIONS DE RECEVABILITE</v>
      </c>
      <c r="D49" s="1380"/>
      <c r="E49" s="1380"/>
      <c r="F49" s="1380"/>
      <c r="G49" s="1380"/>
      <c r="H49" s="1380"/>
      <c r="I49" s="1380"/>
      <c r="J49" s="1380"/>
      <c r="K49" s="1380"/>
      <c r="L49" s="1380"/>
      <c r="M49" s="1380"/>
      <c r="N49" s="1380"/>
      <c r="O49" s="1380"/>
      <c r="P49" s="1381"/>
    </row>
    <row r="50" spans="3:16" ht="24" customHeight="1">
      <c r="C50" s="27"/>
      <c r="D50" s="28"/>
      <c r="E50" s="29"/>
      <c r="F50" s="28"/>
      <c r="G50" s="28"/>
      <c r="H50" s="28"/>
      <c r="I50" s="28"/>
      <c r="J50" s="28"/>
      <c r="K50" s="28"/>
      <c r="P50" s="11"/>
    </row>
    <row r="51" spans="3:16" ht="24" customHeight="1">
      <c r="C51" s="13"/>
      <c r="D51" s="30" t="str">
        <f>IF([1]ACCUEIL!B1=1,"Companies using printed matter:","Entreprises utilisant des imprimés :")</f>
        <v>Entreprises utilisant des imprimés :</v>
      </c>
      <c r="E51" s="30"/>
      <c r="F51" s="30"/>
      <c r="G51" s="30"/>
      <c r="H51" s="30"/>
      <c r="I51" s="30"/>
      <c r="J51" s="30"/>
      <c r="K51" s="30"/>
      <c r="L51" s="30"/>
      <c r="M51" s="30"/>
      <c r="N51" s="30"/>
      <c r="O51" s="30"/>
      <c r="P51" s="11"/>
    </row>
    <row r="52" spans="3:16" ht="24" customHeight="1">
      <c r="C52" s="27"/>
      <c r="D52" s="28"/>
      <c r="E52" s="29"/>
      <c r="F52" s="28"/>
      <c r="G52" s="28"/>
      <c r="H52" s="28"/>
      <c r="I52" s="28"/>
      <c r="J52" s="28"/>
      <c r="K52" s="28"/>
      <c r="P52" s="11"/>
    </row>
    <row r="53" spans="3:16" ht="24" customHeight="1">
      <c r="C53" s="27"/>
      <c r="D53" s="28"/>
      <c r="E53" s="29" t="str">
        <f>IF([1]ACCUEIL!B1=1,"Use only standardised forms","N'utiliser que des imprimés normalisés")</f>
        <v>N'utiliser que des imprimés normalisés</v>
      </c>
      <c r="F53" s="28"/>
      <c r="G53" s="28"/>
      <c r="H53" s="28"/>
      <c r="I53" s="28"/>
      <c r="J53" s="28"/>
      <c r="K53" s="28"/>
      <c r="P53" s="11"/>
    </row>
    <row r="54" spans="3:16" ht="24" customHeight="1">
      <c r="C54" s="27"/>
      <c r="D54" s="28"/>
      <c r="E54" s="29"/>
      <c r="F54" s="28"/>
      <c r="G54" s="28"/>
      <c r="H54" s="28"/>
      <c r="I54" s="28"/>
      <c r="J54" s="28"/>
      <c r="K54" s="28"/>
      <c r="P54" s="11"/>
    </row>
    <row r="55" spans="3:16" ht="24" customHeight="1">
      <c r="C55" s="27"/>
      <c r="D55" s="28"/>
      <c r="E55" s="29" t="str">
        <f>IF([1]ACCUEIL!B1=1,"Fill in each page in a perfectly legible way, without shifting lines","Remplir chaque page de façon parfaitement lisible, sans décalage de lignes")</f>
        <v>Remplir chaque page de façon parfaitement lisible, sans décalage de lignes</v>
      </c>
      <c r="F55" s="28"/>
      <c r="G55" s="28"/>
      <c r="H55" s="28"/>
      <c r="I55" s="28"/>
      <c r="J55" s="28"/>
      <c r="K55" s="28"/>
      <c r="P55" s="11"/>
    </row>
    <row r="56" spans="3:16" ht="24" customHeight="1">
      <c r="C56" s="27"/>
      <c r="D56" s="28"/>
      <c r="E56" s="29"/>
      <c r="F56" s="28"/>
      <c r="G56" s="28"/>
      <c r="H56" s="28"/>
      <c r="I56" s="28"/>
      <c r="J56" s="28"/>
      <c r="K56" s="28"/>
      <c r="P56" s="11"/>
    </row>
    <row r="57" spans="3:16" ht="24" customHeight="1">
      <c r="C57" s="27"/>
      <c r="D57" s="28"/>
      <c r="E57" s="29" t="str">
        <f>IF([1]ACCUEIL!B1=1,"Do not create any fields","Ne créer aucune rubrique")</f>
        <v>Ne créer aucune rubrique</v>
      </c>
      <c r="F57" s="28"/>
      <c r="G57" s="28"/>
      <c r="H57" s="28"/>
      <c r="I57" s="28"/>
      <c r="J57" s="28"/>
      <c r="K57" s="28"/>
      <c r="P57" s="11"/>
    </row>
    <row r="58" spans="3:16" ht="24" customHeight="1">
      <c r="C58" s="27"/>
      <c r="D58" s="28"/>
      <c r="E58" s="29"/>
      <c r="F58" s="28"/>
      <c r="G58" s="28"/>
      <c r="H58" s="28"/>
      <c r="I58" s="28"/>
      <c r="J58" s="28"/>
      <c r="K58" s="28"/>
      <c r="P58" s="11"/>
    </row>
    <row r="59" spans="3:16" ht="24" customHeight="1">
      <c r="C59" s="27"/>
      <c r="D59" s="28"/>
      <c r="E59" s="29" t="str">
        <f>IF([1]ACCUEIL!B1=1,"Avoid overloading and explain on a separate sheet","Eviter toute surcharge et donner les explications sur une feuille séparée")</f>
        <v>Eviter toute surcharge et donner les explications sur une feuille séparée</v>
      </c>
      <c r="F59" s="28"/>
      <c r="G59" s="28"/>
      <c r="H59" s="28"/>
      <c r="I59" s="28"/>
      <c r="J59" s="28"/>
      <c r="K59" s="28"/>
      <c r="P59" s="11"/>
    </row>
    <row r="60" spans="3:16" ht="24" customHeight="1">
      <c r="C60" s="27"/>
      <c r="D60" s="28"/>
      <c r="E60" s="29"/>
      <c r="F60" s="28"/>
      <c r="G60" s="28"/>
      <c r="H60" s="28"/>
      <c r="I60" s="28"/>
      <c r="J60" s="28"/>
      <c r="K60" s="28"/>
      <c r="P60" s="11"/>
    </row>
    <row r="61" spans="3:16" ht="24" customHeight="1">
      <c r="C61" s="27"/>
      <c r="D61" s="28"/>
      <c r="E61" s="29" t="str">
        <f>IF([1]ACCUEIL!B1=1,"Use only the codes indicated in the tables","N'utiliser que les codes indiqués dans les tables")</f>
        <v>N'utiliser que les codes indiqués dans les tables</v>
      </c>
      <c r="F61" s="28"/>
      <c r="G61" s="28"/>
      <c r="H61" s="28"/>
      <c r="I61" s="28"/>
      <c r="J61" s="28"/>
      <c r="K61" s="28"/>
      <c r="P61" s="11"/>
    </row>
    <row r="62" spans="3:16" ht="24" customHeight="1">
      <c r="C62" s="27"/>
      <c r="D62" s="28"/>
      <c r="E62" s="29"/>
      <c r="F62" s="28"/>
      <c r="G62" s="28"/>
      <c r="H62" s="28"/>
      <c r="I62" s="28"/>
      <c r="J62" s="28"/>
      <c r="K62" s="28"/>
      <c r="P62" s="11"/>
    </row>
    <row r="63" spans="3:16" ht="24" customHeight="1">
      <c r="C63" s="27"/>
      <c r="D63" s="28"/>
      <c r="E63" s="29" t="str">
        <f>IF([1]ACCUEIL!B1=1,"Use only black and white prints.","N'utiliser que des imprimés en noir et blanc.")</f>
        <v>N'utiliser que des imprimés en noir et blanc.</v>
      </c>
      <c r="F63" s="28"/>
      <c r="G63" s="28"/>
      <c r="H63" s="28"/>
      <c r="I63" s="28"/>
      <c r="J63" s="28"/>
      <c r="K63" s="28"/>
      <c r="P63" s="11"/>
    </row>
    <row r="64" spans="3:16" ht="24" customHeight="1">
      <c r="C64" s="27"/>
      <c r="D64" s="28"/>
      <c r="E64" s="29"/>
      <c r="F64" s="28"/>
      <c r="G64" s="28"/>
      <c r="H64" s="28"/>
      <c r="I64" s="28"/>
      <c r="J64" s="28"/>
      <c r="K64" s="28"/>
      <c r="P64" s="11"/>
    </row>
    <row r="65" spans="3:16" ht="24" customHeight="1">
      <c r="C65" s="13"/>
      <c r="D65" s="31" t="str">
        <f>IF([1]ACCUEIL!B1=1,"Entities producing financial statements using the IT tool:","Entités produisant les états financiers à l'aide de l'outil informatique :")</f>
        <v>Entités produisant les états financiers à l'aide de l'outil informatique :</v>
      </c>
      <c r="E65" s="32"/>
      <c r="F65" s="28"/>
      <c r="G65" s="28"/>
      <c r="H65" s="28"/>
      <c r="I65" s="28"/>
      <c r="J65" s="28"/>
      <c r="K65" s="28"/>
      <c r="P65" s="11"/>
    </row>
    <row r="66" spans="3:16" ht="24" customHeight="1">
      <c r="C66" s="27"/>
      <c r="D66" s="28"/>
      <c r="E66" s="29"/>
      <c r="F66" s="28"/>
      <c r="G66" s="28"/>
      <c r="H66" s="28"/>
      <c r="I66" s="28"/>
      <c r="J66" s="28"/>
      <c r="K66" s="28"/>
      <c r="P66" s="11"/>
    </row>
    <row r="67" spans="3:16" ht="24" customHeight="1">
      <c r="C67" s="27"/>
      <c r="D67" s="28"/>
      <c r="E67" s="29" t="str">
        <f>IF([1]ACCUEIL!B1=1,"Reproduce the same context as the standard printed matter","Reproduire à l'identique la contexture des imprimés normalisés")</f>
        <v>Reproduire à l'identique la contexture des imprimés normalisés</v>
      </c>
      <c r="F67" s="28"/>
      <c r="G67" s="28"/>
      <c r="H67" s="28"/>
      <c r="I67" s="28"/>
      <c r="J67" s="28"/>
      <c r="K67" s="28"/>
      <c r="P67" s="11"/>
    </row>
    <row r="68" spans="3:16" ht="24" customHeight="1">
      <c r="C68" s="27"/>
      <c r="D68" s="28"/>
      <c r="E68" s="29"/>
      <c r="F68" s="28"/>
      <c r="G68" s="28"/>
      <c r="H68" s="28"/>
      <c r="I68" s="28"/>
      <c r="J68" s="28"/>
      <c r="K68" s="28"/>
      <c r="P68" s="11"/>
    </row>
    <row r="69" spans="3:16" ht="24" customHeight="1">
      <c r="C69" s="27"/>
      <c r="D69" s="28"/>
      <c r="E69" s="29" t="str">
        <f>IF([1]ACCUEIL!B1=1,"Provide a package containing both: the identification form and miscellaneous information ","Fournir une liasse comprenant à la fois : la fiche d'identification et renseignements")</f>
        <v>Fournir une liasse comprenant à la fois : la fiche d'identification et renseignements</v>
      </c>
      <c r="F69" s="28"/>
      <c r="G69" s="28"/>
      <c r="H69" s="28"/>
      <c r="I69" s="28"/>
      <c r="J69" s="28"/>
      <c r="K69" s="28"/>
      <c r="P69" s="11"/>
    </row>
    <row r="70" spans="3:16" ht="24" customHeight="1">
      <c r="C70" s="27"/>
      <c r="D70" s="28"/>
      <c r="E70" s="29" t="str">
        <f>IF([1]ACCUEIL!B1=1,"and the financial statements corresponding to the accounting system","divers et les états financiers correspondant au système comptable")</f>
        <v>divers et les états financiers correspondant au système comptable</v>
      </c>
      <c r="F70" s="28"/>
      <c r="G70" s="28"/>
      <c r="H70" s="28"/>
      <c r="I70" s="28"/>
      <c r="J70" s="28"/>
      <c r="K70" s="28"/>
      <c r="P70" s="11"/>
    </row>
    <row r="71" spans="3:16" ht="24" customHeight="1">
      <c r="C71" s="27"/>
      <c r="D71" s="28"/>
      <c r="E71" s="29"/>
      <c r="F71" s="28"/>
      <c r="G71" s="28"/>
      <c r="H71" s="28"/>
      <c r="I71" s="28"/>
      <c r="J71" s="28"/>
      <c r="K71" s="28"/>
      <c r="P71" s="11"/>
    </row>
    <row r="72" spans="3:16" ht="24" customHeight="1">
      <c r="C72" s="27"/>
      <c r="D72" s="28"/>
      <c r="E72" s="29" t="str">
        <f>IF([1]ACCUEIL!B1=1,"Do not create any fields","Ne créer aucune rubrique")</f>
        <v>Ne créer aucune rubrique</v>
      </c>
      <c r="F72" s="28"/>
      <c r="G72" s="28"/>
      <c r="H72" s="28"/>
      <c r="I72" s="28"/>
      <c r="J72" s="28"/>
      <c r="K72" s="28"/>
      <c r="P72" s="11"/>
    </row>
    <row r="73" spans="3:16" ht="24" customHeight="1">
      <c r="C73" s="27"/>
      <c r="D73" s="28"/>
      <c r="E73" s="29"/>
      <c r="F73" s="28"/>
      <c r="G73" s="28"/>
      <c r="H73" s="28"/>
      <c r="I73" s="28"/>
      <c r="J73" s="28"/>
      <c r="K73" s="28"/>
      <c r="P73" s="11"/>
    </row>
    <row r="74" spans="3:16" ht="24" customHeight="1">
      <c r="C74" s="27"/>
      <c r="D74" s="28"/>
      <c r="E74" s="29" t="str">
        <f>IF([1]ACCUEIL!B1=1,"Use only the codes indicated in the tables","N'utiliser que les codes indiqués dans les tables")</f>
        <v>N'utiliser que les codes indiqués dans les tables</v>
      </c>
      <c r="F74" s="28"/>
      <c r="G74" s="28"/>
      <c r="H74" s="28"/>
      <c r="I74" s="28"/>
      <c r="J74" s="28"/>
      <c r="K74" s="28"/>
      <c r="P74" s="11"/>
    </row>
    <row r="75" spans="3:16" ht="24" customHeight="1">
      <c r="C75" s="27"/>
      <c r="D75" s="28"/>
      <c r="E75" s="29"/>
      <c r="F75" s="28"/>
      <c r="G75" s="28"/>
      <c r="H75" s="28"/>
      <c r="I75" s="28"/>
      <c r="J75" s="28"/>
      <c r="K75" s="28"/>
      <c r="P75" s="11"/>
    </row>
    <row r="76" spans="3:16" ht="24" customHeight="1">
      <c r="C76" s="27"/>
      <c r="D76" s="28"/>
      <c r="E76" s="29" t="str">
        <f>IF([1]ACCUEIL!B1=1,"Use only black and white prints.","N'utiliser que des imprimés en noir et blanc.")</f>
        <v>N'utiliser que des imprimés en noir et blanc.</v>
      </c>
      <c r="F76" s="28"/>
      <c r="G76" s="28"/>
      <c r="H76" s="28"/>
      <c r="I76" s="28"/>
      <c r="J76" s="28"/>
      <c r="K76" s="28"/>
      <c r="P76" s="11"/>
    </row>
    <row r="77" spans="3:16" ht="24" customHeight="1">
      <c r="C77" s="27"/>
      <c r="D77" s="28"/>
      <c r="E77" s="29"/>
      <c r="F77" s="28"/>
      <c r="G77" s="28"/>
      <c r="H77" s="28"/>
      <c r="I77" s="28"/>
      <c r="J77" s="28"/>
      <c r="K77" s="28"/>
      <c r="P77" s="11"/>
    </row>
    <row r="78" spans="3:16" ht="24" customHeight="1">
      <c r="C78" s="13"/>
      <c r="D78" s="33" t="str">
        <f>IF([1]ACCUEIL!B1=1,"FINANCIAL STATEMENTS","ETATS FINANCIERS")</f>
        <v>ETATS FINANCIERS</v>
      </c>
      <c r="E78" s="32"/>
      <c r="P78" s="11"/>
    </row>
    <row r="79" spans="3:16" ht="24" customHeight="1">
      <c r="C79" s="27"/>
      <c r="D79" s="28"/>
      <c r="E79" s="29"/>
      <c r="F79" s="28"/>
      <c r="G79" s="28"/>
      <c r="H79" s="28"/>
      <c r="I79" s="28"/>
      <c r="J79" s="28"/>
      <c r="K79" s="28"/>
      <c r="P79" s="11"/>
    </row>
    <row r="80" spans="3:16" ht="24" customHeight="1">
      <c r="C80" s="13"/>
      <c r="E80" s="34" t="str">
        <f>IF([1]ACCUEIL!B1=1,"Headings and items in the balance sheet, income statement and cash flow statement that are not "," Les rubriques et les postes du bilan, du compte de résultat et du tableau des flux de trésorerie ")</f>
        <v xml:space="preserve"> Les rubriques et les postes du bilan, du compte de résultat et du tableau des flux de trésorerie </v>
      </c>
      <c r="P80" s="11"/>
    </row>
    <row r="81" spans="2:18" ht="24" customHeight="1">
      <c r="C81" s="13"/>
      <c r="E81" s="34" t="str">
        <f>IF([1]ACCUEIL!B1=1,"quantified should not be deleted","non chiffrés ne doivent pas être supprimés")</f>
        <v>non chiffrés ne doivent pas être supprimés</v>
      </c>
      <c r="P81" s="11"/>
    </row>
    <row r="82" spans="2:18" ht="24" customHeight="1">
      <c r="B82" s="2" t="s">
        <v>0</v>
      </c>
      <c r="C82" s="27"/>
      <c r="D82" s="28"/>
      <c r="E82" s="29"/>
      <c r="F82" s="28"/>
      <c r="G82" s="28"/>
      <c r="H82" s="28"/>
      <c r="I82" s="28"/>
      <c r="J82" s="28"/>
      <c r="K82" s="28"/>
      <c r="P82" s="11"/>
    </row>
    <row r="83" spans="2:18" ht="24" customHeight="1">
      <c r="C83" s="13"/>
      <c r="E83" s="34" t="str">
        <f>IF([1]ACCUEIL!B1=1,"Unquantified explanatory notes may be deleted.","Les notes annexes non chiffrées peuvent êtres suprimées.")</f>
        <v>Les notes annexes non chiffrées peuvent êtres suprimées.</v>
      </c>
      <c r="P83" s="11"/>
    </row>
    <row r="84" spans="2:18" ht="24" customHeight="1">
      <c r="C84" s="35"/>
      <c r="D84" s="36"/>
      <c r="E84" s="23"/>
      <c r="F84" s="23"/>
      <c r="G84" s="23"/>
      <c r="H84" s="23"/>
      <c r="I84" s="23"/>
      <c r="J84" s="23"/>
      <c r="K84" s="23"/>
      <c r="L84" s="23"/>
      <c r="M84" s="23"/>
      <c r="N84" s="23"/>
      <c r="O84" s="23"/>
      <c r="P84" s="24"/>
      <c r="Q84" s="13"/>
    </row>
    <row r="85" spans="2:18" ht="24" customHeight="1">
      <c r="C85" s="9"/>
      <c r="D85" s="9"/>
      <c r="E85" s="9"/>
      <c r="F85" s="9"/>
      <c r="G85" s="9"/>
      <c r="H85" s="9"/>
      <c r="I85" s="10"/>
      <c r="J85" s="9"/>
      <c r="K85" s="9"/>
    </row>
    <row r="86" spans="2:18" ht="24" customHeight="1"/>
    <row r="87" spans="2:18" ht="24" customHeight="1">
      <c r="C87" s="1364"/>
      <c r="D87" s="1364"/>
      <c r="E87" s="1364"/>
      <c r="F87" s="1364"/>
      <c r="G87" s="1364"/>
      <c r="H87" s="1364"/>
      <c r="I87" s="1364"/>
      <c r="J87" s="1364"/>
      <c r="K87" s="1364"/>
      <c r="L87" s="1364"/>
      <c r="M87" s="1364"/>
      <c r="N87" s="1364"/>
      <c r="O87" s="1364"/>
      <c r="P87" s="1364"/>
      <c r="Q87" s="1364"/>
    </row>
    <row r="88" spans="2:18" ht="24" customHeight="1">
      <c r="C88" s="1364"/>
      <c r="D88" s="1364"/>
      <c r="E88" s="1364"/>
      <c r="F88" s="1364"/>
      <c r="G88" s="1364"/>
      <c r="H88" s="1364"/>
      <c r="I88" s="1364"/>
      <c r="J88" s="1364"/>
      <c r="K88" s="1364"/>
      <c r="L88" s="1364"/>
      <c r="M88" s="1364"/>
      <c r="N88" s="1364"/>
      <c r="O88" s="1364"/>
      <c r="P88" s="1364"/>
      <c r="Q88" s="1364"/>
    </row>
    <row r="89" spans="2:18" ht="24" customHeight="1"/>
    <row r="90" spans="2:18" ht="24" customHeight="1">
      <c r="C90" s="3" t="str">
        <f>IF([1]ACCUEIL!B1=1,"   REPUBLIC:","   REPUBLIQUE:")</f>
        <v xml:space="preserve">   REPUBLIQUE:</v>
      </c>
      <c r="D90" s="1382" t="str">
        <f>IF([1]RENSEIGNEMENT!C2=0,"",[1]RENSEIGNEMENT!C2)</f>
        <v>DE GUINEE</v>
      </c>
      <c r="E90" s="1382"/>
      <c r="F90" s="1382"/>
      <c r="G90" s="1382"/>
      <c r="H90" s="1382"/>
      <c r="I90" s="1382"/>
      <c r="J90" s="1382"/>
      <c r="K90" s="1382"/>
      <c r="L90" s="1382"/>
      <c r="M90" s="1382"/>
      <c r="N90" s="1382"/>
      <c r="O90" s="1382"/>
      <c r="P90" s="37"/>
      <c r="Q90" s="38"/>
    </row>
    <row r="91" spans="2:18" ht="24" customHeight="1">
      <c r="C91" s="39" t="str">
        <f>IF([1]ACCUEIL!B1=1,"   MINISTER:","   MINISTERE:")</f>
        <v xml:space="preserve">   MINISTERE:</v>
      </c>
      <c r="D91" s="1383" t="str">
        <f>IF([1]RENSEIGNEMENT!C4=0,"",[1]RENSEIGNEMENT!C4)</f>
        <v>DES FINANCES</v>
      </c>
      <c r="E91" s="1383"/>
      <c r="F91" s="1383"/>
      <c r="G91" s="1383"/>
      <c r="H91" s="1383"/>
      <c r="I91" s="1383"/>
      <c r="J91" s="1383"/>
      <c r="K91" s="1383"/>
      <c r="L91" s="1383"/>
      <c r="M91" s="1383"/>
      <c r="N91" s="1383"/>
      <c r="O91" s="1383"/>
      <c r="P91" s="40"/>
      <c r="Q91" s="41"/>
    </row>
    <row r="92" spans="2:18" ht="24" customHeight="1">
      <c r="C92" s="39" t="str">
        <f>IF([1]ACCUEIL!B1=1,"   DIRECTION :","   DIRECTION:")</f>
        <v xml:space="preserve">   DIRECTION:</v>
      </c>
      <c r="D92" s="1384" t="str">
        <f>IF([1]RENSEIGNEMENT!C6=0,"",[1]RENSEIGNEMENT!C6)</f>
        <v>NATIONALE DES IMPOTS</v>
      </c>
      <c r="E92" s="1384"/>
      <c r="F92" s="1384"/>
      <c r="G92" s="1384"/>
      <c r="H92" s="1384"/>
      <c r="I92" s="1384"/>
      <c r="J92" s="1384"/>
      <c r="K92" s="1384"/>
      <c r="L92" s="1384"/>
      <c r="M92" s="1384"/>
      <c r="N92" s="1384"/>
      <c r="O92" s="1384"/>
      <c r="P92" s="40"/>
      <c r="Q92" s="41"/>
      <c r="R92" s="13"/>
    </row>
    <row r="93" spans="2:18" ht="24" customHeight="1">
      <c r="C93" s="8"/>
      <c r="D93" s="9"/>
      <c r="E93" s="9"/>
      <c r="F93" s="9"/>
      <c r="G93" s="9"/>
      <c r="H93" s="9"/>
      <c r="I93" s="9"/>
      <c r="J93" s="10"/>
      <c r="K93" s="9"/>
      <c r="L93" s="9"/>
      <c r="M93" s="9"/>
      <c r="N93" s="9"/>
      <c r="O93" s="9"/>
      <c r="P93" s="9"/>
      <c r="Q93" s="42"/>
    </row>
    <row r="94" spans="2:18" ht="24" customHeight="1">
      <c r="C94" s="39" t="str">
        <f>IF([1]ACCUEIL!B1=1,"   DEPOSIT CENTER:","   CENTRE DE DEPOT DE:  ")</f>
        <v xml:space="preserve">   CENTRE DE DEPOT DE:  </v>
      </c>
      <c r="D94" s="43"/>
      <c r="E94" s="1384" t="str">
        <f>IF([1]RENSEIGNEMENT!D8=0,"",[1]RENSEIGNEMENT!D8)</f>
        <v>GRANDES ENTREPRISES</v>
      </c>
      <c r="F94" s="1384"/>
      <c r="G94" s="1384"/>
      <c r="H94" s="1384"/>
      <c r="I94" s="1384"/>
      <c r="J94" s="1384"/>
      <c r="K94" s="1384"/>
      <c r="L94" s="1384"/>
      <c r="M94" s="1384"/>
      <c r="N94" s="1384"/>
      <c r="O94" s="1384"/>
      <c r="P94" s="1384"/>
      <c r="Q94" s="1385"/>
      <c r="R94" s="13"/>
    </row>
    <row r="95" spans="2:18" ht="24" customHeight="1">
      <c r="C95" s="8"/>
      <c r="D95" s="9"/>
      <c r="E95" s="44"/>
      <c r="F95" s="44"/>
      <c r="G95" s="44"/>
      <c r="H95" s="44"/>
      <c r="I95" s="44"/>
      <c r="J95" s="45"/>
      <c r="K95" s="44"/>
      <c r="L95" s="44"/>
      <c r="M95" s="44"/>
      <c r="N95" s="44"/>
      <c r="O95" s="44"/>
      <c r="P95" s="44"/>
      <c r="Q95" s="46"/>
    </row>
    <row r="96" spans="2:18" ht="24" customHeight="1">
      <c r="C96" s="1386" t="str">
        <f>IF([1]ACCUEIL!B1=1,"STANDARDIZED FINANCIAL STATEMENTS ","ETATS FINANCIERS NORMALISES")</f>
        <v>ETATS FINANCIERS NORMALISES</v>
      </c>
      <c r="D96" s="1387"/>
      <c r="E96" s="1387"/>
      <c r="F96" s="1387"/>
      <c r="G96" s="1387"/>
      <c r="H96" s="1387"/>
      <c r="I96" s="1387"/>
      <c r="J96" s="1387"/>
      <c r="K96" s="1387"/>
      <c r="L96" s="1387"/>
      <c r="M96" s="1387"/>
      <c r="N96" s="1387"/>
      <c r="O96" s="1387"/>
      <c r="P96" s="1387"/>
      <c r="Q96" s="1388"/>
      <c r="R96" s="13"/>
    </row>
    <row r="97" spans="3:18" ht="24" customHeight="1">
      <c r="C97" s="1386" t="str">
        <f>IF([1]ACCUEIL!B1=1,"ACCOUNTING SYSTEM (SYSCOHADA)","SYSTÈME COMPTABLE  (SYSCOHADA)")</f>
        <v>SYSTÈME COMPTABLE  (SYSCOHADA)</v>
      </c>
      <c r="D97" s="1387"/>
      <c r="E97" s="1387"/>
      <c r="F97" s="1387"/>
      <c r="G97" s="1387"/>
      <c r="H97" s="1387"/>
      <c r="I97" s="1387"/>
      <c r="J97" s="1387"/>
      <c r="K97" s="1387"/>
      <c r="L97" s="1387"/>
      <c r="M97" s="1387"/>
      <c r="N97" s="1387"/>
      <c r="O97" s="1387"/>
      <c r="P97" s="1387"/>
      <c r="Q97" s="1388"/>
      <c r="R97" s="13"/>
    </row>
    <row r="98" spans="3:18" ht="24" customHeight="1">
      <c r="C98" s="8"/>
      <c r="D98" s="9"/>
      <c r="E98" s="9"/>
      <c r="F98" s="1389" t="str">
        <f>IF([1]RENSEIGNEMENT!E11=0,"",[1]RENSEIGNEMENT!E11)</f>
        <v>SYSTÈME COMPTABLE NORMAL</v>
      </c>
      <c r="G98" s="1389"/>
      <c r="H98" s="1389"/>
      <c r="I98" s="1389"/>
      <c r="J98" s="1389"/>
      <c r="K98" s="1389"/>
      <c r="L98" s="1389"/>
      <c r="M98" s="1389"/>
      <c r="N98" s="1389"/>
      <c r="O98" s="9"/>
      <c r="P98" s="9"/>
      <c r="Q98" s="42"/>
    </row>
    <row r="99" spans="3:18" ht="24" customHeight="1">
      <c r="C99" s="8"/>
      <c r="D99" s="9"/>
      <c r="F99" s="14"/>
      <c r="G99" s="9"/>
      <c r="H99" s="9"/>
      <c r="I99" s="9"/>
      <c r="J99" s="9"/>
      <c r="K99" s="9"/>
      <c r="L99" s="9"/>
      <c r="M99" s="9"/>
      <c r="N99" s="9"/>
      <c r="O99" s="9"/>
      <c r="P99" s="9"/>
      <c r="Q99" s="42"/>
    </row>
    <row r="100" spans="3:18" ht="24" customHeight="1">
      <c r="C100" s="8"/>
      <c r="D100" s="9"/>
      <c r="E100" s="47" t="str">
        <f>IF([1]ACCUEIL!B1=1,"   YEAR ENDED:","   EXERCICE CLOS LE :")</f>
        <v xml:space="preserve">   EXERCICE CLOS LE :</v>
      </c>
      <c r="G100" s="9"/>
      <c r="H100" s="9"/>
      <c r="I100" s="48">
        <f>[1]RENSEIGNEMENT!G13</f>
        <v>31</v>
      </c>
      <c r="J100" s="1390">
        <f>[1]RENSEIGNEMENT!H13</f>
        <v>12</v>
      </c>
      <c r="K100" s="1391"/>
      <c r="L100" s="49">
        <f>[1]RENSEIGNEMENT!J13</f>
        <v>2025</v>
      </c>
      <c r="M100" s="9"/>
      <c r="N100" s="9"/>
      <c r="O100" s="9"/>
      <c r="P100" s="9"/>
      <c r="Q100" s="42"/>
    </row>
    <row r="101" spans="3:18" ht="24" customHeight="1">
      <c r="C101" s="8"/>
      <c r="D101" s="9"/>
      <c r="E101" s="9"/>
      <c r="F101" s="9"/>
      <c r="G101" s="9"/>
      <c r="H101" s="10"/>
      <c r="I101" s="1378"/>
      <c r="J101" s="1378"/>
      <c r="K101" s="10"/>
      <c r="L101" s="9"/>
      <c r="M101" s="9"/>
      <c r="N101" s="9"/>
      <c r="O101" s="9"/>
      <c r="P101" s="9"/>
      <c r="Q101" s="42"/>
    </row>
    <row r="102" spans="3:18" ht="24" customHeight="1">
      <c r="C102" s="1395" t="str">
        <f>IF([1]ACCUEIL!B1=1,"NAME OF THE ENTITY","DESIGNATION DE L'ENTITE")</f>
        <v>DESIGNATION DE L'ENTITE</v>
      </c>
      <c r="D102" s="1396"/>
      <c r="E102" s="1396"/>
      <c r="F102" s="1396"/>
      <c r="G102" s="1396"/>
      <c r="H102" s="1396"/>
      <c r="I102" s="1396"/>
      <c r="J102" s="1396"/>
      <c r="K102" s="1396"/>
      <c r="L102" s="1396"/>
      <c r="M102" s="1396"/>
      <c r="N102" s="1396"/>
      <c r="O102" s="1396"/>
      <c r="P102" s="1396"/>
      <c r="Q102" s="1397"/>
    </row>
    <row r="103" spans="3:18" ht="24" customHeight="1">
      <c r="C103" s="8"/>
      <c r="D103" s="9"/>
      <c r="E103" s="9"/>
      <c r="F103" s="9"/>
      <c r="G103" s="9"/>
      <c r="H103" s="9"/>
      <c r="I103" s="9"/>
      <c r="J103" s="10"/>
      <c r="K103" s="9"/>
      <c r="L103" s="9"/>
      <c r="M103" s="9"/>
      <c r="N103" s="9"/>
      <c r="O103" s="9"/>
      <c r="P103" s="9"/>
      <c r="Q103" s="42"/>
    </row>
    <row r="104" spans="3:18" ht="24" customHeight="1">
      <c r="C104" s="50" t="str">
        <f>IF([1]ACCUEIL!B1=1,"   SOCIAL NAME:","   DENOMINATION SOCIALE:")</f>
        <v xml:space="preserve">   DENOMINATION SOCIALE:</v>
      </c>
      <c r="D104" s="9"/>
      <c r="E104" s="9"/>
      <c r="F104" s="1398" t="str">
        <f>IF([1]RENSEIGNEMENT!E19=0,"",[1]RENSEIGNEMENT!E19)</f>
        <v/>
      </c>
      <c r="G104" s="1398"/>
      <c r="H104" s="1398"/>
      <c r="I104" s="1398"/>
      <c r="J104" s="1398"/>
      <c r="K104" s="1398"/>
      <c r="L104" s="1398"/>
      <c r="M104" s="1398"/>
      <c r="N104" s="1398"/>
      <c r="O104" s="1398"/>
      <c r="P104" s="1398"/>
      <c r="Q104" s="51"/>
    </row>
    <row r="105" spans="3:18" ht="24" customHeight="1">
      <c r="C105" s="52" t="str">
        <f>IF([1]ACCUEIL!B1=1,"   (or name and surname of the operator)","   (ou nom et prenom de l'exploitant)")</f>
        <v xml:space="preserve">   (ou nom et prenom de l'exploitant)</v>
      </c>
      <c r="D105" s="9"/>
      <c r="E105" s="9"/>
      <c r="F105" s="9"/>
      <c r="G105" s="9"/>
      <c r="H105" s="9"/>
      <c r="I105" s="9"/>
      <c r="J105" s="10"/>
      <c r="K105" s="9"/>
      <c r="L105" s="9"/>
      <c r="M105" s="9"/>
      <c r="N105" s="9"/>
      <c r="O105" s="9"/>
      <c r="P105" s="9"/>
      <c r="Q105" s="42"/>
    </row>
    <row r="106" spans="3:18" ht="24" customHeight="1">
      <c r="C106" s="1399" t="str">
        <f>IF([1]RENSEIGNEMENT!B22=0,"",[1]RENSEIGNEMENT!B22)</f>
        <v/>
      </c>
      <c r="D106" s="1400"/>
      <c r="E106" s="1400"/>
      <c r="F106" s="1400"/>
      <c r="G106" s="1400"/>
      <c r="H106" s="1400"/>
      <c r="I106" s="1400"/>
      <c r="J106" s="1400"/>
      <c r="K106" s="1400"/>
      <c r="L106" s="1400"/>
      <c r="M106" s="1400"/>
      <c r="N106" s="1400"/>
      <c r="O106" s="1400"/>
      <c r="P106" s="1400"/>
      <c r="Q106" s="51"/>
    </row>
    <row r="107" spans="3:18" ht="24" customHeight="1">
      <c r="C107" s="8"/>
      <c r="D107" s="25"/>
      <c r="E107" s="25"/>
      <c r="F107" s="25"/>
      <c r="G107" s="25"/>
      <c r="H107" s="25"/>
      <c r="I107" s="25"/>
      <c r="J107" s="26"/>
      <c r="K107" s="25"/>
      <c r="L107" s="25"/>
      <c r="M107" s="25"/>
      <c r="N107" s="25"/>
      <c r="O107" s="25"/>
      <c r="P107" s="25"/>
      <c r="Q107" s="53"/>
    </row>
    <row r="108" spans="3:18" ht="24" customHeight="1">
      <c r="C108" s="50" t="str">
        <f>C21</f>
        <v xml:space="preserve">   SIGLE USUEL:</v>
      </c>
      <c r="D108" s="1401">
        <f>[1]RENSEIGNEMENT!C24</f>
        <v>0</v>
      </c>
      <c r="E108" s="1401"/>
      <c r="F108" s="1401"/>
      <c r="G108" s="1401"/>
      <c r="H108" s="1401"/>
      <c r="I108" s="1401"/>
      <c r="J108" s="1401"/>
      <c r="K108" s="1401"/>
      <c r="L108" s="1401"/>
      <c r="M108" s="1401"/>
      <c r="N108" s="1401"/>
      <c r="O108" s="1401"/>
      <c r="P108" s="1401"/>
      <c r="Q108" s="1402"/>
    </row>
    <row r="109" spans="3:18" ht="24" customHeight="1">
      <c r="C109" s="8"/>
      <c r="D109" s="25"/>
      <c r="E109" s="9"/>
      <c r="F109" s="9"/>
      <c r="G109" s="9"/>
      <c r="H109" s="9"/>
      <c r="I109" s="9"/>
      <c r="J109" s="10"/>
      <c r="K109" s="9"/>
      <c r="L109" s="9"/>
      <c r="M109" s="9"/>
      <c r="N109" s="9"/>
      <c r="O109" s="9"/>
      <c r="P109" s="9"/>
      <c r="Q109" s="42"/>
    </row>
    <row r="110" spans="3:18" ht="24" customHeight="1">
      <c r="C110" s="50" t="str">
        <f>IF([1]ACCUEIL!B1=1,"   FULL ADDRESS:","   ADRESSE COMPLETE:")</f>
        <v xml:space="preserve">   ADRESSE COMPLETE:</v>
      </c>
      <c r="D110" s="9"/>
      <c r="E110" s="1401">
        <f>[1]RENSEIGNEMENT!D26</f>
        <v>0</v>
      </c>
      <c r="F110" s="1401"/>
      <c r="G110" s="1401"/>
      <c r="H110" s="1401"/>
      <c r="I110" s="1401"/>
      <c r="J110" s="1401"/>
      <c r="K110" s="1401"/>
      <c r="L110" s="1401"/>
      <c r="M110" s="1401"/>
      <c r="N110" s="1401"/>
      <c r="O110" s="1401"/>
      <c r="P110" s="1401"/>
      <c r="Q110" s="51"/>
    </row>
    <row r="111" spans="3:18" ht="24" customHeight="1">
      <c r="C111" s="8"/>
      <c r="D111" s="9"/>
      <c r="E111" s="9"/>
      <c r="F111" s="9"/>
      <c r="G111" s="9"/>
      <c r="H111" s="9"/>
      <c r="I111" s="9"/>
      <c r="J111" s="10"/>
      <c r="K111" s="9"/>
      <c r="L111" s="9"/>
      <c r="M111" s="9"/>
      <c r="N111" s="9"/>
      <c r="O111" s="9"/>
      <c r="P111" s="9"/>
      <c r="Q111" s="42"/>
    </row>
    <row r="112" spans="3:18" ht="24" customHeight="1">
      <c r="C112" s="50" t="str">
        <f>IF([1]ACCUEIL!B1=1,"   TAX IDENTIFICATION NUMBER:","   N° IDENTIFICATION FISCALE:")</f>
        <v xml:space="preserve">   N° IDENTIFICATION FISCALE:</v>
      </c>
      <c r="D112" s="9"/>
      <c r="E112" s="9"/>
      <c r="F112" s="1401">
        <f>[1]RENSEIGNEMENT!E28</f>
        <v>0</v>
      </c>
      <c r="G112" s="1401"/>
      <c r="H112" s="1401"/>
      <c r="I112" s="1401"/>
      <c r="J112" s="1401"/>
      <c r="K112" s="1401"/>
      <c r="L112" s="1401"/>
      <c r="M112" s="1401"/>
      <c r="N112" s="1401"/>
      <c r="O112" s="1401"/>
      <c r="P112" s="1401"/>
      <c r="Q112" s="51"/>
    </row>
    <row r="113" spans="3:17" ht="24" customHeight="1">
      <c r="C113" s="8"/>
      <c r="D113" s="9"/>
      <c r="E113" s="9"/>
      <c r="F113" s="9"/>
      <c r="G113" s="9"/>
      <c r="H113" s="9"/>
      <c r="I113" s="9"/>
      <c r="J113" s="10"/>
      <c r="K113" s="9"/>
      <c r="L113" s="9"/>
      <c r="M113" s="9"/>
      <c r="N113" s="9"/>
      <c r="O113" s="9"/>
      <c r="P113" s="9"/>
      <c r="Q113" s="42"/>
    </row>
    <row r="114" spans="3:17" ht="24" customHeight="1">
      <c r="C114" s="8"/>
      <c r="D114" s="9"/>
      <c r="E114" s="9"/>
      <c r="F114" s="9"/>
      <c r="G114" s="9"/>
      <c r="H114" s="9"/>
      <c r="I114" s="9"/>
      <c r="J114" s="10"/>
      <c r="K114" s="9"/>
      <c r="L114" s="9"/>
      <c r="M114" s="9"/>
      <c r="N114" s="9"/>
      <c r="O114" s="9"/>
      <c r="P114" s="9"/>
      <c r="Q114" s="42"/>
    </row>
    <row r="115" spans="3:17" ht="24" customHeight="1">
      <c r="C115" s="1403" t="str">
        <f>IF([1]ACCUEIL!B1=1,"NORMAL SYSTEM","SYSTÈME NORMAL")</f>
        <v>SYSTÈME NORMAL</v>
      </c>
      <c r="D115" s="1404"/>
      <c r="E115" s="1404"/>
      <c r="F115" s="1404"/>
      <c r="G115" s="1404"/>
      <c r="H115" s="1404"/>
      <c r="I115" s="1404"/>
      <c r="J115" s="1404"/>
      <c r="K115" s="1404"/>
      <c r="L115" s="1404"/>
      <c r="M115" s="1404"/>
      <c r="N115" s="1404"/>
      <c r="O115" s="1404"/>
      <c r="P115" s="1404"/>
      <c r="Q115" s="1405"/>
    </row>
    <row r="116" spans="3:17" ht="24" customHeight="1">
      <c r="C116" s="8"/>
      <c r="D116" s="9"/>
      <c r="E116" s="9"/>
      <c r="F116" s="9"/>
      <c r="G116" s="9"/>
      <c r="H116" s="9"/>
      <c r="I116" s="9"/>
      <c r="J116" s="10"/>
      <c r="K116" s="9"/>
      <c r="L116" s="9"/>
      <c r="M116" s="9"/>
      <c r="N116" s="9"/>
      <c r="O116" s="9"/>
      <c r="P116" s="9"/>
      <c r="Q116" s="42"/>
    </row>
    <row r="117" spans="3:17" ht="24" customHeight="1">
      <c r="C117" s="1406" t="str">
        <f>IF([1]ACCUEIL!B1=1,"Documents filed","Documents déposés")</f>
        <v>Documents déposés</v>
      </c>
      <c r="D117" s="1407"/>
      <c r="E117" s="1407"/>
      <c r="F117" s="1407"/>
      <c r="G117" s="1407"/>
      <c r="H117" s="1407"/>
      <c r="I117" s="1407"/>
      <c r="J117" s="1407"/>
      <c r="K117" s="1407"/>
      <c r="L117" s="9"/>
      <c r="M117" s="1407" t="str">
        <f>IF([1]ACCUEIL!B1=1,"Reserved for the General Directorate of Taxes","Réservé à la Direction Générale des Impôts")</f>
        <v>Réservé à la Direction Générale des Impôts</v>
      </c>
      <c r="N117" s="1407"/>
      <c r="O117" s="1407"/>
      <c r="P117" s="1407"/>
      <c r="Q117" s="42"/>
    </row>
    <row r="118" spans="3:17" ht="24" customHeight="1">
      <c r="C118" s="20"/>
      <c r="D118" s="21"/>
      <c r="E118" s="21"/>
      <c r="F118" s="21"/>
      <c r="G118" s="21"/>
      <c r="H118" s="21"/>
      <c r="I118" s="21"/>
      <c r="J118" s="22"/>
      <c r="K118" s="21"/>
      <c r="L118" s="9"/>
      <c r="M118" s="21"/>
      <c r="N118" s="21"/>
      <c r="O118" s="21"/>
      <c r="P118" s="21"/>
      <c r="Q118" s="42"/>
    </row>
    <row r="119" spans="3:17" ht="24" customHeight="1">
      <c r="C119" s="8"/>
      <c r="D119" s="9"/>
      <c r="E119" s="25"/>
      <c r="F119" s="9"/>
      <c r="G119" s="9"/>
      <c r="H119" s="53"/>
      <c r="I119" s="9"/>
      <c r="J119" s="26"/>
      <c r="K119" s="53"/>
      <c r="L119" s="54"/>
      <c r="M119" s="1392" t="str">
        <f>IF([1]ACCUEIL!B1=1,"      Filing date","      Date de dépôt")</f>
        <v xml:space="preserve">      Date de dépôt</v>
      </c>
      <c r="N119" s="1393"/>
      <c r="O119" s="1393"/>
      <c r="P119" s="1394"/>
      <c r="Q119" s="42"/>
    </row>
    <row r="120" spans="3:17" ht="24" customHeight="1">
      <c r="C120" s="39" t="str">
        <f>IF([1]ACCUEIL!B1=1,"    Identification form and other information","    Fiche d'identification et renseignements divers")</f>
        <v xml:space="preserve">    Fiche d'identification et renseignements divers</v>
      </c>
      <c r="D120" s="9"/>
      <c r="E120" s="9"/>
      <c r="F120" s="9"/>
      <c r="G120" s="9"/>
      <c r="H120" s="42"/>
      <c r="I120" s="9"/>
      <c r="J120" s="10"/>
      <c r="K120" s="42"/>
      <c r="L120" s="54"/>
      <c r="M120" s="9"/>
      <c r="N120" s="9"/>
      <c r="O120" s="9"/>
      <c r="P120" s="42"/>
      <c r="Q120" s="42"/>
    </row>
    <row r="121" spans="3:17" ht="24" customHeight="1">
      <c r="C121" s="39" t="str">
        <f>IF([1]ACCUEIL!B1=1,"    Balance sheet","    Bilan")</f>
        <v xml:space="preserve">    Bilan</v>
      </c>
      <c r="D121" s="9"/>
      <c r="E121" s="9"/>
      <c r="F121" s="9"/>
      <c r="G121" s="9"/>
      <c r="H121" s="42"/>
      <c r="I121" s="9"/>
      <c r="J121" s="10"/>
      <c r="K121" s="42"/>
      <c r="L121" s="54"/>
      <c r="M121" s="9"/>
      <c r="N121" s="9"/>
      <c r="O121" s="9"/>
      <c r="P121" s="42"/>
      <c r="Q121" s="42"/>
    </row>
    <row r="122" spans="3:17" ht="24" customHeight="1">
      <c r="C122" s="39" t="str">
        <f>IF([1]ACCUEIL!B1=1,"    Income statement","   Compte de résultat")</f>
        <v xml:space="preserve">   Compte de résultat</v>
      </c>
      <c r="D122" s="9"/>
      <c r="E122" s="9"/>
      <c r="F122" s="9"/>
      <c r="G122" s="9"/>
      <c r="H122" s="42"/>
      <c r="I122" s="9"/>
      <c r="J122" s="10"/>
      <c r="K122" s="42"/>
      <c r="L122" s="54"/>
      <c r="M122" s="9"/>
      <c r="N122" s="9"/>
      <c r="O122" s="9"/>
      <c r="P122" s="42"/>
      <c r="Q122" s="42"/>
    </row>
    <row r="123" spans="3:17" ht="24" customHeight="1">
      <c r="C123" s="39" t="str">
        <f>IF([1]ACCUEIL!B1=1,"   Cash flow statement","   Tableau de flux de trésorerie")</f>
        <v xml:space="preserve">   Tableau de flux de trésorerie</v>
      </c>
      <c r="D123" s="9"/>
      <c r="E123" s="9"/>
      <c r="F123" s="9"/>
      <c r="G123" s="9"/>
      <c r="H123" s="42"/>
      <c r="I123" s="9"/>
      <c r="J123" s="10"/>
      <c r="K123" s="42"/>
      <c r="L123" s="54"/>
      <c r="M123" s="9"/>
      <c r="N123" s="9"/>
      <c r="O123" s="9"/>
      <c r="P123" s="42"/>
      <c r="Q123" s="42"/>
    </row>
    <row r="124" spans="3:17" ht="24" customHeight="1">
      <c r="C124" s="39" t="str">
        <f>IF([1]ACCUEIL!B1=1,"   Notes to the financial statements","    Notes annexes")</f>
        <v xml:space="preserve">    Notes annexes</v>
      </c>
      <c r="D124" s="9"/>
      <c r="E124" s="9"/>
      <c r="F124" s="9"/>
      <c r="G124" s="9"/>
      <c r="H124" s="42"/>
      <c r="I124" s="9"/>
      <c r="J124" s="10"/>
      <c r="K124" s="42"/>
      <c r="L124" s="54"/>
      <c r="M124" s="20"/>
      <c r="N124" s="21"/>
      <c r="O124" s="21"/>
      <c r="P124" s="51"/>
      <c r="Q124" s="42"/>
    </row>
    <row r="125" spans="3:17" ht="24" customHeight="1">
      <c r="C125" s="8"/>
      <c r="D125" s="9"/>
      <c r="E125" s="9"/>
      <c r="F125" s="9"/>
      <c r="G125" s="9"/>
      <c r="H125" s="42"/>
      <c r="I125" s="9"/>
      <c r="J125" s="10"/>
      <c r="K125" s="42"/>
      <c r="L125" s="54"/>
      <c r="M125" s="1392" t="str">
        <f>IF([1]ACCUEIL!B1=1,"Name of IMB officer who received the deposit","Nom de l'agent de la DGI ayant réceptionné le dépôt")</f>
        <v>Nom de l'agent de la DGI ayant réceptionné le dépôt</v>
      </c>
      <c r="N125" s="1393"/>
      <c r="O125" s="1393"/>
      <c r="P125" s="1394"/>
      <c r="Q125" s="42"/>
    </row>
    <row r="126" spans="3:17" ht="24" customHeight="1">
      <c r="C126" s="8"/>
      <c r="D126" s="9"/>
      <c r="E126" s="9"/>
      <c r="F126" s="9"/>
      <c r="G126" s="9"/>
      <c r="H126" s="42"/>
      <c r="I126" s="9"/>
      <c r="J126" s="10"/>
      <c r="K126" s="42"/>
      <c r="L126" s="54"/>
      <c r="M126" s="9"/>
      <c r="N126" s="9"/>
      <c r="O126" s="9"/>
      <c r="P126" s="42"/>
      <c r="Q126" s="42"/>
    </row>
    <row r="127" spans="3:17" ht="24" customHeight="1">
      <c r="C127" s="8"/>
      <c r="D127" s="9"/>
      <c r="E127" s="9"/>
      <c r="F127" s="9"/>
      <c r="G127" s="9"/>
      <c r="H127" s="42"/>
      <c r="I127" s="9"/>
      <c r="J127" s="10"/>
      <c r="K127" s="42"/>
      <c r="L127" s="54"/>
      <c r="M127" s="9"/>
      <c r="N127" s="9"/>
      <c r="O127" s="9"/>
      <c r="P127" s="42"/>
      <c r="Q127" s="42"/>
    </row>
    <row r="128" spans="3:17" ht="24" customHeight="1">
      <c r="C128" s="8"/>
      <c r="D128" s="9"/>
      <c r="E128" s="9"/>
      <c r="F128" s="9"/>
      <c r="G128" s="9"/>
      <c r="H128" s="42"/>
      <c r="I128" s="9"/>
      <c r="J128" s="10"/>
      <c r="K128" s="42"/>
      <c r="L128" s="54"/>
      <c r="M128" s="9"/>
      <c r="N128" s="9"/>
      <c r="O128" s="9"/>
      <c r="P128" s="42"/>
      <c r="Q128" s="42"/>
    </row>
    <row r="129" spans="3:17" ht="24" customHeight="1">
      <c r="C129" s="20"/>
      <c r="D129" s="21"/>
      <c r="E129" s="21"/>
      <c r="F129" s="21"/>
      <c r="G129" s="21"/>
      <c r="H129" s="51"/>
      <c r="I129" s="21"/>
      <c r="J129" s="22"/>
      <c r="K129" s="51"/>
      <c r="L129" s="54"/>
      <c r="M129" s="20"/>
      <c r="N129" s="21"/>
      <c r="O129" s="21"/>
      <c r="P129" s="51"/>
      <c r="Q129" s="42"/>
    </row>
    <row r="130" spans="3:17" ht="24" customHeight="1">
      <c r="C130" s="3" t="str">
        <f>IF([1]ACCUEIL!B1=1,"  Number of pages deposited per copy ","  Nombre de pages déposées par exemplaire ")</f>
        <v xml:space="preserve">  Nombre de pages déposées par exemplaire </v>
      </c>
      <c r="D130" s="25"/>
      <c r="E130" s="25"/>
      <c r="F130" s="25"/>
      <c r="G130" s="25"/>
      <c r="H130" s="25"/>
      <c r="I130" s="25"/>
      <c r="J130" s="26"/>
      <c r="K130" s="53"/>
      <c r="L130" s="9"/>
      <c r="M130" s="1392" t="str">
        <f>IF([1]ACCUEIL!B1=1,"Agent's signature and service stamp","Signature de l'agent et cachet du service")</f>
        <v>Signature de l'agent et cachet du service</v>
      </c>
      <c r="N130" s="1393"/>
      <c r="O130" s="1393"/>
      <c r="P130" s="1394"/>
      <c r="Q130" s="42"/>
    </row>
    <row r="131" spans="3:17" ht="24" customHeight="1">
      <c r="C131" s="39" t="str">
        <f>IF([1]ACCUEIL!B1=1,"  Number of copies filed","  Number of copies filed  Nombre exemplaires déposés")</f>
        <v xml:space="preserve">  Number of copies filed  Nombre exemplaires déposés</v>
      </c>
      <c r="D131" s="9"/>
      <c r="E131" s="9"/>
      <c r="F131" s="9"/>
      <c r="G131" s="9"/>
      <c r="H131" s="9"/>
      <c r="I131" s="9"/>
      <c r="J131" s="10"/>
      <c r="K131" s="42"/>
      <c r="L131" s="9"/>
      <c r="M131" s="8"/>
      <c r="N131" s="9"/>
      <c r="O131" s="9"/>
      <c r="P131" s="42"/>
      <c r="Q131" s="42"/>
    </row>
    <row r="132" spans="3:17" ht="38.25" customHeight="1">
      <c r="C132" s="20"/>
      <c r="D132" s="21"/>
      <c r="E132" s="21"/>
      <c r="F132" s="21"/>
      <c r="G132" s="21"/>
      <c r="H132" s="21"/>
      <c r="I132" s="21"/>
      <c r="J132" s="22"/>
      <c r="K132" s="51"/>
      <c r="L132" s="9"/>
      <c r="M132" s="20"/>
      <c r="N132" s="21"/>
      <c r="O132" s="21"/>
      <c r="P132" s="51"/>
      <c r="Q132" s="42"/>
    </row>
    <row r="133" spans="3:17" ht="15.75">
      <c r="C133" s="8"/>
      <c r="D133" s="9"/>
      <c r="E133" s="25"/>
      <c r="F133" s="9"/>
      <c r="G133" s="9"/>
      <c r="H133" s="9"/>
      <c r="I133" s="9"/>
      <c r="J133" s="10"/>
      <c r="K133" s="9"/>
      <c r="L133" s="9"/>
      <c r="M133" s="9"/>
      <c r="N133" s="9"/>
      <c r="O133" s="9"/>
      <c r="P133" s="9"/>
      <c r="Q133" s="42"/>
    </row>
    <row r="134" spans="3:17" ht="15.75">
      <c r="C134" s="20"/>
      <c r="D134" s="21"/>
      <c r="E134" s="21"/>
      <c r="F134" s="21"/>
      <c r="G134" s="21"/>
      <c r="H134" s="21"/>
      <c r="I134" s="21"/>
      <c r="J134" s="22"/>
      <c r="K134" s="21"/>
      <c r="L134" s="21"/>
      <c r="M134" s="21"/>
      <c r="N134" s="21"/>
      <c r="O134" s="21"/>
      <c r="P134" s="21"/>
      <c r="Q134" s="51"/>
    </row>
  </sheetData>
  <sheetProtection selectLockedCells="1" selectUnlockedCells="1"/>
  <mergeCells count="36">
    <mergeCell ref="M130:P130"/>
    <mergeCell ref="C102:Q102"/>
    <mergeCell ref="F104:P104"/>
    <mergeCell ref="C106:P106"/>
    <mergeCell ref="D108:Q108"/>
    <mergeCell ref="E110:P110"/>
    <mergeCell ref="F112:P112"/>
    <mergeCell ref="C115:Q115"/>
    <mergeCell ref="C117:K117"/>
    <mergeCell ref="M117:P117"/>
    <mergeCell ref="M119:P119"/>
    <mergeCell ref="M125:P125"/>
    <mergeCell ref="I101:J101"/>
    <mergeCell ref="C49:P49"/>
    <mergeCell ref="C87:Q87"/>
    <mergeCell ref="C88:Q88"/>
    <mergeCell ref="D90:O90"/>
    <mergeCell ref="D91:O91"/>
    <mergeCell ref="D92:O92"/>
    <mergeCell ref="E94:Q94"/>
    <mergeCell ref="C96:Q96"/>
    <mergeCell ref="C97:Q97"/>
    <mergeCell ref="F98:N98"/>
    <mergeCell ref="J100:K100"/>
    <mergeCell ref="C47:P47"/>
    <mergeCell ref="C1:P1"/>
    <mergeCell ref="C9:P9"/>
    <mergeCell ref="C13:P13"/>
    <mergeCell ref="E17:O17"/>
    <mergeCell ref="E19:O19"/>
    <mergeCell ref="E21:O21"/>
    <mergeCell ref="E23:O23"/>
    <mergeCell ref="E25:O25"/>
    <mergeCell ref="E27:O27"/>
    <mergeCell ref="C32:P32"/>
    <mergeCell ref="E34:O34"/>
  </mergeCells>
  <printOptions horizontalCentered="1"/>
  <pageMargins left="0.78740157480314965" right="0" top="0.59055118110236227" bottom="0.19685039370078741" header="0.31496062992125984" footer="0.31496062992125984"/>
  <pageSetup paperSize="9" scale="63" fitToHeight="0" orientation="portrait" r:id="rId1"/>
  <headerFooter differentFirst="1" scaleWithDoc="0">
    <oddHeader>&amp;C&amp;"-,Gras"&amp;14&amp;P / &amp;N</oddHeader>
  </headerFooter>
  <rowBreaks count="2" manualBreakCount="2">
    <brk id="45" min="2" max="16" man="1"/>
    <brk id="85" min="2" max="16" man="1"/>
  </rowBreaks>
  <drawing r:id="rId2"/>
  <legacyDrawing r:id="rId3"/>
  <controls>
    <mc:AlternateContent xmlns:mc="http://schemas.openxmlformats.org/markup-compatibility/2006">
      <mc:Choice Requires="x14">
        <control shapeId="1036" r:id="rId4" name="CommandButton1">
          <controlPr defaultSize="0" autoLine="0" autoPict="0" r:id="rId5">
            <anchor moveWithCells="1">
              <from>
                <xdr:col>18</xdr:col>
                <xdr:colOff>66675</xdr:colOff>
                <xdr:row>6</xdr:row>
                <xdr:rowOff>247650</xdr:rowOff>
              </from>
              <to>
                <xdr:col>20</xdr:col>
                <xdr:colOff>533400</xdr:colOff>
                <xdr:row>9</xdr:row>
                <xdr:rowOff>28575</xdr:rowOff>
              </to>
            </anchor>
          </controlPr>
        </control>
      </mc:Choice>
      <mc:Fallback>
        <control shapeId="1036" r:id="rId4" name="CommandButton1"/>
      </mc:Fallback>
    </mc:AlternateContent>
    <mc:AlternateContent xmlns:mc="http://schemas.openxmlformats.org/markup-compatibility/2006">
      <mc:Choice Requires="x14">
        <control shapeId="1025" r:id="rId6" name="Check Box 1">
          <controlPr defaultSize="0" autoFill="0" autoLine="0" autoPict="0">
            <anchor moveWithCells="1">
              <from>
                <xdr:col>8</xdr:col>
                <xdr:colOff>238125</xdr:colOff>
                <xdr:row>119</xdr:row>
                <xdr:rowOff>9525</xdr:rowOff>
              </from>
              <to>
                <xdr:col>9</xdr:col>
                <xdr:colOff>28575</xdr:colOff>
                <xdr:row>119</xdr:row>
                <xdr:rowOff>257175</xdr:rowOff>
              </to>
            </anchor>
          </controlPr>
        </control>
      </mc:Choice>
    </mc:AlternateContent>
    <mc:AlternateContent xmlns:mc="http://schemas.openxmlformats.org/markup-compatibility/2006">
      <mc:Choice Requires="x14">
        <control shapeId="1026" r:id="rId7" name="Check Box 2">
          <controlPr defaultSize="0" autoFill="0" autoLine="0" autoPict="0">
            <anchor moveWithCells="1">
              <from>
                <xdr:col>8</xdr:col>
                <xdr:colOff>238125</xdr:colOff>
                <xdr:row>120</xdr:row>
                <xdr:rowOff>38100</xdr:rowOff>
              </from>
              <to>
                <xdr:col>9</xdr:col>
                <xdr:colOff>28575</xdr:colOff>
                <xdr:row>120</xdr:row>
                <xdr:rowOff>285750</xdr:rowOff>
              </to>
            </anchor>
          </controlPr>
        </control>
      </mc:Choice>
    </mc:AlternateContent>
    <mc:AlternateContent xmlns:mc="http://schemas.openxmlformats.org/markup-compatibility/2006">
      <mc:Choice Requires="x14">
        <control shapeId="1027" r:id="rId8" name="Check Box 3">
          <controlPr defaultSize="0" autoFill="0" autoLine="0" autoPict="0">
            <anchor moveWithCells="1">
              <from>
                <xdr:col>8</xdr:col>
                <xdr:colOff>238125</xdr:colOff>
                <xdr:row>121</xdr:row>
                <xdr:rowOff>19050</xdr:rowOff>
              </from>
              <to>
                <xdr:col>9</xdr:col>
                <xdr:colOff>28575</xdr:colOff>
                <xdr:row>121</xdr:row>
                <xdr:rowOff>276225</xdr:rowOff>
              </to>
            </anchor>
          </controlPr>
        </control>
      </mc:Choice>
    </mc:AlternateContent>
    <mc:AlternateContent xmlns:mc="http://schemas.openxmlformats.org/markup-compatibility/2006">
      <mc:Choice Requires="x14">
        <control shapeId="1028" r:id="rId9" name="Check Box 4">
          <controlPr defaultSize="0" autoFill="0" autoLine="0" autoPict="0">
            <anchor moveWithCells="1">
              <from>
                <xdr:col>8</xdr:col>
                <xdr:colOff>238125</xdr:colOff>
                <xdr:row>122</xdr:row>
                <xdr:rowOff>38100</xdr:rowOff>
              </from>
              <to>
                <xdr:col>9</xdr:col>
                <xdr:colOff>28575</xdr:colOff>
                <xdr:row>122</xdr:row>
                <xdr:rowOff>285750</xdr:rowOff>
              </to>
            </anchor>
          </controlPr>
        </control>
      </mc:Choice>
    </mc:AlternateContent>
    <mc:AlternateContent xmlns:mc="http://schemas.openxmlformats.org/markup-compatibility/2006">
      <mc:Choice Requires="x14">
        <control shapeId="1029" r:id="rId10" name="Check Box 5">
          <controlPr defaultSize="0" autoFill="0" autoLine="0" autoPict="0">
            <anchor moveWithCells="1">
              <from>
                <xdr:col>8</xdr:col>
                <xdr:colOff>238125</xdr:colOff>
                <xdr:row>123</xdr:row>
                <xdr:rowOff>38100</xdr:rowOff>
              </from>
              <to>
                <xdr:col>9</xdr:col>
                <xdr:colOff>28575</xdr:colOff>
                <xdr:row>123</xdr:row>
                <xdr:rowOff>285750</xdr:rowOff>
              </to>
            </anchor>
          </controlPr>
        </control>
      </mc:Choice>
    </mc:AlternateContent>
    <mc:AlternateContent xmlns:mc="http://schemas.openxmlformats.org/markup-compatibility/2006">
      <mc:Choice Requires="x14">
        <control shapeId="1030" r:id="rId11" name="Button 6">
          <controlPr defaultSize="0" print="0" autoFill="0" autoPict="0" macro="[0]!ImprimerPDF">
            <anchor moveWithCells="1" sizeWithCells="1">
              <from>
                <xdr:col>18</xdr:col>
                <xdr:colOff>85725</xdr:colOff>
                <xdr:row>3</xdr:row>
                <xdr:rowOff>295275</xdr:rowOff>
              </from>
              <to>
                <xdr:col>20</xdr:col>
                <xdr:colOff>542925</xdr:colOff>
                <xdr:row>6</xdr:row>
                <xdr:rowOff>57150</xdr:rowOff>
              </to>
            </anchor>
          </controlPr>
        </control>
      </mc:Choice>
    </mc:AlternateContent>
    <mc:AlternateContent xmlns:mc="http://schemas.openxmlformats.org/markup-compatibility/2006">
      <mc:Choice Requires="x14">
        <control shapeId="1039" r:id="rId12" name="Option Button 15">
          <controlPr defaultSize="0" autoFill="0" autoLine="0" autoPict="0">
            <anchor moveWithCells="1">
              <from>
                <xdr:col>18</xdr:col>
                <xdr:colOff>247650</xdr:colOff>
                <xdr:row>7</xdr:row>
                <xdr:rowOff>9525</xdr:rowOff>
              </from>
              <to>
                <xdr:col>20</xdr:col>
                <xdr:colOff>485775</xdr:colOff>
                <xdr:row>7</xdr:row>
                <xdr:rowOff>228600</xdr:rowOff>
              </to>
            </anchor>
          </controlPr>
        </control>
      </mc:Choice>
    </mc:AlternateContent>
    <mc:AlternateContent xmlns:mc="http://schemas.openxmlformats.org/markup-compatibility/2006">
      <mc:Choice Requires="x14">
        <control shapeId="1040" r:id="rId13" name="Option Button 16">
          <controlPr defaultSize="0" autoFill="0" autoLine="0" autoPict="0">
            <anchor moveWithCells="1">
              <from>
                <xdr:col>18</xdr:col>
                <xdr:colOff>257175</xdr:colOff>
                <xdr:row>7</xdr:row>
                <xdr:rowOff>285750</xdr:rowOff>
              </from>
              <to>
                <xdr:col>20</xdr:col>
                <xdr:colOff>495300</xdr:colOff>
                <xdr:row>8</xdr:row>
                <xdr:rowOff>190500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B2:V65"/>
  <sheetViews>
    <sheetView showGridLines="0" topLeftCell="A52" zoomScale="70" zoomScaleNormal="70" zoomScaleSheetLayoutView="70" workbookViewId="0">
      <selection activeCell="U12" sqref="U12"/>
    </sheetView>
  </sheetViews>
  <sheetFormatPr baseColWidth="10" defaultColWidth="11.42578125" defaultRowHeight="15"/>
  <cols>
    <col min="1" max="1" width="8.5703125" style="2" customWidth="1"/>
    <col min="2" max="2" width="10.85546875" style="2" customWidth="1"/>
    <col min="3" max="3" width="1.85546875" style="2" customWidth="1"/>
    <col min="4" max="4" width="8.85546875" style="2" customWidth="1"/>
    <col min="5" max="5" width="12.85546875" style="2" customWidth="1"/>
    <col min="6" max="6" width="1.85546875" style="2" customWidth="1"/>
    <col min="7" max="7" width="5.7109375" style="2" customWidth="1"/>
    <col min="8" max="8" width="15.42578125" style="2" customWidth="1"/>
    <col min="9" max="9" width="7.28515625" style="2" customWidth="1"/>
    <col min="10" max="10" width="4.85546875" style="2" customWidth="1"/>
    <col min="11" max="11" width="6.5703125" style="2" customWidth="1"/>
    <col min="12" max="13" width="6.140625" style="2" customWidth="1"/>
    <col min="14" max="14" width="9.5703125" style="2" customWidth="1"/>
    <col min="15" max="15" width="4.5703125" style="2" customWidth="1"/>
    <col min="16" max="16" width="6.5703125" style="2" customWidth="1"/>
    <col min="17" max="17" width="7.42578125" style="2" customWidth="1"/>
    <col min="18" max="18" width="7" style="2" customWidth="1"/>
    <col min="19" max="19" width="24" style="2" customWidth="1"/>
    <col min="20" max="20" width="4.85546875" style="2" customWidth="1"/>
    <col min="21" max="21" width="8.140625" style="2" customWidth="1"/>
    <col min="22" max="22" width="8.85546875" style="2" customWidth="1"/>
    <col min="23" max="16384" width="11.42578125" style="2"/>
  </cols>
  <sheetData>
    <row r="2" spans="2:22" ht="18.75">
      <c r="B2" s="1410"/>
      <c r="C2" s="1410"/>
      <c r="D2" s="1410"/>
      <c r="E2" s="1410"/>
      <c r="F2" s="1410"/>
      <c r="G2" s="1410"/>
      <c r="H2" s="1410"/>
      <c r="I2" s="1410"/>
      <c r="J2" s="1410"/>
      <c r="K2" s="1410"/>
      <c r="L2" s="1410"/>
      <c r="M2" s="1410"/>
      <c r="N2" s="1410"/>
      <c r="O2" s="1410"/>
      <c r="P2" s="1410"/>
      <c r="Q2" s="1410"/>
      <c r="R2" s="1410"/>
      <c r="S2" s="1410"/>
      <c r="T2" s="1410"/>
      <c r="U2" s="1410"/>
      <c r="V2" s="1410"/>
    </row>
    <row r="5" spans="2:22" ht="21" customHeight="1">
      <c r="B5" s="55" t="str">
        <f>IF([1]ACCUEIL!B1=1,"   Corporate name of the entity:","   Dénomination sociale de l'entité:")</f>
        <v xml:space="preserve">   Dénomination sociale de l'entité:</v>
      </c>
      <c r="C5" s="56"/>
      <c r="D5" s="56"/>
      <c r="E5" s="56"/>
      <c r="F5" s="56"/>
      <c r="G5" s="56"/>
      <c r="H5" s="57" t="str">
        <f>'PAGE DE GARDE'!F104</f>
        <v/>
      </c>
      <c r="I5" s="56"/>
      <c r="J5" s="56"/>
      <c r="K5" s="58"/>
      <c r="L5" s="58"/>
      <c r="M5" s="56"/>
      <c r="N5" s="58"/>
      <c r="O5" s="58"/>
      <c r="P5" s="58"/>
      <c r="Q5" s="58"/>
      <c r="R5" s="58"/>
      <c r="S5" s="58"/>
      <c r="T5" s="58"/>
      <c r="U5" s="58"/>
      <c r="V5" s="59"/>
    </row>
    <row r="6" spans="2:22" ht="21" customHeight="1">
      <c r="B6" s="55" t="str">
        <f>IF([1]ACCUEIL!B1=1,"   (or first and last name of the operator ):","   (ou nom et prénom de l'exploitant):")</f>
        <v xml:space="preserve">   (ou nom et prénom de l'exploitant):</v>
      </c>
      <c r="C6" s="56"/>
      <c r="E6" s="56"/>
      <c r="F6" s="56"/>
      <c r="H6" s="60" t="str">
        <f>'PAGE DE GARDE'!C106</f>
        <v/>
      </c>
      <c r="I6" s="56"/>
      <c r="J6" s="56"/>
      <c r="K6" s="56"/>
      <c r="L6" s="56"/>
      <c r="M6" s="56"/>
      <c r="N6" s="56"/>
      <c r="O6" s="56"/>
      <c r="P6" s="56"/>
      <c r="Q6" s="56"/>
      <c r="S6" s="61" t="str">
        <f>+'PAGE DE GARDE'!C108</f>
        <v xml:space="preserve">   SIGLE USUEL:</v>
      </c>
      <c r="T6" s="1411">
        <f>'PAGE DE GARDE'!D108</f>
        <v>0</v>
      </c>
      <c r="U6" s="1411"/>
      <c r="V6" s="1412"/>
    </row>
    <row r="7" spans="2:22" ht="21" customHeight="1">
      <c r="B7" s="62" t="str">
        <f>+'PAGE DE GARDE'!C25</f>
        <v xml:space="preserve">   ADRESSE:</v>
      </c>
      <c r="D7" s="63">
        <f>'PAGE DE GARDE'!E110</f>
        <v>0</v>
      </c>
      <c r="F7" s="58"/>
      <c r="G7" s="58"/>
      <c r="H7" s="58"/>
      <c r="I7" s="58"/>
      <c r="J7" s="58"/>
      <c r="K7" s="58"/>
      <c r="L7" s="58"/>
      <c r="M7" s="58"/>
      <c r="N7" s="58"/>
      <c r="O7" s="58"/>
      <c r="P7" s="58"/>
      <c r="Q7" s="58"/>
      <c r="R7" s="58"/>
      <c r="S7" s="58"/>
      <c r="T7" s="58"/>
      <c r="U7" s="58"/>
      <c r="V7" s="59"/>
    </row>
    <row r="8" spans="2:22" ht="21" customHeight="1">
      <c r="B8" s="64" t="str">
        <f>+'PAGE DE GARDE'!C112</f>
        <v xml:space="preserve">   N° IDENTIFICATION FISCALE:</v>
      </c>
      <c r="C8" s="56"/>
      <c r="D8" s="56"/>
      <c r="E8" s="56"/>
      <c r="F8" s="1413" t="str">
        <f>IF('PAGE DE GARDE'!F112=0,"",'PAGE DE GARDE'!F112)</f>
        <v/>
      </c>
      <c r="G8" s="1413"/>
      <c r="H8" s="1413"/>
      <c r="I8" s="1413"/>
      <c r="J8" s="1413"/>
      <c r="K8" s="65"/>
      <c r="L8" s="66" t="str">
        <f>+'PAGE DE GARDE'!E100</f>
        <v xml:space="preserve">   EXERCICE CLOS LE :</v>
      </c>
      <c r="M8" s="67"/>
      <c r="N8" s="56"/>
      <c r="O8" s="68">
        <f>IF('PAGE DE GARDE'!I100=0,"",'PAGE DE GARDE'!I100)</f>
        <v>31</v>
      </c>
      <c r="P8" s="69">
        <f>IF('PAGE DE GARDE'!J100=0,"",'PAGE DE GARDE'!J100)</f>
        <v>12</v>
      </c>
      <c r="Q8" s="70">
        <f>IF('PAGE DE GARDE'!L100=0,"",'PAGE DE GARDE'!L100)</f>
        <v>2025</v>
      </c>
      <c r="R8" s="56"/>
      <c r="S8" s="71" t="str">
        <f>IF([1]ACCUEIL!B1=1,"Duration (in months):","Durée (en mois):")</f>
        <v>Durée (en mois):</v>
      </c>
      <c r="T8" s="56"/>
      <c r="U8" s="72">
        <f>IF([1]RENSEIGNEMENT!D37=0,"",[1]RENSEIGNEMENT!D37)</f>
        <v>12</v>
      </c>
      <c r="V8" s="73"/>
    </row>
    <row r="9" spans="2:22" ht="9" customHeight="1">
      <c r="B9" s="74"/>
      <c r="F9" s="14"/>
      <c r="H9" s="75"/>
      <c r="I9" s="75"/>
      <c r="J9" s="75"/>
      <c r="K9" s="76"/>
      <c r="L9" s="77"/>
      <c r="M9" s="6"/>
      <c r="N9" s="6"/>
      <c r="O9" s="78"/>
      <c r="P9" s="78"/>
      <c r="Q9" s="79"/>
      <c r="R9" s="6"/>
      <c r="S9" s="77"/>
      <c r="T9" s="6"/>
      <c r="U9" s="75"/>
      <c r="V9" s="7"/>
    </row>
    <row r="10" spans="2:22" s="82" customFormat="1" ht="21.6" customHeight="1">
      <c r="B10" s="80" t="s">
        <v>1</v>
      </c>
      <c r="C10" s="81"/>
      <c r="D10" s="81" t="str">
        <f>IF([1]ACCUEIL!B1=1,"FISCAL YEAR:","EXERCICE COMPTABLE:")</f>
        <v>EXERCICE COMPTABLE:</v>
      </c>
      <c r="E10" s="81"/>
      <c r="F10" s="81"/>
      <c r="G10" s="81"/>
      <c r="I10" s="83" t="str">
        <f>IF([1]ACCUEIL!B1=1,"FROM:","DU:")</f>
        <v>DU:</v>
      </c>
      <c r="J10" s="84">
        <f>IF([1]RENSEIGNEMENT!F35=0,"",[1]RENSEIGNEMENT!F35)</f>
        <v>1</v>
      </c>
      <c r="K10" s="84">
        <f>IF([1]RENSEIGNEMENT!G35=0,"",[1]RENSEIGNEMENT!G35)</f>
        <v>1</v>
      </c>
      <c r="L10" s="85">
        <f>[1]RENSEIGNEMENT!H35</f>
        <v>2024</v>
      </c>
      <c r="M10" s="81"/>
      <c r="O10" s="83" t="str">
        <f>IF([1]ACCUEIL!B1=1,"TO:","AU:")</f>
        <v>AU:</v>
      </c>
      <c r="P10" s="84">
        <f>O8</f>
        <v>31</v>
      </c>
      <c r="Q10" s="84">
        <f>P8</f>
        <v>12</v>
      </c>
      <c r="R10" s="86">
        <f>Q8</f>
        <v>2025</v>
      </c>
      <c r="V10" s="87"/>
    </row>
    <row r="11" spans="2:22" ht="21.6" customHeight="1">
      <c r="B11" s="88"/>
      <c r="C11" s="81"/>
      <c r="D11" s="81"/>
      <c r="E11" s="81"/>
      <c r="F11" s="81"/>
      <c r="G11" s="81"/>
      <c r="H11" s="81"/>
      <c r="I11" s="81"/>
      <c r="J11" s="81"/>
      <c r="K11" s="81"/>
      <c r="L11" s="81"/>
      <c r="M11" s="89"/>
      <c r="N11" s="89"/>
      <c r="O11" s="89"/>
      <c r="P11" s="81"/>
      <c r="Q11" s="81"/>
      <c r="R11" s="81"/>
      <c r="S11" s="81"/>
      <c r="T11" s="81"/>
      <c r="U11" s="81"/>
      <c r="V11" s="87"/>
    </row>
    <row r="12" spans="2:22" s="90" customFormat="1" ht="21.6" customHeight="1">
      <c r="B12" s="80" t="s">
        <v>2</v>
      </c>
      <c r="C12" s="81"/>
      <c r="D12" s="1414" t="str">
        <f>IF([1]ACCUEIL!B1=1,"EFFECTIVE CLOSING DATE OF THE ACCOUNTS:","DATE D'ARRETE EFECTIF DES COMPTES:")</f>
        <v>DATE D'ARRETE EFECTIF DES COMPTES:</v>
      </c>
      <c r="E12" s="1414"/>
      <c r="F12" s="1414"/>
      <c r="G12" s="1414"/>
      <c r="H12" s="1414"/>
      <c r="I12" s="1415">
        <f>IF([1]RENSEIGNEMENT!E39=0,"",[1]RENSEIGNEMENT!E39)</f>
        <v>45777</v>
      </c>
      <c r="J12" s="1415"/>
      <c r="K12" s="1415"/>
      <c r="O12" s="81"/>
      <c r="P12" s="81"/>
      <c r="Q12" s="81"/>
      <c r="R12" s="81"/>
      <c r="S12" s="81"/>
      <c r="T12" s="81"/>
      <c r="U12" s="81"/>
      <c r="V12" s="87"/>
    </row>
    <row r="13" spans="2:22" ht="21.6" customHeight="1">
      <c r="B13" s="88"/>
      <c r="C13" s="81"/>
      <c r="D13" s="81"/>
      <c r="E13" s="81"/>
      <c r="F13" s="81"/>
      <c r="G13" s="81"/>
      <c r="H13" s="81"/>
      <c r="I13" s="81"/>
      <c r="J13" s="81"/>
      <c r="K13" s="81"/>
      <c r="L13" s="81"/>
      <c r="M13" s="81"/>
      <c r="N13" s="81"/>
      <c r="O13" s="81"/>
      <c r="P13" s="81"/>
      <c r="Q13" s="81"/>
      <c r="R13" s="81"/>
      <c r="S13" s="81"/>
      <c r="T13" s="81"/>
      <c r="U13" s="81"/>
      <c r="V13" s="87"/>
    </row>
    <row r="14" spans="2:22" s="82" customFormat="1" ht="21.6" customHeight="1">
      <c r="B14" s="80" t="s">
        <v>3</v>
      </c>
      <c r="C14" s="81"/>
      <c r="D14" s="81"/>
      <c r="E14" s="1408" t="str">
        <f>IF([1]ACCUEIL!B1=1,"PREVIOUS YEAR ENDED:","EXERCICE PRECEDENT CLOS LE:")</f>
        <v>EXERCICE PRECEDENT CLOS LE:</v>
      </c>
      <c r="F14" s="1408"/>
      <c r="G14" s="1408"/>
      <c r="H14" s="1408"/>
      <c r="I14" s="84">
        <f>IF([1]RENSEIGNEMENT!G16=0,"",[1]RENSEIGNEMENT!G16)</f>
        <v>31</v>
      </c>
      <c r="J14" s="84">
        <f>IF([1]RENSEIGNEMENT!H16=0,"",[1]RENSEIGNEMENT!H16)</f>
        <v>12</v>
      </c>
      <c r="K14" s="86">
        <f>IF([1]RENSEIGNEMENT!J16=0,"",[1]RENSEIGNEMENT!J16)</f>
        <v>2024</v>
      </c>
      <c r="L14" s="81"/>
      <c r="M14" s="81"/>
      <c r="N14" s="81"/>
      <c r="O14" s="1409" t="str">
        <f>IF([1]ACCUEIL!B1=1,"PERIOD OF THE PREVIOUS FINANCIAL YEAR IN MONTHS:","DUREE D'EXERCICE PRECEDENT EN MOIS:")</f>
        <v>DUREE D'EXERCICE PRECEDENT EN MOIS:</v>
      </c>
      <c r="P14" s="1409"/>
      <c r="Q14" s="1409"/>
      <c r="R14" s="1409"/>
      <c r="S14" s="1409"/>
      <c r="T14" s="91">
        <f>IF([1]RENSEIGNEMENT!P16=0,"",[1]RENSEIGNEMENT!P16)</f>
        <v>12</v>
      </c>
      <c r="U14" s="91"/>
      <c r="V14" s="87"/>
    </row>
    <row r="15" spans="2:22" ht="21.6" customHeight="1">
      <c r="B15" s="88"/>
      <c r="C15" s="81"/>
      <c r="D15" s="81"/>
      <c r="E15" s="81"/>
      <c r="F15" s="81"/>
      <c r="G15" s="81"/>
      <c r="H15" s="81"/>
      <c r="I15" s="92"/>
      <c r="J15" s="81"/>
      <c r="K15" s="81"/>
      <c r="L15" s="81"/>
      <c r="M15" s="81"/>
      <c r="N15" s="81"/>
      <c r="O15" s="81"/>
      <c r="P15" s="81"/>
      <c r="Q15" s="81"/>
      <c r="R15" s="81"/>
      <c r="S15" s="81"/>
      <c r="T15" s="81"/>
      <c r="U15" s="92"/>
      <c r="V15" s="87"/>
    </row>
    <row r="16" spans="2:22" ht="21.6" customHeight="1">
      <c r="B16" s="80" t="s">
        <v>4</v>
      </c>
      <c r="C16" s="81"/>
      <c r="D16" s="93" t="str">
        <f>IF([1]RENSEIGNEMENT!B41=0,"",[1]RENSEIGNEMENT!B41)</f>
        <v/>
      </c>
      <c r="E16" s="1418" t="str">
        <f>IF([1]RENSEIGNEMENT!D41=0,"",[1]RENSEIGNEMENT!D41)</f>
        <v/>
      </c>
      <c r="F16" s="1419"/>
      <c r="G16" s="1419"/>
      <c r="H16" s="1419"/>
      <c r="I16" s="1420"/>
      <c r="J16" s="94"/>
      <c r="K16" s="81"/>
      <c r="L16" s="81"/>
      <c r="M16" s="81"/>
      <c r="N16" s="87"/>
      <c r="O16" s="1418" t="str">
        <f>IF([1]RENSEIGNEMENT!H41=0,"",[1]RENSEIGNEMENT!H41)</f>
        <v/>
      </c>
      <c r="P16" s="1419"/>
      <c r="Q16" s="1419"/>
      <c r="R16" s="1419"/>
      <c r="S16" s="1420"/>
      <c r="T16" s="81"/>
      <c r="U16" s="81"/>
      <c r="V16" s="87"/>
    </row>
    <row r="17" spans="2:22" s="82" customFormat="1" ht="21.6" customHeight="1">
      <c r="B17" s="95"/>
      <c r="C17" s="81"/>
      <c r="D17" s="89" t="str">
        <f>IF([1]ACCUEIL!B1=1,"Registry","Greffe")</f>
        <v>Greffe</v>
      </c>
      <c r="E17" s="1416" t="str">
        <f>IF([1]ACCUEIL!B1=1,"Trade Register No.","N° Registre du Commerce")</f>
        <v>N° Registre du Commerce</v>
      </c>
      <c r="F17" s="1416"/>
      <c r="G17" s="1416"/>
      <c r="H17" s="1416"/>
      <c r="I17" s="1416"/>
      <c r="J17" s="96"/>
      <c r="K17" s="96"/>
      <c r="L17" s="96"/>
      <c r="M17" s="96"/>
      <c r="N17" s="96"/>
      <c r="O17" s="1416" t="str">
        <f>IF([1]ACCUEIL!B1=1,"Entity directory number","N° de répertoire des entité")</f>
        <v>N° de répertoire des entité</v>
      </c>
      <c r="P17" s="1416"/>
      <c r="Q17" s="1416"/>
      <c r="R17" s="1416"/>
      <c r="S17" s="1416"/>
      <c r="T17" s="96"/>
      <c r="U17" s="96"/>
      <c r="V17" s="87"/>
    </row>
    <row r="18" spans="2:22" ht="21.6" customHeight="1">
      <c r="B18" s="97"/>
      <c r="C18" s="81"/>
      <c r="D18" s="81"/>
      <c r="E18" s="81"/>
      <c r="F18" s="81"/>
      <c r="G18" s="81"/>
      <c r="H18" s="81"/>
      <c r="I18" s="81"/>
      <c r="J18" s="81"/>
      <c r="K18" s="81"/>
      <c r="L18" s="81"/>
      <c r="M18" s="81"/>
      <c r="N18" s="81"/>
      <c r="O18" s="81"/>
      <c r="P18" s="81"/>
      <c r="Q18" s="81"/>
      <c r="R18" s="81"/>
      <c r="S18" s="81"/>
      <c r="T18" s="81"/>
      <c r="U18" s="81"/>
      <c r="V18" s="87"/>
    </row>
    <row r="19" spans="2:22" ht="21.6" customHeight="1">
      <c r="B19" s="80" t="s">
        <v>5</v>
      </c>
      <c r="C19" s="87"/>
      <c r="D19" s="1418" t="str">
        <f>IF([1]RENSEIGNEMENT!B44=0,"",[1]RENSEIGNEMENT!B44)</f>
        <v/>
      </c>
      <c r="E19" s="1420"/>
      <c r="F19" s="81"/>
      <c r="G19" s="87"/>
      <c r="H19" s="1418" t="str">
        <f>IF([1]RENSEIGNEMENT!F44=0,"",[1]RENSEIGNEMENT!F44)</f>
        <v/>
      </c>
      <c r="I19" s="1419"/>
      <c r="J19" s="1419"/>
      <c r="K19" s="1420"/>
      <c r="L19" s="94"/>
      <c r="M19" s="81"/>
      <c r="N19" s="81"/>
      <c r="O19" s="81"/>
      <c r="P19" s="81"/>
      <c r="Q19" s="87"/>
      <c r="R19" s="1418" t="str">
        <f>IF([1]RENSEIGNEMENT!I44=0,"",[1]RENSEIGNEMENT!I44)</f>
        <v/>
      </c>
      <c r="S19" s="1419"/>
      <c r="T19" s="1419"/>
      <c r="U19" s="1419"/>
      <c r="V19" s="1420"/>
    </row>
    <row r="20" spans="2:22" s="82" customFormat="1" ht="21.6" customHeight="1">
      <c r="B20" s="95"/>
      <c r="C20" s="81"/>
      <c r="D20" s="1416" t="str">
        <f>IF([1]ACCUEIL!B1=1,"Social security number","N° de caisse sociale")</f>
        <v>N° de caisse sociale</v>
      </c>
      <c r="E20" s="1416"/>
      <c r="F20" s="81"/>
      <c r="G20" s="81"/>
      <c r="H20" s="1416" t="str">
        <f>IF([1]ACCUEIL!B1=1,"Import code","Code importateur")</f>
        <v>Code importateur</v>
      </c>
      <c r="I20" s="1416"/>
      <c r="J20" s="1416"/>
      <c r="K20" s="1416"/>
      <c r="L20" s="81"/>
      <c r="M20" s="81"/>
      <c r="N20" s="81"/>
      <c r="O20" s="81"/>
      <c r="P20" s="81"/>
      <c r="Q20" s="81" t="s">
        <v>0</v>
      </c>
      <c r="R20" s="1416" t="str">
        <f>IF([1]ACCUEIL!B1=1,"Main activity code","Code activité principale")</f>
        <v>Code activité principale</v>
      </c>
      <c r="S20" s="1416"/>
      <c r="T20" s="1416"/>
      <c r="U20" s="1416"/>
      <c r="V20" s="1417"/>
    </row>
    <row r="21" spans="2:22" ht="21.6" customHeight="1">
      <c r="B21" s="98"/>
      <c r="C21" s="81"/>
      <c r="D21" s="81"/>
      <c r="E21" s="81"/>
      <c r="F21" s="81"/>
      <c r="G21" s="81"/>
      <c r="H21" s="81"/>
      <c r="I21" s="81"/>
      <c r="J21" s="81"/>
      <c r="K21" s="81"/>
      <c r="L21" s="81"/>
      <c r="M21" s="81"/>
      <c r="N21" s="81"/>
      <c r="O21" s="81"/>
      <c r="P21" s="81"/>
      <c r="Q21" s="81"/>
      <c r="R21" s="81"/>
      <c r="S21" s="81"/>
      <c r="T21" s="81"/>
      <c r="U21" s="81"/>
      <c r="V21" s="87"/>
    </row>
    <row r="22" spans="2:22" ht="21.6" customHeight="1">
      <c r="B22" s="80" t="s">
        <v>6</v>
      </c>
      <c r="C22" s="94"/>
      <c r="D22" s="1419" t="str">
        <f>IF([1]RENSEIGNEMENT!B47=0,"",[1]RENSEIGNEMENT!B47)</f>
        <v/>
      </c>
      <c r="E22" s="1419"/>
      <c r="F22" s="1419"/>
      <c r="G22" s="1419"/>
      <c r="H22" s="1419"/>
      <c r="I22" s="1419"/>
      <c r="J22" s="1419"/>
      <c r="K22" s="1419"/>
      <c r="L22" s="1419"/>
      <c r="M22" s="1419"/>
      <c r="N22" s="1419"/>
      <c r="O22" s="1419"/>
      <c r="P22" s="1419"/>
      <c r="Q22" s="1420"/>
      <c r="R22" s="1418" t="str">
        <f>IF('PAGE DE GARDE'!D108=0,"",'PAGE DE GARDE'!D108)</f>
        <v/>
      </c>
      <c r="S22" s="1419"/>
      <c r="T22" s="1419"/>
      <c r="U22" s="1419"/>
      <c r="V22" s="1420"/>
    </row>
    <row r="23" spans="2:22" s="82" customFormat="1" ht="21.6" customHeight="1">
      <c r="B23" s="99"/>
      <c r="C23" s="81"/>
      <c r="D23" s="1416" t="str">
        <f>IF([1]ACCUEIL!B1=1,"Designation of the entity","Désignation de l'entité")</f>
        <v>Désignation de l'entité</v>
      </c>
      <c r="E23" s="1416"/>
      <c r="F23" s="1416"/>
      <c r="G23" s="1416"/>
      <c r="H23" s="1416"/>
      <c r="I23" s="1416"/>
      <c r="J23" s="1416"/>
      <c r="K23" s="1416"/>
      <c r="L23" s="1416"/>
      <c r="M23" s="1416"/>
      <c r="N23" s="1416"/>
      <c r="O23" s="1416"/>
      <c r="P23" s="1416"/>
      <c r="Q23" s="1416"/>
      <c r="R23" s="1416" t="str">
        <f>IF([1]ACCUEIL!B1=1,"Acronym","Sigle")</f>
        <v>Sigle</v>
      </c>
      <c r="S23" s="1416"/>
      <c r="T23" s="1416"/>
      <c r="U23" s="1416"/>
      <c r="V23" s="1417"/>
    </row>
    <row r="24" spans="2:22" ht="21.6" customHeight="1">
      <c r="B24" s="13"/>
      <c r="C24" s="81"/>
      <c r="D24" s="81"/>
      <c r="E24" s="81"/>
      <c r="F24" s="81"/>
      <c r="G24" s="81"/>
      <c r="H24" s="81"/>
      <c r="I24" s="81"/>
      <c r="J24" s="81"/>
      <c r="K24" s="81"/>
      <c r="L24" s="81"/>
      <c r="M24" s="81"/>
      <c r="N24" s="81"/>
      <c r="O24" s="81"/>
      <c r="P24" s="81"/>
      <c r="Q24" s="81"/>
      <c r="R24" s="81"/>
      <c r="S24" s="81"/>
      <c r="T24" s="81"/>
      <c r="U24" s="81"/>
      <c r="V24" s="87"/>
    </row>
    <row r="25" spans="2:22" s="82" customFormat="1" ht="21.6" customHeight="1">
      <c r="B25" s="80" t="s">
        <v>7</v>
      </c>
      <c r="C25" s="87"/>
      <c r="D25" s="1421" t="str">
        <f>IF([1]RENSEIGNEMENT!B50=0,"",[1]RENSEIGNEMENT!B50)</f>
        <v/>
      </c>
      <c r="E25" s="1422"/>
      <c r="F25" s="94"/>
      <c r="G25" s="1423" t="str">
        <f>IF([1]RENSEIGNEMENT!E50=0,"",[1]RENSEIGNEMENT!E50)</f>
        <v/>
      </c>
      <c r="H25" s="1424"/>
      <c r="I25" s="1424"/>
      <c r="J25" s="1424"/>
      <c r="K25" s="1425"/>
      <c r="L25" s="81"/>
      <c r="M25" s="1426" t="str">
        <f>IF([1]RENSEIGNEMENT!I50=0,"",[1]RENSEIGNEMENT!I50)</f>
        <v/>
      </c>
      <c r="N25" s="1427"/>
      <c r="O25" s="1428"/>
      <c r="P25" s="1429" t="str">
        <f>IF([1]RENSEIGNEMENT!L50=0,"",[1]RENSEIGNEMENT!L50)</f>
        <v/>
      </c>
      <c r="Q25" s="1430"/>
      <c r="R25" s="1431"/>
      <c r="S25" s="1418" t="str">
        <f>IF([1]RENSEIGNEMENT!O50=0,"",[1]RENSEIGNEMENT!O50)</f>
        <v/>
      </c>
      <c r="T25" s="1419"/>
      <c r="U25" s="1419"/>
      <c r="V25" s="1420"/>
    </row>
    <row r="26" spans="2:22" s="82" customFormat="1" ht="21.6" customHeight="1">
      <c r="B26" s="100"/>
      <c r="C26" s="81"/>
      <c r="D26" s="1416" t="str">
        <f>IF([1]ACCUEIL!B1=1,"Telephone number","N° de téléphone")</f>
        <v>N° de téléphone</v>
      </c>
      <c r="E26" s="1416"/>
      <c r="F26" s="81"/>
      <c r="G26" s="1416" t="str">
        <f>IF([1]ACCUEIL!B1=1,"Email","Email")</f>
        <v>Email</v>
      </c>
      <c r="H26" s="1416"/>
      <c r="I26" s="1416"/>
      <c r="J26" s="1416"/>
      <c r="K26" s="1416"/>
      <c r="L26" s="81" t="s">
        <v>8</v>
      </c>
      <c r="M26" s="1416" t="str">
        <f>IF([1]ACCUEIL!B1=1," Code"," Code")</f>
        <v xml:space="preserve"> Code</v>
      </c>
      <c r="N26" s="1416"/>
      <c r="O26" s="1416"/>
      <c r="P26" s="1416" t="str">
        <f>IF([1]ACCUEIL!B1=1,"P.O. Box","Boite postale")</f>
        <v>Boite postale</v>
      </c>
      <c r="Q26" s="1416"/>
      <c r="R26" s="1416"/>
      <c r="S26" s="1416" t="str">
        <f>IF([1]ACCUEIL!B1=1,"City","Ville")</f>
        <v>Ville</v>
      </c>
      <c r="T26" s="1416"/>
      <c r="U26" s="1416"/>
      <c r="V26" s="1417"/>
    </row>
    <row r="27" spans="2:22" ht="21.6" customHeight="1">
      <c r="B27" s="13"/>
      <c r="C27" s="81"/>
      <c r="D27" s="81"/>
      <c r="E27" s="81"/>
      <c r="F27" s="81"/>
      <c r="G27" s="81"/>
      <c r="H27" s="81"/>
      <c r="I27" s="81"/>
      <c r="J27" s="81"/>
      <c r="K27" s="81"/>
      <c r="L27" s="81"/>
      <c r="M27" s="81"/>
      <c r="N27" s="81"/>
      <c r="O27" s="81"/>
      <c r="P27" s="81"/>
      <c r="Q27" s="81"/>
      <c r="R27" s="81"/>
      <c r="S27" s="81"/>
      <c r="T27" s="81"/>
      <c r="U27" s="81"/>
      <c r="V27" s="87"/>
    </row>
    <row r="28" spans="2:22" s="82" customFormat="1" ht="21.6" customHeight="1">
      <c r="B28" s="80" t="s">
        <v>9</v>
      </c>
      <c r="C28" s="87"/>
      <c r="D28" s="1418" t="str">
        <f>IF([1]RENSEIGNEMENT!B53=0,"",[1]RENSEIGNEMENT!B53)</f>
        <v/>
      </c>
      <c r="E28" s="1419"/>
      <c r="F28" s="1419"/>
      <c r="G28" s="1419"/>
      <c r="H28" s="1419"/>
      <c r="I28" s="1419"/>
      <c r="J28" s="1419"/>
      <c r="K28" s="1419"/>
      <c r="L28" s="1419"/>
      <c r="M28" s="1419"/>
      <c r="N28" s="1419"/>
      <c r="O28" s="1419"/>
      <c r="P28" s="1419"/>
      <c r="Q28" s="1419"/>
      <c r="R28" s="1419"/>
      <c r="S28" s="1419"/>
      <c r="T28" s="1419"/>
      <c r="U28" s="1419"/>
      <c r="V28" s="1420"/>
    </row>
    <row r="29" spans="2:22" s="82" customFormat="1" ht="21.6" customHeight="1">
      <c r="B29" s="99"/>
      <c r="C29" s="81"/>
      <c r="D29" s="1416" t="str">
        <f>IF([1]ACCUEIL!B1=1,"Full geographical address (building, street, district, city, country)","Adresse géographique complete ( immeuble, rue, quartier, ville, pays)")</f>
        <v>Adresse géographique complete ( immeuble, rue, quartier, ville, pays)</v>
      </c>
      <c r="E29" s="1416"/>
      <c r="F29" s="1416"/>
      <c r="G29" s="1416"/>
      <c r="H29" s="1416"/>
      <c r="I29" s="1416"/>
      <c r="J29" s="1416"/>
      <c r="K29" s="1416"/>
      <c r="L29" s="1416"/>
      <c r="M29" s="1416"/>
      <c r="N29" s="1416"/>
      <c r="O29" s="1416"/>
      <c r="P29" s="1416"/>
      <c r="Q29" s="1416"/>
      <c r="R29" s="1416"/>
      <c r="S29" s="1416"/>
      <c r="T29" s="1416"/>
      <c r="U29" s="1416"/>
      <c r="V29" s="1417"/>
    </row>
    <row r="30" spans="2:22" ht="21.6" customHeight="1">
      <c r="B30" s="35"/>
      <c r="C30" s="81"/>
      <c r="D30" s="81"/>
      <c r="E30" s="81"/>
      <c r="F30" s="81"/>
      <c r="G30" s="81"/>
      <c r="H30" s="81"/>
      <c r="I30" s="81"/>
      <c r="J30" s="81"/>
      <c r="K30" s="81"/>
      <c r="L30" s="81"/>
      <c r="M30" s="81"/>
      <c r="N30" s="81"/>
      <c r="O30" s="81"/>
      <c r="P30" s="81"/>
      <c r="Q30" s="81"/>
      <c r="R30" s="81"/>
      <c r="S30" s="81"/>
      <c r="T30" s="81"/>
      <c r="U30" s="81"/>
      <c r="V30" s="87"/>
    </row>
    <row r="31" spans="2:22" s="82" customFormat="1" ht="21.6" customHeight="1">
      <c r="B31" s="80" t="s">
        <v>10</v>
      </c>
      <c r="C31" s="87"/>
      <c r="D31" s="1418" t="str">
        <f>IF([1]RENSEIGNEMENT!B56=0,"",[1]RENSEIGNEMENT!B56)</f>
        <v/>
      </c>
      <c r="E31" s="1419"/>
      <c r="F31" s="1419"/>
      <c r="G31" s="1419"/>
      <c r="H31" s="1419"/>
      <c r="I31" s="1419"/>
      <c r="J31" s="1419"/>
      <c r="K31" s="1419"/>
      <c r="L31" s="1419"/>
      <c r="M31" s="1419"/>
      <c r="N31" s="1419"/>
      <c r="O31" s="1419"/>
      <c r="P31" s="1419"/>
      <c r="Q31" s="1419"/>
      <c r="R31" s="1419"/>
      <c r="S31" s="1419"/>
      <c r="T31" s="1419"/>
      <c r="U31" s="1419"/>
      <c r="V31" s="1420"/>
    </row>
    <row r="32" spans="2:22" s="82" customFormat="1" ht="21.6" customHeight="1">
      <c r="B32" s="99"/>
      <c r="C32" s="81"/>
      <c r="D32" s="1416" t="str">
        <f>IF([1]ACCUEIL!B1=1,"Precise designation of the activity carried on by the entity","Désignation précise de l'activité exercée par l'entité")</f>
        <v>Désignation précise de l'activité exercée par l'entité</v>
      </c>
      <c r="E32" s="1416"/>
      <c r="F32" s="1416"/>
      <c r="G32" s="1416"/>
      <c r="H32" s="1416"/>
      <c r="I32" s="1416"/>
      <c r="J32" s="1416"/>
      <c r="K32" s="1416"/>
      <c r="L32" s="1416"/>
      <c r="M32" s="1416"/>
      <c r="N32" s="1416"/>
      <c r="O32" s="1416"/>
      <c r="P32" s="1416"/>
      <c r="Q32" s="1416"/>
      <c r="R32" s="1416"/>
      <c r="S32" s="1416"/>
      <c r="T32" s="1416"/>
      <c r="U32" s="1416"/>
      <c r="V32" s="1417"/>
    </row>
    <row r="33" spans="2:22" s="82" customFormat="1" ht="21.6" customHeight="1">
      <c r="B33" s="100"/>
      <c r="C33" s="81"/>
      <c r="D33" s="81"/>
      <c r="E33" s="81"/>
      <c r="F33" s="81"/>
      <c r="G33" s="81"/>
      <c r="H33" s="81"/>
      <c r="I33" s="81"/>
      <c r="J33" s="81"/>
      <c r="K33" s="81"/>
      <c r="L33" s="81"/>
      <c r="M33" s="81"/>
      <c r="N33" s="81"/>
      <c r="O33" s="81"/>
      <c r="P33" s="81"/>
      <c r="Q33" s="81"/>
      <c r="R33" s="81"/>
      <c r="S33" s="81"/>
      <c r="T33" s="81"/>
      <c r="U33" s="81"/>
      <c r="V33" s="87"/>
    </row>
    <row r="34" spans="2:22" s="82" customFormat="1" ht="21.6" customHeight="1">
      <c r="B34" s="100"/>
      <c r="C34" s="87"/>
      <c r="D34" s="1418" t="str">
        <f>IF([1]RENSEIGNEMENT!B59=0,"",[1]RENSEIGNEMENT!B59)</f>
        <v/>
      </c>
      <c r="E34" s="1419"/>
      <c r="F34" s="1419"/>
      <c r="G34" s="1419"/>
      <c r="H34" s="1419"/>
      <c r="I34" s="1419"/>
      <c r="J34" s="1419"/>
      <c r="K34" s="1419"/>
      <c r="L34" s="1419"/>
      <c r="M34" s="1419"/>
      <c r="N34" s="1419"/>
      <c r="O34" s="1419"/>
      <c r="P34" s="1419"/>
      <c r="Q34" s="1419"/>
      <c r="R34" s="1419"/>
      <c r="S34" s="1419"/>
      <c r="T34" s="1419"/>
      <c r="U34" s="1419"/>
      <c r="V34" s="1420"/>
    </row>
    <row r="35" spans="2:22" s="82" customFormat="1" ht="21.6" customHeight="1">
      <c r="B35" s="100"/>
      <c r="C35" s="81"/>
      <c r="D35" s="1416" t="str">
        <f>IF([1]ACCUEIL!B1=1,"Name, address and position of the person to contact if additional information is requested","Nom, adresse et qualité de la personne à contacter en cas de demande des informations complementaire")</f>
        <v>Nom, adresse et qualité de la personne à contacter en cas de demande des informations complementaire</v>
      </c>
      <c r="E35" s="1416"/>
      <c r="F35" s="1416"/>
      <c r="G35" s="1416"/>
      <c r="H35" s="1416"/>
      <c r="I35" s="1416"/>
      <c r="J35" s="1416"/>
      <c r="K35" s="1416"/>
      <c r="L35" s="1416"/>
      <c r="M35" s="1416"/>
      <c r="N35" s="1416"/>
      <c r="O35" s="1416"/>
      <c r="P35" s="1416"/>
      <c r="Q35" s="1416"/>
      <c r="R35" s="1416"/>
      <c r="S35" s="1416"/>
      <c r="T35" s="1416"/>
      <c r="U35" s="1416"/>
      <c r="V35" s="1417"/>
    </row>
    <row r="36" spans="2:22" s="82" customFormat="1" ht="21.6" customHeight="1">
      <c r="B36" s="100"/>
      <c r="C36" s="81"/>
      <c r="D36" s="81"/>
      <c r="E36" s="81"/>
      <c r="F36" s="81"/>
      <c r="G36" s="81"/>
      <c r="H36" s="81"/>
      <c r="I36" s="81"/>
      <c r="J36" s="81"/>
      <c r="K36" s="81"/>
      <c r="L36" s="81"/>
      <c r="M36" s="81"/>
      <c r="N36" s="81"/>
      <c r="O36" s="81"/>
      <c r="P36" s="81"/>
      <c r="Q36" s="81"/>
      <c r="R36" s="81"/>
      <c r="S36" s="81"/>
      <c r="T36" s="81"/>
      <c r="U36" s="81"/>
      <c r="V36" s="87"/>
    </row>
    <row r="37" spans="2:22" s="82" customFormat="1" ht="21.6" customHeight="1">
      <c r="B37" s="100"/>
      <c r="C37" s="87"/>
      <c r="D37" s="1418" t="str">
        <f>IF([1]RENSEIGNEMENT!B62=0,"",[1]RENSEIGNEMENT!B62)</f>
        <v/>
      </c>
      <c r="E37" s="1419"/>
      <c r="F37" s="1419"/>
      <c r="G37" s="1419"/>
      <c r="H37" s="1419"/>
      <c r="I37" s="1419"/>
      <c r="J37" s="1419"/>
      <c r="K37" s="1419"/>
      <c r="L37" s="1419"/>
      <c r="M37" s="1419"/>
      <c r="N37" s="1419"/>
      <c r="O37" s="1419"/>
      <c r="P37" s="1419"/>
      <c r="Q37" s="1419"/>
      <c r="R37" s="1419"/>
      <c r="S37" s="1419"/>
      <c r="T37" s="1419"/>
      <c r="U37" s="1419"/>
      <c r="V37" s="1420"/>
    </row>
    <row r="38" spans="2:22" s="82" customFormat="1" ht="21.6" customHeight="1">
      <c r="B38" s="100"/>
      <c r="C38" s="81"/>
      <c r="D38" s="1416" t="str">
        <f>IF([1]ACCUEIL!B1=1,"Name of the salaried professional of the entity or","Nom du professionnel salarié de l'entité ou")</f>
        <v>Nom du professionnel salarié de l'entité ou</v>
      </c>
      <c r="E38" s="1416"/>
      <c r="F38" s="1416"/>
      <c r="G38" s="1416"/>
      <c r="H38" s="1416"/>
      <c r="I38" s="1416"/>
      <c r="J38" s="1416"/>
      <c r="K38" s="1416"/>
      <c r="L38" s="1416"/>
      <c r="M38" s="1416"/>
      <c r="N38" s="1416"/>
      <c r="O38" s="1416"/>
      <c r="P38" s="1416"/>
      <c r="Q38" s="1416"/>
      <c r="R38" s="1416"/>
      <c r="S38" s="1416"/>
      <c r="T38" s="1416"/>
      <c r="U38" s="1416"/>
      <c r="V38" s="1417"/>
    </row>
    <row r="39" spans="2:22" s="82" customFormat="1" ht="21.6" customHeight="1">
      <c r="B39" s="100"/>
      <c r="C39" s="81"/>
      <c r="D39" s="1409" t="str">
        <f>IF([1]ACCUEIL!B1=1,"name, address and telephone number of the accounting firm or professional registered with the National ","nom, adresse et téléphone du cabinet comptable ou du professionnel INSCRIT A L'ORDRE NATIONAL")</f>
        <v>nom, adresse et téléphone du cabinet comptable ou du professionnel INSCRIT A L'ORDRE NATIONAL</v>
      </c>
      <c r="E39" s="1409"/>
      <c r="F39" s="1409"/>
      <c r="G39" s="1409"/>
      <c r="H39" s="1409"/>
      <c r="I39" s="1409"/>
      <c r="J39" s="1409"/>
      <c r="K39" s="1409"/>
      <c r="L39" s="1409"/>
      <c r="M39" s="1409"/>
      <c r="N39" s="1409"/>
      <c r="O39" s="1409"/>
      <c r="P39" s="1409"/>
      <c r="Q39" s="1409"/>
      <c r="R39" s="1409"/>
      <c r="S39" s="1409"/>
      <c r="T39" s="1409"/>
      <c r="U39" s="1409"/>
      <c r="V39" s="1435"/>
    </row>
    <row r="40" spans="2:22" s="82" customFormat="1" ht="21.6" customHeight="1">
      <c r="B40" s="100"/>
      <c r="C40" s="81"/>
      <c r="D40" s="1409" t="str">
        <f>IF([1]ACCUEIL!B1=1,"Order of Chartered Accountants and Chartered Accountants that prepared the financial statements","DES EXPERTS COMPTABLES ET DES COMPTABLES AGREES ayant établi les etats financiers")</f>
        <v>DES EXPERTS COMPTABLES ET DES COMPTABLES AGREES ayant établi les etats financiers</v>
      </c>
      <c r="E40" s="1409"/>
      <c r="F40" s="1409"/>
      <c r="G40" s="1409"/>
      <c r="H40" s="1409"/>
      <c r="I40" s="1409"/>
      <c r="J40" s="1409"/>
      <c r="K40" s="1409"/>
      <c r="L40" s="1409"/>
      <c r="M40" s="1409"/>
      <c r="N40" s="1409"/>
      <c r="O40" s="1409"/>
      <c r="P40" s="1409"/>
      <c r="Q40" s="1409"/>
      <c r="R40" s="1409"/>
      <c r="S40" s="1409"/>
      <c r="T40" s="1409"/>
      <c r="U40" s="1409"/>
      <c r="V40" s="1435"/>
    </row>
    <row r="41" spans="2:22" s="82" customFormat="1" ht="21.6" customHeight="1">
      <c r="B41" s="100"/>
      <c r="C41" s="81"/>
      <c r="D41" s="81"/>
      <c r="E41" s="81"/>
      <c r="F41" s="81"/>
      <c r="G41" s="81"/>
      <c r="H41" s="81"/>
      <c r="I41" s="81"/>
      <c r="J41" s="81"/>
      <c r="K41" s="81"/>
      <c r="L41" s="81"/>
      <c r="M41" s="34"/>
      <c r="N41" s="81"/>
      <c r="O41" s="81"/>
      <c r="P41" s="81"/>
      <c r="Q41" s="81"/>
      <c r="R41" s="81"/>
      <c r="S41" s="81"/>
      <c r="T41" s="81"/>
      <c r="U41" s="81"/>
      <c r="V41" s="87"/>
    </row>
    <row r="42" spans="2:22" s="82" customFormat="1" ht="21.6" customHeight="1">
      <c r="B42" s="100"/>
      <c r="C42" s="87"/>
      <c r="D42" s="1418" t="str">
        <f>IF([1]RENSEIGNEMENT!B67=0,"",[1]RENSEIGNEMENT!B67)</f>
        <v/>
      </c>
      <c r="E42" s="1419"/>
      <c r="F42" s="1419"/>
      <c r="G42" s="1419"/>
      <c r="H42" s="1419"/>
      <c r="I42" s="1419"/>
      <c r="J42" s="1419"/>
      <c r="K42" s="1419"/>
      <c r="L42" s="1419"/>
      <c r="M42" s="1419"/>
      <c r="N42" s="1419"/>
      <c r="O42" s="1419"/>
      <c r="P42" s="1419"/>
      <c r="Q42" s="1419"/>
      <c r="R42" s="1419"/>
      <c r="S42" s="1419"/>
      <c r="T42" s="1419"/>
      <c r="U42" s="1419"/>
      <c r="V42" s="1420"/>
    </row>
    <row r="43" spans="2:22" s="82" customFormat="1" ht="21.6" customHeight="1">
      <c r="B43" s="100"/>
      <c r="C43" s="81"/>
      <c r="D43" s="81"/>
      <c r="E43" s="81"/>
      <c r="F43" s="81"/>
      <c r="G43" s="81"/>
      <c r="H43" s="81"/>
      <c r="I43" s="81"/>
      <c r="J43" s="81"/>
      <c r="K43" s="81"/>
      <c r="L43" s="81"/>
      <c r="M43" s="81"/>
      <c r="N43" s="81"/>
      <c r="O43" s="81"/>
      <c r="P43" s="81"/>
      <c r="Q43" s="81"/>
      <c r="R43" s="81"/>
      <c r="S43" s="81"/>
      <c r="T43" s="81"/>
      <c r="U43" s="81"/>
      <c r="V43" s="101"/>
    </row>
    <row r="44" spans="2:22" s="82" customFormat="1" ht="21.6" customHeight="1">
      <c r="B44" s="100"/>
      <c r="C44" s="87"/>
      <c r="D44" s="1436" t="str">
        <f>IF([1]RENSEIGNEMENT!B69=0,"",[1]RENSEIGNEMENT!B69)</f>
        <v/>
      </c>
      <c r="E44" s="1437"/>
      <c r="F44" s="1437"/>
      <c r="G44" s="1437"/>
      <c r="H44" s="1437"/>
      <c r="I44" s="1437"/>
      <c r="J44" s="1437"/>
      <c r="K44" s="1437"/>
      <c r="L44" s="1437"/>
      <c r="M44" s="1437"/>
      <c r="N44" s="1437"/>
      <c r="O44" s="1437"/>
      <c r="P44" s="1437"/>
      <c r="Q44" s="1437"/>
      <c r="R44" s="1437"/>
      <c r="S44" s="1437"/>
      <c r="T44" s="1437"/>
      <c r="U44" s="1437"/>
      <c r="V44" s="1438"/>
    </row>
    <row r="45" spans="2:22" s="82" customFormat="1" ht="21.6" customHeight="1">
      <c r="B45" s="100"/>
      <c r="C45" s="81"/>
      <c r="D45" s="1416" t="str">
        <f>IF([1]ACCUEIL!B1=1,"Visa of the chartered accountant or certified accountant","Visa de l'expert comptable ou du comptable agréé")</f>
        <v>Visa de l'expert comptable ou du comptable agréé</v>
      </c>
      <c r="E45" s="1416"/>
      <c r="F45" s="1416"/>
      <c r="G45" s="1416"/>
      <c r="H45" s="1416"/>
      <c r="I45" s="1416"/>
      <c r="J45" s="1416"/>
      <c r="K45" s="1416"/>
      <c r="L45" s="1416"/>
      <c r="M45" s="1417"/>
      <c r="N45" s="81"/>
      <c r="O45" s="81"/>
      <c r="P45" s="92"/>
      <c r="Q45" s="92"/>
      <c r="R45" s="92"/>
      <c r="S45" s="92"/>
      <c r="T45" s="92"/>
      <c r="U45" s="92"/>
      <c r="V45" s="87"/>
    </row>
    <row r="46" spans="2:22" s="82" customFormat="1" ht="21.6" customHeight="1">
      <c r="B46" s="100"/>
      <c r="C46" s="81"/>
      <c r="D46" s="81"/>
      <c r="E46" s="81"/>
      <c r="F46" s="81"/>
      <c r="G46" s="81"/>
      <c r="H46" s="81"/>
      <c r="I46" s="81"/>
      <c r="J46" s="81"/>
      <c r="K46" s="81"/>
      <c r="L46" s="81"/>
      <c r="M46" s="87"/>
      <c r="N46" s="81"/>
      <c r="O46" s="81"/>
      <c r="P46" s="81"/>
      <c r="Q46" s="81"/>
      <c r="R46" s="81"/>
      <c r="S46" s="81"/>
      <c r="T46" s="81"/>
      <c r="U46" s="81"/>
      <c r="V46" s="87"/>
    </row>
    <row r="47" spans="2:22" s="82" customFormat="1" ht="21.6" customHeight="1">
      <c r="B47" s="100"/>
      <c r="C47" s="87"/>
      <c r="D47" s="1418" t="str">
        <f>IF([1]RENSEIGNEMENT!B71=0,"",[1]RENSEIGNEMENT!B71)</f>
        <v/>
      </c>
      <c r="E47" s="1419"/>
      <c r="F47" s="1419"/>
      <c r="G47" s="1419"/>
      <c r="H47" s="1419"/>
      <c r="I47" s="1419"/>
      <c r="J47" s="1419"/>
      <c r="K47" s="1419"/>
      <c r="L47" s="1419"/>
      <c r="M47" s="1420"/>
      <c r="N47" s="1436" t="str">
        <f>IF([1]ACCUEIL!B1=1,"Not subject to","Non assujettie")</f>
        <v>Non assujettie</v>
      </c>
      <c r="O47" s="1437"/>
      <c r="P47" s="1437"/>
      <c r="Q47" s="102"/>
      <c r="R47" s="103" t="s">
        <v>11</v>
      </c>
      <c r="S47" s="102"/>
      <c r="T47" s="102" t="str">
        <f>IF([1]ACCUEIL!B1=1,"YES","OUI")</f>
        <v>OUI</v>
      </c>
      <c r="U47" s="102"/>
      <c r="V47" s="104"/>
    </row>
    <row r="48" spans="2:22" s="82" customFormat="1" ht="21.6" customHeight="1">
      <c r="B48" s="100"/>
      <c r="C48" s="81"/>
      <c r="D48" s="81"/>
      <c r="E48" s="81"/>
      <c r="F48" s="81"/>
      <c r="G48" s="81"/>
      <c r="H48" s="81"/>
      <c r="I48" s="81"/>
      <c r="J48" s="81"/>
      <c r="K48" s="81"/>
      <c r="L48" s="81"/>
      <c r="M48" s="81"/>
      <c r="N48" s="1416" t="str">
        <f>IF([1]ACCUEIL!B1=1,"Financial statements approved by the ","Etats financiers approuvés par l'Assemblée")</f>
        <v>Etats financiers approuvés par l'Assemblée</v>
      </c>
      <c r="O48" s="1416"/>
      <c r="P48" s="1416"/>
      <c r="Q48" s="1416"/>
      <c r="R48" s="1416"/>
      <c r="S48" s="1416"/>
      <c r="T48" s="1416"/>
      <c r="U48" s="1416"/>
      <c r="V48" s="1417"/>
    </row>
    <row r="49" spans="2:22" s="82" customFormat="1" ht="21.6" customHeight="1">
      <c r="B49" s="100"/>
      <c r="C49" s="81"/>
      <c r="D49" s="81"/>
      <c r="E49" s="81"/>
      <c r="F49" s="81"/>
      <c r="G49" s="81"/>
      <c r="H49" s="81"/>
      <c r="I49" s="81"/>
      <c r="J49" s="81"/>
      <c r="K49" s="81"/>
      <c r="L49" s="81"/>
      <c r="M49" s="81"/>
      <c r="N49" s="1409" t="str">
        <f>IF([1]ACCUEIL!B1=1,"General Assembly (tick the box)","Générale ( cocher la case)")</f>
        <v>Générale ( cocher la case)</v>
      </c>
      <c r="O49" s="1409"/>
      <c r="P49" s="1409"/>
      <c r="Q49" s="1409"/>
      <c r="R49" s="1409"/>
      <c r="S49" s="1409"/>
      <c r="T49" s="1409"/>
      <c r="U49" s="1409"/>
      <c r="V49" s="1435"/>
    </row>
    <row r="50" spans="2:22" s="82" customFormat="1" ht="10.5" customHeight="1">
      <c r="B50" s="100"/>
      <c r="C50" s="81"/>
      <c r="D50" s="81"/>
      <c r="E50" s="81"/>
      <c r="F50" s="81"/>
      <c r="G50" s="81"/>
      <c r="H50" s="81"/>
      <c r="I50" s="81"/>
      <c r="J50" s="81"/>
      <c r="K50" s="81"/>
      <c r="L50" s="81"/>
      <c r="M50" s="81"/>
      <c r="N50" s="81"/>
      <c r="O50" s="81"/>
      <c r="P50" s="81"/>
      <c r="Q50" s="81"/>
      <c r="R50" s="81"/>
      <c r="S50" s="81"/>
      <c r="T50" s="81"/>
      <c r="U50" s="81"/>
      <c r="V50" s="87"/>
    </row>
    <row r="51" spans="2:22" s="82" customFormat="1" ht="21.6" customHeight="1">
      <c r="B51" s="100"/>
      <c r="C51" s="87"/>
      <c r="D51" s="1418" t="str">
        <f>IF([1]RENSEIGNEMENT!B74=0,"",[1]RENSEIGNEMENT!B74)</f>
        <v/>
      </c>
      <c r="E51" s="1419"/>
      <c r="F51" s="1419"/>
      <c r="G51" s="1419"/>
      <c r="H51" s="1419"/>
      <c r="I51" s="1419"/>
      <c r="J51" s="1419"/>
      <c r="K51" s="1420"/>
      <c r="L51" s="94"/>
      <c r="M51" s="81"/>
      <c r="N51" s="81"/>
      <c r="O51" s="1432" t="str">
        <f>IF([1]ACCUEIL!B1=1," Bank domiciliation","Domicialisation bancaire")</f>
        <v>Domicialisation bancaire</v>
      </c>
      <c r="P51" s="1433"/>
      <c r="Q51" s="1433"/>
      <c r="R51" s="1433"/>
      <c r="S51" s="1433"/>
      <c r="T51" s="1433"/>
      <c r="U51" s="1433"/>
      <c r="V51" s="1434"/>
    </row>
    <row r="52" spans="2:22" s="82" customFormat="1" ht="21.6" customHeight="1">
      <c r="B52" s="100"/>
      <c r="C52" s="81"/>
      <c r="D52" s="1416" t="str">
        <f>IF([1]ACCUEIL!B1=1,"Name of the person signing the financial statements","Nom du signataire des états financiers")</f>
        <v>Nom du signataire des états financiers</v>
      </c>
      <c r="E52" s="1416"/>
      <c r="F52" s="1416"/>
      <c r="G52" s="1416"/>
      <c r="H52" s="1416"/>
      <c r="I52" s="1416"/>
      <c r="J52" s="1416"/>
      <c r="K52" s="1416"/>
      <c r="L52" s="81"/>
      <c r="M52" s="81"/>
      <c r="N52" s="81"/>
      <c r="O52" s="1432" t="str">
        <f>IF([1]ACCUEIL!B1=1,"Bank","Banque")</f>
        <v>Banque</v>
      </c>
      <c r="P52" s="1433"/>
      <c r="Q52" s="1433"/>
      <c r="R52" s="1434"/>
      <c r="S52" s="1432" t="str">
        <f>IF([1]ACCUEIL!B1=1,"Account number","N° de compte")</f>
        <v>N° de compte</v>
      </c>
      <c r="T52" s="1433"/>
      <c r="U52" s="1433"/>
      <c r="V52" s="1434"/>
    </row>
    <row r="53" spans="2:22" s="82" customFormat="1" ht="21.6" customHeight="1">
      <c r="B53" s="100"/>
      <c r="C53" s="87"/>
      <c r="D53" s="1418" t="str">
        <f>IF([1]RENSEIGNEMENT!B77=0,"",[1]RENSEIGNEMENT!B77)</f>
        <v/>
      </c>
      <c r="E53" s="1419"/>
      <c r="F53" s="1419"/>
      <c r="G53" s="1419"/>
      <c r="H53" s="1419"/>
      <c r="I53" s="1419"/>
      <c r="J53" s="1419"/>
      <c r="K53" s="1420"/>
      <c r="L53" s="81"/>
      <c r="M53" s="81"/>
      <c r="N53" s="81"/>
      <c r="O53" s="1439" t="str">
        <f>IF([1]RENSEIGNEMENT!H124=0,"",[1]RENSEIGNEMENT!H124)</f>
        <v/>
      </c>
      <c r="P53" s="1439"/>
      <c r="Q53" s="1439"/>
      <c r="R53" s="1439"/>
      <c r="S53" s="1440" t="str">
        <f>IF([1]RENSEIGNEMENT!L124=0,"",[1]RENSEIGNEMENT!L124)</f>
        <v/>
      </c>
      <c r="T53" s="1440"/>
      <c r="U53" s="1440"/>
      <c r="V53" s="1440"/>
    </row>
    <row r="54" spans="2:22" s="82" customFormat="1" ht="21.6" customHeight="1">
      <c r="B54" s="100"/>
      <c r="C54" s="81"/>
      <c r="D54" s="1441" t="str">
        <f>IF([1]ACCUEIL!B1=1,"Status of the signatory to the financial statements","Qualité du signataire des états financiers")</f>
        <v>Qualité du signataire des états financiers</v>
      </c>
      <c r="E54" s="1441"/>
      <c r="F54" s="1441"/>
      <c r="G54" s="1441"/>
      <c r="H54" s="1441"/>
      <c r="I54" s="1441"/>
      <c r="J54" s="1441"/>
      <c r="K54" s="1441"/>
      <c r="L54" s="105"/>
      <c r="M54" s="81"/>
      <c r="N54" s="81"/>
      <c r="O54" s="1439" t="str">
        <f>IF([1]RENSEIGNEMENT!H125=0,"",[1]RENSEIGNEMENT!H125)</f>
        <v/>
      </c>
      <c r="P54" s="1439"/>
      <c r="Q54" s="1439"/>
      <c r="R54" s="1439"/>
      <c r="S54" s="1440" t="str">
        <f>IF([1]RENSEIGNEMENT!L125=0,"",[1]RENSEIGNEMENT!L125)</f>
        <v/>
      </c>
      <c r="T54" s="1440"/>
      <c r="U54" s="1440"/>
      <c r="V54" s="1440"/>
    </row>
    <row r="55" spans="2:22" s="82" customFormat="1" ht="21.6" customHeight="1">
      <c r="B55" s="100"/>
      <c r="C55" s="87"/>
      <c r="D55" s="1442" t="str">
        <f>IF([1]RENSEIGNEMENT!B80=0,"",[1]RENSEIGNEMENT!B80)</f>
        <v/>
      </c>
      <c r="E55" s="1415"/>
      <c r="F55" s="1415"/>
      <c r="G55" s="1415"/>
      <c r="H55" s="1415"/>
      <c r="I55" s="1415"/>
      <c r="J55" s="1415"/>
      <c r="K55" s="1443"/>
      <c r="L55" s="94"/>
      <c r="M55" s="81"/>
      <c r="N55" s="81"/>
      <c r="O55" s="1439" t="str">
        <f>IF([1]RENSEIGNEMENT!H126=0,"",[1]RENSEIGNEMENT!H126)</f>
        <v/>
      </c>
      <c r="P55" s="1439"/>
      <c r="Q55" s="1439"/>
      <c r="R55" s="1439"/>
      <c r="S55" s="1440" t="str">
        <f>IF([1]RENSEIGNEMENT!L126=0,"",[1]RENSEIGNEMENT!L126)</f>
        <v/>
      </c>
      <c r="T55" s="1440"/>
      <c r="U55" s="1440"/>
      <c r="V55" s="1440"/>
    </row>
    <row r="56" spans="2:22" s="82" customFormat="1" ht="21.6" customHeight="1">
      <c r="B56" s="100"/>
      <c r="C56" s="81"/>
      <c r="D56" s="1416" t="str">
        <f>IF([1]ACCUEIL!B1=1,"Date of signature","Date de signature")</f>
        <v>Date de signature</v>
      </c>
      <c r="E56" s="1416"/>
      <c r="F56" s="1416"/>
      <c r="G56" s="1416"/>
      <c r="H56" s="1416"/>
      <c r="I56" s="1416"/>
      <c r="J56" s="1416"/>
      <c r="K56" s="1416"/>
      <c r="L56" s="81"/>
      <c r="M56" s="81"/>
      <c r="N56" s="81"/>
      <c r="O56" s="1439" t="str">
        <f>IF([1]RENSEIGNEMENT!H127=0,"",[1]RENSEIGNEMENT!H127)</f>
        <v/>
      </c>
      <c r="P56" s="1439"/>
      <c r="Q56" s="1439"/>
      <c r="R56" s="1439"/>
      <c r="S56" s="1440" t="str">
        <f>IF([1]RENSEIGNEMENT!L127=0,"",[1]RENSEIGNEMENT!L127)</f>
        <v/>
      </c>
      <c r="T56" s="1440"/>
      <c r="U56" s="1440"/>
      <c r="V56" s="1440"/>
    </row>
    <row r="57" spans="2:22" s="82" customFormat="1" ht="21.6" customHeight="1">
      <c r="B57" s="100"/>
      <c r="C57" s="81"/>
      <c r="D57" s="81"/>
      <c r="E57" s="81"/>
      <c r="F57" s="81"/>
      <c r="G57" s="81"/>
      <c r="H57" s="34"/>
      <c r="I57" s="81"/>
      <c r="J57" s="81"/>
      <c r="K57" s="81"/>
      <c r="L57" s="81"/>
      <c r="M57" s="81"/>
      <c r="N57" s="81"/>
      <c r="O57" s="1439" t="str">
        <f>IF([1]RENSEIGNEMENT!H128=0,"",[1]RENSEIGNEMENT!H128)</f>
        <v/>
      </c>
      <c r="P57" s="1439"/>
      <c r="Q57" s="1439"/>
      <c r="R57" s="1439"/>
      <c r="S57" s="1440" t="str">
        <f>IF([1]RENSEIGNEMENT!L128=0,"",[1]RENSEIGNEMENT!L128)</f>
        <v/>
      </c>
      <c r="T57" s="1440"/>
      <c r="U57" s="1440"/>
      <c r="V57" s="1440"/>
    </row>
    <row r="58" spans="2:22" s="82" customFormat="1" ht="21.6" customHeight="1">
      <c r="B58" s="100"/>
      <c r="C58" s="87"/>
      <c r="D58" s="106"/>
      <c r="E58" s="107"/>
      <c r="F58" s="107"/>
      <c r="G58" s="107"/>
      <c r="H58" s="107"/>
      <c r="I58" s="107"/>
      <c r="J58" s="107"/>
      <c r="K58" s="108"/>
      <c r="L58" s="94"/>
      <c r="M58" s="81"/>
      <c r="N58" s="81"/>
      <c r="O58" s="1439" t="str">
        <f>IF([1]RENSEIGNEMENT!H129=0,"",[1]RENSEIGNEMENT!H129)</f>
        <v/>
      </c>
      <c r="P58" s="1439"/>
      <c r="Q58" s="1439"/>
      <c r="R58" s="1439"/>
      <c r="S58" s="1440" t="str">
        <f>IF([1]RENSEIGNEMENT!L129=0,"",[1]RENSEIGNEMENT!L129)</f>
        <v/>
      </c>
      <c r="T58" s="1440"/>
      <c r="U58" s="1440"/>
      <c r="V58" s="1440"/>
    </row>
    <row r="59" spans="2:22" s="82" customFormat="1" ht="21.6" customHeight="1">
      <c r="B59" s="100"/>
      <c r="C59" s="87"/>
      <c r="D59" s="109"/>
      <c r="E59" s="34"/>
      <c r="F59" s="34"/>
      <c r="G59" s="34"/>
      <c r="H59" s="34"/>
      <c r="I59" s="34"/>
      <c r="J59" s="34"/>
      <c r="K59" s="110"/>
      <c r="L59" s="94"/>
      <c r="M59" s="81"/>
      <c r="N59" s="81"/>
      <c r="O59" s="1439" t="str">
        <f>IF([1]RENSEIGNEMENT!H130=0,"",[1]RENSEIGNEMENT!H130)</f>
        <v/>
      </c>
      <c r="P59" s="1439"/>
      <c r="Q59" s="1439"/>
      <c r="R59" s="1439"/>
      <c r="S59" s="1440" t="str">
        <f>IF([1]RENSEIGNEMENT!L130=0,"",[1]RENSEIGNEMENT!L130)</f>
        <v/>
      </c>
      <c r="T59" s="1440"/>
      <c r="U59" s="1440"/>
      <c r="V59" s="1440"/>
    </row>
    <row r="60" spans="2:22" s="82" customFormat="1" ht="21.6" customHeight="1">
      <c r="B60" s="100"/>
      <c r="C60" s="87"/>
      <c r="D60" s="109"/>
      <c r="E60" s="34"/>
      <c r="F60" s="34"/>
      <c r="G60" s="34"/>
      <c r="H60" s="34"/>
      <c r="I60" s="34"/>
      <c r="J60" s="34"/>
      <c r="K60" s="110"/>
      <c r="L60" s="94"/>
      <c r="M60" s="81"/>
      <c r="N60" s="81"/>
      <c r="O60" s="1439" t="str">
        <f>IF([1]RENSEIGNEMENT!H131=0,"",[1]RENSEIGNEMENT!H131)</f>
        <v/>
      </c>
      <c r="P60" s="1439"/>
      <c r="Q60" s="1439"/>
      <c r="R60" s="1439"/>
      <c r="S60" s="1440" t="str">
        <f>IF([1]RENSEIGNEMENT!L131=0,"",[1]RENSEIGNEMENT!L131)</f>
        <v/>
      </c>
      <c r="T60" s="1440"/>
      <c r="U60" s="1440"/>
      <c r="V60" s="1440"/>
    </row>
    <row r="61" spans="2:22" s="82" customFormat="1" ht="21.6" customHeight="1" thickBot="1">
      <c r="B61" s="100"/>
      <c r="C61" s="87"/>
      <c r="D61" s="111"/>
      <c r="E61" s="112"/>
      <c r="F61" s="112"/>
      <c r="G61" s="112"/>
      <c r="H61" s="112"/>
      <c r="I61" s="112"/>
      <c r="J61" s="112"/>
      <c r="K61" s="113"/>
      <c r="L61" s="94"/>
      <c r="M61" s="81"/>
      <c r="N61" s="81"/>
      <c r="O61" s="1439" t="str">
        <f>IF([1]RENSEIGNEMENT!H132=0,"",[1]RENSEIGNEMENT!H132)</f>
        <v/>
      </c>
      <c r="P61" s="1439"/>
      <c r="Q61" s="1439"/>
      <c r="R61" s="1439"/>
      <c r="S61" s="1440" t="str">
        <f>IF([1]RENSEIGNEMENT!L132=0,"",[1]RENSEIGNEMENT!L132)</f>
        <v/>
      </c>
      <c r="T61" s="1440"/>
      <c r="U61" s="1440"/>
      <c r="V61" s="1440"/>
    </row>
    <row r="62" spans="2:22" s="82" customFormat="1" ht="21.6" customHeight="1">
      <c r="B62" s="100"/>
      <c r="C62" s="81"/>
      <c r="D62" s="1444" t="s">
        <v>12</v>
      </c>
      <c r="E62" s="1444"/>
      <c r="F62" s="1444"/>
      <c r="G62" s="1444"/>
      <c r="H62" s="1444"/>
      <c r="I62" s="1444"/>
      <c r="J62" s="1444"/>
      <c r="K62" s="1444"/>
      <c r="L62" s="81"/>
      <c r="M62" s="81"/>
      <c r="N62" s="81"/>
      <c r="O62" s="1439" t="str">
        <f>IF([1]RENSEIGNEMENT!H133=0,"",[1]RENSEIGNEMENT!H133)</f>
        <v/>
      </c>
      <c r="P62" s="1439"/>
      <c r="Q62" s="1439"/>
      <c r="R62" s="1439"/>
      <c r="S62" s="1440" t="str">
        <f>IF([1]RENSEIGNEMENT!L133=0,"",[1]RENSEIGNEMENT!L133)</f>
        <v/>
      </c>
      <c r="T62" s="1440"/>
      <c r="U62" s="1440"/>
      <c r="V62" s="1440"/>
    </row>
    <row r="63" spans="2:22" s="82" customFormat="1" ht="21.6" customHeight="1">
      <c r="B63" s="100"/>
      <c r="C63" s="81"/>
      <c r="D63" s="34"/>
      <c r="E63" s="34"/>
      <c r="F63" s="34"/>
      <c r="G63" s="34"/>
      <c r="I63" s="34"/>
      <c r="J63" s="34"/>
      <c r="K63" s="34"/>
      <c r="L63" s="81"/>
      <c r="M63" s="81"/>
      <c r="N63" s="81"/>
      <c r="O63" s="1439" t="str">
        <f>IF([1]RENSEIGNEMENT!H134=0,"",[1]RENSEIGNEMENT!H134)</f>
        <v/>
      </c>
      <c r="P63" s="1439"/>
      <c r="Q63" s="1439"/>
      <c r="R63" s="1439"/>
      <c r="S63" s="1440" t="str">
        <f>IF([1]RENSEIGNEMENT!L134=0,"",[1]RENSEIGNEMENT!L134)</f>
        <v/>
      </c>
      <c r="T63" s="1440"/>
      <c r="U63" s="1440"/>
      <c r="V63" s="1440"/>
    </row>
    <row r="64" spans="2:22" s="82" customFormat="1" ht="21.6" customHeight="1">
      <c r="B64" s="100"/>
      <c r="C64" s="81"/>
      <c r="D64" s="34"/>
      <c r="E64" s="34"/>
      <c r="F64" s="34"/>
      <c r="G64" s="34"/>
      <c r="I64" s="34"/>
      <c r="J64" s="34"/>
      <c r="K64" s="34"/>
      <c r="L64" s="81"/>
      <c r="M64" s="81"/>
      <c r="N64" s="81"/>
      <c r="O64" s="1439" t="str">
        <f>IF([1]RENSEIGNEMENT!H135=0,"",[1]RENSEIGNEMENT!H135)</f>
        <v/>
      </c>
      <c r="P64" s="1439"/>
      <c r="Q64" s="1439"/>
      <c r="R64" s="1439"/>
      <c r="S64" s="1440" t="str">
        <f>IF([1]RENSEIGNEMENT!L135=0,"",[1]RENSEIGNEMENT!L135)</f>
        <v/>
      </c>
      <c r="T64" s="1440"/>
      <c r="U64" s="1440"/>
      <c r="V64" s="1440"/>
    </row>
    <row r="65" spans="2:22" s="82" customFormat="1" ht="21.6" customHeight="1">
      <c r="B65" s="114"/>
      <c r="C65" s="102"/>
      <c r="D65" s="102"/>
      <c r="E65" s="102"/>
      <c r="F65" s="102"/>
      <c r="G65" s="102"/>
      <c r="H65" s="102"/>
      <c r="I65" s="102"/>
      <c r="J65" s="102"/>
      <c r="K65" s="102"/>
      <c r="L65" s="102"/>
      <c r="M65" s="102"/>
      <c r="N65" s="102"/>
      <c r="O65" s="102"/>
      <c r="P65" s="102"/>
      <c r="Q65" s="102"/>
      <c r="R65" s="102"/>
      <c r="S65" s="102"/>
      <c r="T65" s="102"/>
      <c r="U65" s="102"/>
      <c r="V65" s="104"/>
    </row>
  </sheetData>
  <sheetProtection insertHyperlinks="0" selectLockedCells="1" selectUnlockedCells="1"/>
  <mergeCells count="82">
    <mergeCell ref="D62:K62"/>
    <mergeCell ref="O62:R62"/>
    <mergeCell ref="S62:V62"/>
    <mergeCell ref="O63:R63"/>
    <mergeCell ref="S63:V63"/>
    <mergeCell ref="O64:R64"/>
    <mergeCell ref="S64:V64"/>
    <mergeCell ref="O59:R59"/>
    <mergeCell ref="S59:V59"/>
    <mergeCell ref="O60:R60"/>
    <mergeCell ref="S60:V60"/>
    <mergeCell ref="O61:R61"/>
    <mergeCell ref="S61:V61"/>
    <mergeCell ref="O58:R58"/>
    <mergeCell ref="S58:V58"/>
    <mergeCell ref="D54:K54"/>
    <mergeCell ref="O54:R54"/>
    <mergeCell ref="S54:V54"/>
    <mergeCell ref="D55:K55"/>
    <mergeCell ref="O55:R55"/>
    <mergeCell ref="S55:V55"/>
    <mergeCell ref="D56:K56"/>
    <mergeCell ref="O56:R56"/>
    <mergeCell ref="S56:V56"/>
    <mergeCell ref="O57:R57"/>
    <mergeCell ref="S57:V57"/>
    <mergeCell ref="D52:K52"/>
    <mergeCell ref="O52:R52"/>
    <mergeCell ref="S52:V52"/>
    <mergeCell ref="D53:K53"/>
    <mergeCell ref="O53:R53"/>
    <mergeCell ref="S53:V53"/>
    <mergeCell ref="D51:K51"/>
    <mergeCell ref="O51:V51"/>
    <mergeCell ref="D37:V37"/>
    <mergeCell ref="D38:V38"/>
    <mergeCell ref="D39:V39"/>
    <mergeCell ref="D40:V40"/>
    <mergeCell ref="D42:V42"/>
    <mergeCell ref="D44:V44"/>
    <mergeCell ref="D45:M45"/>
    <mergeCell ref="D47:M47"/>
    <mergeCell ref="N47:P47"/>
    <mergeCell ref="N48:V48"/>
    <mergeCell ref="N49:V49"/>
    <mergeCell ref="D35:V35"/>
    <mergeCell ref="D25:E25"/>
    <mergeCell ref="G25:K25"/>
    <mergeCell ref="M25:O25"/>
    <mergeCell ref="P25:R25"/>
    <mergeCell ref="S25:V25"/>
    <mergeCell ref="D26:E26"/>
    <mergeCell ref="G26:K26"/>
    <mergeCell ref="M26:O26"/>
    <mergeCell ref="P26:R26"/>
    <mergeCell ref="S26:V26"/>
    <mergeCell ref="D28:V28"/>
    <mergeCell ref="D29:V29"/>
    <mergeCell ref="D31:V31"/>
    <mergeCell ref="D32:V32"/>
    <mergeCell ref="D34:V34"/>
    <mergeCell ref="D23:Q23"/>
    <mergeCell ref="R23:V23"/>
    <mergeCell ref="E16:I16"/>
    <mergeCell ref="O16:S16"/>
    <mergeCell ref="E17:I17"/>
    <mergeCell ref="O17:S17"/>
    <mergeCell ref="D19:E19"/>
    <mergeCell ref="H19:K19"/>
    <mergeCell ref="R19:V19"/>
    <mergeCell ref="D20:E20"/>
    <mergeCell ref="H20:K20"/>
    <mergeCell ref="R20:V20"/>
    <mergeCell ref="D22:Q22"/>
    <mergeCell ref="R22:V22"/>
    <mergeCell ref="E14:H14"/>
    <mergeCell ref="O14:S14"/>
    <mergeCell ref="B2:V2"/>
    <mergeCell ref="T6:V6"/>
    <mergeCell ref="F8:J8"/>
    <mergeCell ref="D12:H12"/>
    <mergeCell ref="I12:K12"/>
  </mergeCells>
  <hyperlinks>
    <hyperlink ref="G25" r:id="rId1" display="boubasow1010@gmail.com" xr:uid="{00000000-0004-0000-0100-000000000000}"/>
  </hyperlinks>
  <printOptions horizontalCentered="1"/>
  <pageMargins left="0.78740157480314965" right="0" top="0.59055118110236227" bottom="0.19685039370078741" header="0.11811023622047245" footer="0.31496062992125984"/>
  <pageSetup paperSize="9" scale="55" fitToHeight="0" orientation="portrait" r:id="rId2"/>
  <headerFooter>
    <oddHeader>&amp;C&amp;"-,Gras"&amp;20Page &amp;P / &amp;N</oddHeader>
  </headerFooter>
  <drawing r:id="rId3"/>
  <legacyDrawing r:id="rId4"/>
  <mc:AlternateContent xmlns:mc="http://schemas.openxmlformats.org/markup-compatibility/2006">
    <mc:Choice Requires="x14">
      <controls>
        <mc:AlternateContent xmlns:mc="http://schemas.openxmlformats.org/markup-compatibility/2006">
          <mc:Choice Requires="x14">
            <control shapeId="2049" r:id="rId5" name="Check Box 1">
              <controlPr defaultSize="0" autoFill="0" autoLine="0" autoPict="0">
                <anchor moveWithCells="1">
                  <from>
                    <xdr:col>13</xdr:col>
                    <xdr:colOff>409575</xdr:colOff>
                    <xdr:row>44</xdr:row>
                    <xdr:rowOff>161925</xdr:rowOff>
                  </from>
                  <to>
                    <xdr:col>14</xdr:col>
                    <xdr:colOff>266700</xdr:colOff>
                    <xdr:row>45</xdr:row>
                    <xdr:rowOff>133350</xdr:rowOff>
                  </to>
                </anchor>
              </controlPr>
            </control>
          </mc:Choice>
        </mc:AlternateContent>
        <mc:AlternateContent xmlns:mc="http://schemas.openxmlformats.org/markup-compatibility/2006">
          <mc:Choice Requires="x14">
            <control shapeId="2050" r:id="rId6" name="Check Box 2">
              <controlPr defaultSize="0" autoFill="0" autoLine="0" autoPict="0">
                <anchor moveWithCells="1">
                  <from>
                    <xdr:col>19</xdr:col>
                    <xdr:colOff>66675</xdr:colOff>
                    <xdr:row>44</xdr:row>
                    <xdr:rowOff>161925</xdr:rowOff>
                  </from>
                  <to>
                    <xdr:col>20</xdr:col>
                    <xdr:colOff>47625</xdr:colOff>
                    <xdr:row>45</xdr:row>
                    <xdr:rowOff>133350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17</xdr:col>
                    <xdr:colOff>342900</xdr:colOff>
                    <xdr:row>44</xdr:row>
                    <xdr:rowOff>209550</xdr:rowOff>
                  </from>
                  <to>
                    <xdr:col>18</xdr:col>
                    <xdr:colOff>171450</xdr:colOff>
                    <xdr:row>45</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2:AD57"/>
  <sheetViews>
    <sheetView showGridLines="0" topLeftCell="A52" zoomScale="70" zoomScaleNormal="70" zoomScaleSheetLayoutView="100" workbookViewId="0">
      <selection activeCell="U12" sqref="U12"/>
    </sheetView>
  </sheetViews>
  <sheetFormatPr baseColWidth="10" defaultColWidth="11.42578125" defaultRowHeight="15"/>
  <cols>
    <col min="1" max="1" width="12.85546875" style="2" customWidth="1"/>
    <col min="2" max="2" width="7.28515625" style="2" customWidth="1"/>
    <col min="3" max="3" width="1.7109375" style="2" customWidth="1"/>
    <col min="4" max="4" width="18.85546875" style="2" customWidth="1"/>
    <col min="5" max="5" width="15.28515625" style="2" customWidth="1"/>
    <col min="6" max="6" width="7.5703125" style="2" customWidth="1"/>
    <col min="7" max="7" width="4.5703125" style="2" customWidth="1"/>
    <col min="8" max="8" width="3.5703125" style="2" customWidth="1"/>
    <col min="9" max="12" width="5.85546875" style="2" customWidth="1"/>
    <col min="13" max="13" width="5.140625" style="2" customWidth="1"/>
    <col min="14" max="14" width="6.140625" style="2" customWidth="1"/>
    <col min="15" max="15" width="6.28515625" style="2" customWidth="1"/>
    <col min="16" max="16" width="21.85546875" style="2" customWidth="1"/>
    <col min="17" max="17" width="24" style="2" customWidth="1"/>
    <col min="18" max="18" width="9.5703125" style="2" customWidth="1"/>
    <col min="19" max="19" width="3.28515625" style="2" customWidth="1"/>
    <col min="20" max="20" width="10.42578125" style="2" customWidth="1"/>
    <col min="21" max="16384" width="11.42578125" style="2"/>
  </cols>
  <sheetData>
    <row r="2" spans="2:30" ht="18.75">
      <c r="B2" s="1410"/>
      <c r="C2" s="1410"/>
      <c r="D2" s="1410"/>
      <c r="E2" s="1410"/>
      <c r="F2" s="1410"/>
      <c r="G2" s="1410"/>
      <c r="H2" s="1410"/>
      <c r="I2" s="1410"/>
      <c r="J2" s="1410"/>
      <c r="K2" s="1410"/>
      <c r="L2" s="1410"/>
      <c r="M2" s="1410"/>
      <c r="N2" s="1410"/>
      <c r="O2" s="1410"/>
      <c r="P2" s="1410"/>
      <c r="Q2" s="1410"/>
      <c r="R2" s="1410"/>
      <c r="S2" s="1410"/>
      <c r="T2" s="1410"/>
    </row>
    <row r="4" spans="2:30" ht="19.5">
      <c r="B4" s="1448" t="str">
        <f>IF([1]ACCUEIL!B1=1,"IDENTIFICATION FORM AND OTHER INFORMATION","FICHE D'IDENTIFICATION ET RENSEIGNEMENT DIVERS")</f>
        <v>FICHE D'IDENTIFICATION ET RENSEIGNEMENT DIVERS</v>
      </c>
      <c r="C4" s="1448"/>
      <c r="D4" s="1448"/>
      <c r="E4" s="1448"/>
      <c r="F4" s="1448"/>
      <c r="G4" s="1448"/>
      <c r="H4" s="1448"/>
      <c r="I4" s="1448"/>
      <c r="J4" s="1448"/>
      <c r="K4" s="1448"/>
      <c r="L4" s="1448"/>
      <c r="M4" s="1448"/>
      <c r="N4" s="1448"/>
      <c r="O4" s="1448"/>
      <c r="P4" s="1448"/>
      <c r="Q4" s="1448"/>
      <c r="R4" s="1448"/>
      <c r="S4" s="1448"/>
      <c r="T4" s="1448"/>
    </row>
    <row r="5" spans="2:30" s="117" customFormat="1" ht="23.25">
      <c r="B5" s="115" t="str">
        <f>IF([1]ACCUEIL!B1=1,"Entity designation:","Désignation entité:")</f>
        <v>Désignation entité:</v>
      </c>
      <c r="C5" s="115"/>
      <c r="D5" s="115"/>
      <c r="E5" s="116" t="str">
        <f>'FICHE R1'!H5</f>
        <v/>
      </c>
      <c r="F5" s="116"/>
      <c r="G5" s="116"/>
      <c r="H5" s="116"/>
      <c r="I5" s="116"/>
      <c r="J5" s="116"/>
      <c r="K5" s="116"/>
      <c r="L5" s="116"/>
      <c r="M5" s="116"/>
      <c r="N5" s="116"/>
      <c r="O5" s="116"/>
      <c r="P5" s="116"/>
      <c r="Q5" s="116"/>
      <c r="R5" s="116"/>
      <c r="S5" s="116"/>
      <c r="T5" s="116"/>
    </row>
    <row r="6" spans="2:30" s="117" customFormat="1" ht="23.25">
      <c r="B6" s="115" t="str">
        <f>IF([1]ACCUEIL!B1=1,"Usual acronym :","Sigle usuel :")</f>
        <v>Sigle usuel :</v>
      </c>
      <c r="C6" s="115"/>
      <c r="D6" s="118"/>
      <c r="E6" s="116" t="str">
        <f>'FICHE R1'!R22</f>
        <v/>
      </c>
      <c r="G6" s="119"/>
      <c r="H6" s="120"/>
      <c r="I6" s="120"/>
      <c r="J6" s="120"/>
      <c r="K6" s="120"/>
      <c r="L6" s="120"/>
      <c r="M6" s="120"/>
      <c r="N6" s="120"/>
      <c r="O6" s="120"/>
      <c r="P6" s="120"/>
      <c r="Q6" s="121"/>
      <c r="R6" s="120"/>
      <c r="S6" s="120"/>
      <c r="T6" s="120"/>
    </row>
    <row r="7" spans="2:30" s="117" customFormat="1" ht="23.25">
      <c r="B7" s="115" t="str">
        <f>IF([1]ACCUEIL!B1=1,"Adress :","Adresse:")</f>
        <v>Adresse:</v>
      </c>
      <c r="C7" s="115"/>
      <c r="D7" s="115"/>
      <c r="E7" s="122">
        <f>'FICHE R1'!D7</f>
        <v>0</v>
      </c>
      <c r="F7" s="120"/>
      <c r="G7" s="115"/>
      <c r="H7" s="120"/>
      <c r="I7" s="120"/>
      <c r="J7" s="123"/>
      <c r="K7" s="123"/>
      <c r="L7" s="123"/>
      <c r="M7" s="123"/>
      <c r="N7" s="123"/>
      <c r="O7" s="123"/>
      <c r="P7" s="123"/>
      <c r="Q7" s="124" t="str">
        <f>IF([1]ACCUEIL!B1=1,"P.O. Box:","BP:")</f>
        <v>BP:</v>
      </c>
      <c r="R7" s="121" t="str">
        <f>'FICHE R1'!P25</f>
        <v/>
      </c>
      <c r="S7" s="125"/>
      <c r="T7" s="125"/>
    </row>
    <row r="8" spans="2:30" s="117" customFormat="1" ht="23.25">
      <c r="B8" s="115" t="str">
        <f>IF([1]ACCUEIL!B1=1,"Identification number: ","Numéro d'identification:")</f>
        <v>Numéro d'identification:</v>
      </c>
      <c r="C8" s="115"/>
      <c r="D8" s="115"/>
      <c r="E8" s="121" t="str">
        <f>'FICHE R1'!F8</f>
        <v/>
      </c>
      <c r="F8" s="120"/>
      <c r="G8" s="120"/>
      <c r="H8" s="120"/>
      <c r="I8" s="125"/>
      <c r="J8" s="1449" t="str">
        <f>IF([1]ACCUEIL!B1=1,"  Year ended 31 - 12-","   Exercice clos le 31 - 12- ")</f>
        <v xml:space="preserve">   Exercice clos le 31 - 12- </v>
      </c>
      <c r="K8" s="1449"/>
      <c r="L8" s="1449"/>
      <c r="M8" s="1449"/>
      <c r="N8" s="1449"/>
      <c r="O8" s="120">
        <f>'FICHE R1'!Q8</f>
        <v>2025</v>
      </c>
      <c r="P8" s="125"/>
      <c r="Q8" s="126" t="str">
        <f>IF([1]ACCUEIL!B1=1,"Duration (in months):","    Durée (en mois):"       )</f>
        <v xml:space="preserve">    Durée (en mois):</v>
      </c>
      <c r="R8" s="121">
        <f>'FICHE R1'!U8</f>
        <v>12</v>
      </c>
      <c r="S8" s="120"/>
      <c r="T8" s="125"/>
    </row>
    <row r="9" spans="2:30" s="117" customFormat="1" ht="21" customHeight="1">
      <c r="B9" s="115"/>
      <c r="C9" s="115"/>
      <c r="D9" s="115"/>
      <c r="E9" s="127"/>
      <c r="F9" s="115"/>
      <c r="G9" s="115"/>
      <c r="H9" s="115"/>
      <c r="I9" s="115"/>
      <c r="J9" s="115"/>
      <c r="K9" s="115"/>
      <c r="L9" s="115"/>
      <c r="M9" s="115"/>
      <c r="N9" s="115"/>
      <c r="P9" s="115"/>
      <c r="Q9" s="115"/>
      <c r="R9" s="115"/>
      <c r="S9" s="115"/>
      <c r="T9" s="127"/>
    </row>
    <row r="10" spans="2:30" ht="15.75">
      <c r="B10" s="1450" t="str">
        <f>IF([1]ACCUEIL!B1=1,"IDENTIFICATION FORM AND OTHER INFORMATION","FICHE D'IDENTIFICATION ET RENSEIGNEMENT DIVERS")</f>
        <v>FICHE D'IDENTIFICATION ET RENSEIGNEMENT DIVERS</v>
      </c>
      <c r="C10" s="1450"/>
      <c r="D10" s="1450"/>
      <c r="E10" s="1450"/>
      <c r="F10" s="1450"/>
      <c r="G10" s="1450"/>
      <c r="H10" s="1450"/>
      <c r="I10" s="1450"/>
      <c r="J10" s="1450"/>
      <c r="K10" s="1450"/>
      <c r="L10" s="1450"/>
      <c r="M10" s="1450"/>
      <c r="N10" s="1450"/>
      <c r="O10" s="1450"/>
      <c r="P10" s="1450"/>
      <c r="Q10" s="1450"/>
      <c r="R10" s="1450"/>
      <c r="S10" s="1450"/>
      <c r="T10" s="1450"/>
    </row>
    <row r="11" spans="2:30" ht="12" customHeight="1">
      <c r="B11" s="128"/>
      <c r="C11" s="128"/>
      <c r="D11" s="128"/>
      <c r="E11" s="128"/>
      <c r="F11" s="128"/>
      <c r="G11" s="128"/>
      <c r="H11" s="128"/>
      <c r="I11" s="128"/>
      <c r="J11" s="128"/>
      <c r="K11" s="128"/>
      <c r="L11" s="128"/>
      <c r="M11" s="128"/>
      <c r="N11" s="128"/>
      <c r="O11" s="128"/>
      <c r="P11" s="128"/>
      <c r="Q11" s="128"/>
      <c r="R11" s="128"/>
      <c r="S11" s="128"/>
      <c r="T11" s="128"/>
    </row>
    <row r="12" spans="2:30" ht="8.25" customHeight="1">
      <c r="B12" s="129"/>
      <c r="C12" s="130"/>
      <c r="D12" s="130"/>
      <c r="E12" s="130"/>
      <c r="F12" s="130"/>
      <c r="G12" s="130"/>
      <c r="H12" s="130"/>
      <c r="I12" s="130"/>
      <c r="J12" s="130"/>
      <c r="K12" s="130"/>
      <c r="L12" s="130"/>
      <c r="M12" s="130"/>
      <c r="N12" s="130"/>
      <c r="O12" s="131"/>
      <c r="P12" s="131"/>
      <c r="Q12" s="131"/>
      <c r="R12" s="131"/>
      <c r="S12" s="131"/>
      <c r="T12" s="132"/>
    </row>
    <row r="13" spans="2:30" ht="24.6" customHeight="1">
      <c r="B13" s="94"/>
      <c r="C13" s="81"/>
      <c r="D13" s="81"/>
      <c r="E13" s="81"/>
      <c r="F13" s="81"/>
      <c r="G13" s="81"/>
      <c r="H13" s="81"/>
      <c r="I13" s="81"/>
      <c r="J13" s="81"/>
      <c r="K13" s="81"/>
      <c r="L13" s="81"/>
      <c r="M13" s="81"/>
      <c r="N13" s="87"/>
      <c r="O13" s="1451" t="str">
        <f>IF([1]ACCUEIL!B1=1,"Control of the company (tick the box)","Contrôle de l'entreprise (cocher la case)")</f>
        <v>Contrôle de l'entreprise (cocher la case)</v>
      </c>
      <c r="P13" s="1452"/>
      <c r="Q13" s="1452"/>
      <c r="R13" s="1452"/>
      <c r="S13" s="1452"/>
      <c r="T13" s="1453"/>
      <c r="U13" s="133"/>
      <c r="V13" s="133"/>
      <c r="W13" s="133"/>
      <c r="X13" s="133"/>
      <c r="Y13" s="133"/>
      <c r="Z13" s="133"/>
      <c r="AA13" s="133"/>
      <c r="AB13" s="133"/>
      <c r="AC13" s="133"/>
      <c r="AD13" s="133"/>
    </row>
    <row r="14" spans="2:30" ht="24.6" customHeight="1">
      <c r="B14" s="134"/>
      <c r="C14" s="81"/>
      <c r="D14" s="81"/>
      <c r="E14" s="81"/>
      <c r="F14" s="81"/>
      <c r="G14" s="81"/>
      <c r="H14" s="81"/>
      <c r="I14" s="81"/>
      <c r="J14" s="81"/>
      <c r="K14" s="81"/>
      <c r="L14" s="81"/>
      <c r="M14" s="81"/>
      <c r="N14" s="87"/>
      <c r="O14" s="135"/>
      <c r="P14" s="136"/>
      <c r="Q14" s="136"/>
      <c r="R14" s="137"/>
      <c r="S14" s="92"/>
      <c r="T14" s="101"/>
      <c r="U14" s="133"/>
      <c r="V14" s="133"/>
      <c r="W14" s="133"/>
      <c r="X14" s="133"/>
      <c r="Y14" s="133"/>
      <c r="Z14" s="133"/>
      <c r="AA14" s="133"/>
      <c r="AB14" s="133"/>
      <c r="AC14" s="133"/>
      <c r="AD14" s="133"/>
    </row>
    <row r="15" spans="2:30" ht="24.6" customHeight="1">
      <c r="B15" s="138" t="s">
        <v>13</v>
      </c>
      <c r="C15" s="81"/>
      <c r="D15" s="139" t="str">
        <f>IF([1]ACCUEIL!B1=1,"Legal form (¹)","Forme juridique (¹)")</f>
        <v>Forme juridique (¹)</v>
      </c>
      <c r="E15" s="81"/>
      <c r="F15" s="81"/>
      <c r="G15" s="81"/>
      <c r="H15" s="87"/>
      <c r="I15" s="140" t="str">
        <f>IF([1]RENSEIGNEMENT!G83=0,"",[1]RENSEIGNEMENT!G83)</f>
        <v/>
      </c>
      <c r="J15" s="140" t="str">
        <f>IF([1]RENSEIGNEMENT!H83=0,"",[1]RENSEIGNEMENT!H83)</f>
        <v/>
      </c>
      <c r="K15" s="140" t="str">
        <f>IF([1]RENSEIGNEMENT!J83=0,"",[1]RENSEIGNEMENT!J83)</f>
        <v/>
      </c>
      <c r="L15" s="140" t="str">
        <f>IF([1]RENSEIGNEMENT!K83=0,"",[1]RENSEIGNEMENT!K83)</f>
        <v/>
      </c>
      <c r="M15" s="81"/>
      <c r="N15" s="87"/>
      <c r="O15" s="141" t="s">
        <v>14</v>
      </c>
      <c r="P15" s="142" t="str">
        <f>IF([1]ACCUEIL!B1=1,"  Entity under public control"," Entreprise sous contrôle public")</f>
        <v xml:space="preserve"> Entreprise sous contrôle public</v>
      </c>
      <c r="Q15" s="81"/>
      <c r="R15" s="94"/>
      <c r="S15" s="81"/>
      <c r="T15" s="87"/>
    </row>
    <row r="16" spans="2:30" ht="24.6" customHeight="1">
      <c r="B16" s="143"/>
      <c r="C16" s="81"/>
      <c r="D16" s="144"/>
      <c r="E16" s="81"/>
      <c r="F16" s="81"/>
      <c r="G16" s="81"/>
      <c r="H16" s="81"/>
      <c r="I16" s="81"/>
      <c r="J16" s="81"/>
      <c r="K16" s="81"/>
      <c r="L16" s="81"/>
      <c r="M16" s="81"/>
      <c r="N16" s="87"/>
      <c r="O16" s="81"/>
      <c r="P16" s="145"/>
      <c r="Q16" s="87"/>
      <c r="R16" s="81"/>
      <c r="S16" s="81"/>
      <c r="T16" s="87"/>
    </row>
    <row r="17" spans="1:20" ht="24.6" customHeight="1">
      <c r="B17" s="138" t="s">
        <v>15</v>
      </c>
      <c r="C17" s="81"/>
      <c r="D17" s="139" t="str">
        <f>IF([1]ACCUEIL!B1=1,"Tax system (¹)","Régime fiscal (¹)")</f>
        <v>Régime fiscal (¹)</v>
      </c>
      <c r="E17" s="81"/>
      <c r="F17" s="81"/>
      <c r="G17" s="81"/>
      <c r="H17" s="87"/>
      <c r="I17" s="140" t="str">
        <f>IF([1]RENSEIGNEMENT!G85=0,"",[1]RENSEIGNEMENT!G85)</f>
        <v/>
      </c>
      <c r="J17" s="140" t="str">
        <f>IF([1]RENSEIGNEMENT!H85=0,"",[1]RENSEIGNEMENT!H85)</f>
        <v/>
      </c>
      <c r="K17" s="140" t="str">
        <f>IF([1]RENSEIGNEMENT!J85=0,"",[1]RENSEIGNEMENT!J85)</f>
        <v/>
      </c>
      <c r="L17" s="81"/>
      <c r="M17" s="81"/>
      <c r="N17" s="87"/>
      <c r="O17" s="141" t="s">
        <v>16</v>
      </c>
      <c r="P17" s="142" t="str">
        <f>IF([1]ACCUEIL!B1=1," Entity under national private control"," Entreprise sous contrôle privé national")</f>
        <v xml:space="preserve"> Entreprise sous contrôle privé national</v>
      </c>
      <c r="Q17" s="87"/>
      <c r="R17" s="81"/>
      <c r="S17" s="81"/>
      <c r="T17" s="87"/>
    </row>
    <row r="18" spans="1:20" ht="24.6" customHeight="1">
      <c r="B18" s="143"/>
      <c r="C18" s="81"/>
      <c r="D18" s="144"/>
      <c r="E18" s="81"/>
      <c r="F18" s="81"/>
      <c r="G18" s="81"/>
      <c r="H18" s="81"/>
      <c r="I18" s="81"/>
      <c r="J18" s="81"/>
      <c r="K18" s="81"/>
      <c r="L18" s="81"/>
      <c r="M18" s="81"/>
      <c r="N18" s="87"/>
      <c r="O18" s="81"/>
      <c r="P18" s="145"/>
      <c r="Q18" s="87"/>
      <c r="R18" s="81"/>
      <c r="S18" s="81"/>
      <c r="T18" s="87"/>
    </row>
    <row r="19" spans="1:20" ht="24.6" customHeight="1">
      <c r="B19" s="138" t="s">
        <v>17</v>
      </c>
      <c r="C19" s="81"/>
      <c r="D19" s="139" t="str">
        <f>IF([1]ACCUEIL!B1=1,"Country of the usual acronym (¹)","Pays du sigle usuel (¹)")</f>
        <v>Pays du sigle usuel (¹)</v>
      </c>
      <c r="E19" s="81"/>
      <c r="F19" s="81"/>
      <c r="G19" s="81"/>
      <c r="H19" s="87"/>
      <c r="I19" s="146" t="str">
        <f>IF([1]RENSEIGNEMENT!G87=0,"",[1]RENSEIGNEMENT!G87)</f>
        <v/>
      </c>
      <c r="J19" s="146" t="str">
        <f>IF([1]RENSEIGNEMENT!H87=0,"",[1]RENSEIGNEMENT!H87)</f>
        <v/>
      </c>
      <c r="K19" s="146" t="str">
        <f>IF([1]RENSEIGNEMENT!J87=0,"",[1]RENSEIGNEMENT!J87)</f>
        <v/>
      </c>
      <c r="L19" s="81"/>
      <c r="M19" s="81"/>
      <c r="N19" s="87"/>
      <c r="O19" s="141" t="s">
        <v>18</v>
      </c>
      <c r="P19" s="142" t="str">
        <f>IF([1]ACCUEIL!B1=1," Entity under foreign private control"," Entreprise sous contrôle privé étranger")</f>
        <v xml:space="preserve"> Entreprise sous contrôle privé étranger</v>
      </c>
      <c r="Q19" s="87"/>
      <c r="R19" s="81"/>
      <c r="S19" s="81"/>
      <c r="T19" s="87"/>
    </row>
    <row r="20" spans="1:20" ht="24.6" customHeight="1">
      <c r="B20" s="143"/>
      <c r="C20" s="81"/>
      <c r="D20" s="144"/>
      <c r="E20" s="81"/>
      <c r="F20" s="81"/>
      <c r="G20" s="81"/>
      <c r="H20" s="81"/>
      <c r="I20" s="92"/>
      <c r="J20" s="92"/>
      <c r="K20" s="81"/>
      <c r="L20" s="81"/>
      <c r="M20" s="81"/>
      <c r="N20" s="87"/>
      <c r="O20" s="81"/>
      <c r="P20" s="81"/>
      <c r="Q20" s="87"/>
      <c r="R20" s="81"/>
      <c r="S20" s="81"/>
      <c r="T20" s="87"/>
    </row>
    <row r="21" spans="1:20" ht="24.6" customHeight="1">
      <c r="B21" s="138" t="s">
        <v>19</v>
      </c>
      <c r="C21" s="81"/>
      <c r="D21" s="139" t="str">
        <f>IF([1]ACCUEIL!B1=1,"Number of establishments outside the country ","Nombre d'etablissement hors du pays ")</f>
        <v xml:space="preserve">Nombre d'etablissement hors du pays </v>
      </c>
      <c r="E21" s="81"/>
      <c r="F21" s="81"/>
      <c r="G21" s="81"/>
      <c r="H21" s="87"/>
      <c r="I21" s="140" t="str">
        <f>IF([1]RENSEIGNEMENT!G89=0,"",[1]RENSEIGNEMENT!G89)</f>
        <v/>
      </c>
      <c r="J21" s="140" t="str">
        <f>IF([1]RENSEIGNEMENT!H89=0,"",[1]RENSEIGNEMENT!H89)</f>
        <v/>
      </c>
      <c r="K21" s="140" t="str">
        <f>IF([1]RENSEIGNEMENT!J89=0,"",[1]RENSEIGNEMENT!J89)</f>
        <v/>
      </c>
      <c r="L21" s="81"/>
      <c r="M21" s="81"/>
      <c r="N21" s="87"/>
      <c r="O21" s="81"/>
      <c r="P21" s="81"/>
      <c r="Q21" s="87"/>
      <c r="R21" s="81"/>
      <c r="S21" s="81"/>
      <c r="T21" s="87"/>
    </row>
    <row r="22" spans="1:20" ht="24.6" customHeight="1">
      <c r="B22" s="147"/>
      <c r="C22" s="81"/>
      <c r="D22" s="144"/>
      <c r="E22" s="81"/>
      <c r="F22" s="81"/>
      <c r="G22" s="81"/>
      <c r="H22" s="81"/>
      <c r="I22" s="81"/>
      <c r="J22" s="81"/>
      <c r="K22" s="81"/>
      <c r="L22" s="81"/>
      <c r="M22" s="81"/>
      <c r="N22" s="87"/>
      <c r="O22" s="81"/>
      <c r="P22" s="81"/>
      <c r="Q22" s="87"/>
      <c r="R22" s="81"/>
      <c r="S22" s="81"/>
      <c r="T22" s="87"/>
    </row>
    <row r="23" spans="1:20" ht="24.6" customHeight="1">
      <c r="B23" s="138" t="s">
        <v>20</v>
      </c>
      <c r="C23" s="81"/>
      <c r="D23" s="144" t="str">
        <f>IF([1]ACCUEIL!B1=1,"Number of establishments outside the country ","Nombre d'etablissement hors du pays")</f>
        <v>Nombre d'etablissement hors du pays</v>
      </c>
      <c r="E23" s="81"/>
      <c r="F23" s="81"/>
      <c r="G23" s="81"/>
      <c r="H23" s="81"/>
      <c r="I23" s="81"/>
      <c r="J23" s="81"/>
      <c r="L23" s="81"/>
      <c r="M23" s="81"/>
      <c r="N23" s="87"/>
      <c r="O23" s="81"/>
      <c r="P23" s="81"/>
      <c r="Q23" s="87"/>
      <c r="R23" s="81"/>
      <c r="S23" s="81"/>
      <c r="T23" s="87"/>
    </row>
    <row r="24" spans="1:20" ht="24.6" customHeight="1">
      <c r="B24" s="148"/>
      <c r="C24" s="81"/>
      <c r="D24" s="139" t="str">
        <f>IF([1]ACCUEIL!B1=1," for which distance accounting is based   ","pour lesquels une comptabilité de distance est basé")</f>
        <v>pour lesquels une comptabilité de distance est basé</v>
      </c>
      <c r="E24" s="81"/>
      <c r="F24" s="81"/>
      <c r="G24" s="81"/>
      <c r="H24" s="87"/>
      <c r="I24" s="146" t="str">
        <f>IF([1]RENSEIGNEMENT!G92=0,"",[1]RENSEIGNEMENT!G92)</f>
        <v/>
      </c>
      <c r="J24" s="146" t="str">
        <f>IF([1]RENSEIGNEMENT!H92=0,"",[1]RENSEIGNEMENT!H92)</f>
        <v/>
      </c>
      <c r="K24" s="146" t="str">
        <f>IF([1]RENSEIGNEMENT!J92=0,"",[1]RENSEIGNEMENT!J92)</f>
        <v/>
      </c>
      <c r="L24" s="81"/>
      <c r="M24" s="81"/>
      <c r="N24" s="87"/>
      <c r="O24" s="81"/>
      <c r="P24" s="81"/>
      <c r="Q24" s="87"/>
      <c r="R24" s="81"/>
      <c r="S24" s="81"/>
      <c r="T24" s="87"/>
    </row>
    <row r="25" spans="1:20" ht="24.6" customHeight="1">
      <c r="B25" s="134"/>
      <c r="C25" s="81"/>
      <c r="D25" s="144"/>
      <c r="E25" s="81"/>
      <c r="F25" s="81"/>
      <c r="G25" s="81"/>
      <c r="H25" s="81"/>
      <c r="I25" s="81"/>
      <c r="J25" s="81"/>
      <c r="K25" s="81"/>
      <c r="L25" s="81"/>
      <c r="M25" s="81"/>
      <c r="N25" s="87"/>
      <c r="O25" s="81"/>
      <c r="P25" s="81"/>
      <c r="Q25" s="87"/>
      <c r="R25" s="81"/>
      <c r="S25" s="81"/>
      <c r="T25" s="87"/>
    </row>
    <row r="26" spans="1:20" ht="24.6" customHeight="1">
      <c r="B26" s="138" t="s">
        <v>21</v>
      </c>
      <c r="C26" s="81"/>
      <c r="D26" s="139" t="str">
        <f>IF([1]ACCUEIL!B1=1,"First year of fiscal year in the country","Première année d'exercice dans le pays")</f>
        <v>Première année d'exercice dans le pays</v>
      </c>
      <c r="E26" s="81"/>
      <c r="F26" s="81"/>
      <c r="G26" s="81"/>
      <c r="H26" s="87"/>
      <c r="I26" s="140" t="str">
        <f>IF([1]RENSEIGNEMENT!G94=0,"",[1]RENSEIGNEMENT!G94)</f>
        <v/>
      </c>
      <c r="J26" s="140" t="str">
        <f>IF([1]RENSEIGNEMENT!H94=0,"",[1]RENSEIGNEMENT!H94)</f>
        <v/>
      </c>
      <c r="K26" s="140" t="str">
        <f>IF([1]RENSEIGNEMENT!J94=0,"",[1]RENSEIGNEMENT!J94)</f>
        <v/>
      </c>
      <c r="L26" s="140" t="str">
        <f>IF([1]RENSEIGNEMENT!K94=0,"",[1]RENSEIGNEMENT!K94)</f>
        <v/>
      </c>
      <c r="M26" s="140" t="str">
        <f>IF([1]RENSEIGNEMENT!L94=0,"",[1]RENSEIGNEMENT!L94)</f>
        <v/>
      </c>
      <c r="N26" s="87"/>
      <c r="O26" s="81"/>
      <c r="P26" s="81"/>
      <c r="Q26" s="87"/>
      <c r="R26" s="81"/>
      <c r="S26" s="81"/>
      <c r="T26" s="87"/>
    </row>
    <row r="27" spans="1:20" ht="24.6" customHeight="1">
      <c r="A27" s="11"/>
      <c r="B27" s="135"/>
      <c r="C27" s="102"/>
      <c r="D27" s="102"/>
      <c r="E27" s="102"/>
      <c r="F27" s="102"/>
      <c r="G27" s="102"/>
      <c r="H27" s="102"/>
      <c r="I27" s="102"/>
      <c r="J27" s="102"/>
      <c r="K27" s="102"/>
      <c r="L27" s="102"/>
      <c r="M27" s="102"/>
      <c r="N27" s="104"/>
      <c r="O27" s="102"/>
      <c r="P27" s="102"/>
      <c r="Q27" s="104"/>
      <c r="R27" s="102"/>
      <c r="S27" s="102"/>
      <c r="T27" s="104"/>
    </row>
    <row r="28" spans="1:20" ht="24.6" customHeight="1">
      <c r="A28" s="11"/>
      <c r="B28" s="137"/>
      <c r="C28" s="92"/>
      <c r="D28" s="92"/>
      <c r="E28" s="92"/>
      <c r="F28" s="92"/>
      <c r="G28" s="92"/>
      <c r="H28" s="92"/>
      <c r="I28" s="92"/>
      <c r="J28" s="92"/>
      <c r="K28" s="92"/>
      <c r="L28" s="92"/>
      <c r="M28" s="92"/>
      <c r="N28" s="92"/>
      <c r="O28" s="92"/>
      <c r="P28" s="92"/>
      <c r="Q28" s="92"/>
      <c r="R28" s="92"/>
      <c r="S28" s="92"/>
      <c r="T28" s="101"/>
    </row>
    <row r="29" spans="1:20" ht="24.6" customHeight="1">
      <c r="A29" s="11"/>
      <c r="B29" s="1445" t="str">
        <f>IF([1]ACCUEIL!B1=1,"COMPANY ACTIVITY","ACTIVITE DE L'ENTREPRISE")</f>
        <v>ACTIVITE DE L'ENTREPRISE</v>
      </c>
      <c r="C29" s="1446"/>
      <c r="D29" s="1446"/>
      <c r="E29" s="1446"/>
      <c r="F29" s="1446"/>
      <c r="G29" s="1446"/>
      <c r="H29" s="1446"/>
      <c r="I29" s="1446"/>
      <c r="J29" s="1446"/>
      <c r="K29" s="1446"/>
      <c r="L29" s="1446"/>
      <c r="M29" s="1446"/>
      <c r="N29" s="1446"/>
      <c r="O29" s="1446"/>
      <c r="P29" s="1446"/>
      <c r="Q29" s="1446"/>
      <c r="R29" s="1446"/>
      <c r="S29" s="1446"/>
      <c r="T29" s="1447"/>
    </row>
    <row r="30" spans="1:20" ht="24.6" customHeight="1">
      <c r="A30" s="11"/>
      <c r="B30" s="149"/>
      <c r="C30" s="144"/>
      <c r="D30" s="144"/>
      <c r="E30" s="144"/>
      <c r="F30" s="144"/>
      <c r="G30" s="150"/>
      <c r="H30" s="1454" t="str">
        <f>IF([1]ACCUEIL!B1=1,"Activity nomenclature","Code nomenclature")</f>
        <v>Code nomenclature</v>
      </c>
      <c r="I30" s="1455"/>
      <c r="J30" s="1455"/>
      <c r="K30" s="1455"/>
      <c r="L30" s="1455"/>
      <c r="M30" s="1455"/>
      <c r="N30" s="1455"/>
      <c r="O30" s="1456"/>
      <c r="P30" s="1457" t="str">
        <f>IF([1]ACCUEIL!B1=1,"Turnover excluding VAT","Chiffre d'affaire HT")</f>
        <v>Chiffre d'affaire HT</v>
      </c>
      <c r="Q30" s="1458"/>
      <c r="R30" s="1459" t="str">
        <f>IF([1]ACCUEIL!B1=1,"% activity","% activité")</f>
        <v>% activité</v>
      </c>
      <c r="S30" s="1460"/>
      <c r="T30" s="1461"/>
    </row>
    <row r="31" spans="1:20" ht="24.6" customHeight="1">
      <c r="A31" s="11"/>
      <c r="B31" s="1462" t="str">
        <f>IF([1]ACCUEIL!B1=1,"Description of the activity (¹)","Designation de l'activité (¹)")</f>
        <v>Designation de l'activité (¹)</v>
      </c>
      <c r="C31" s="1463"/>
      <c r="D31" s="1463"/>
      <c r="E31" s="1463"/>
      <c r="F31" s="1463"/>
      <c r="G31" s="1464"/>
      <c r="H31" s="1465" t="str">
        <f>IF([1]ACCUEIL!B1=1,"code (1)","d'activité (1)")</f>
        <v>d'activité (1)</v>
      </c>
      <c r="I31" s="1466"/>
      <c r="J31" s="1466"/>
      <c r="K31" s="1466"/>
      <c r="L31" s="1466"/>
      <c r="M31" s="1466"/>
      <c r="N31" s="1466"/>
      <c r="O31" s="1467"/>
      <c r="P31" s="1462" t="str">
        <f>IF([1]ACCUEIL!B1=1,"(TE VAT) or added value ","(CA ) ou valeur ajoutée")</f>
        <v>(CA ) ou valeur ajoutée</v>
      </c>
      <c r="Q31" s="1464"/>
      <c r="R31" s="1468" t="str">
        <f>IF([1]ACCUEIL!B1=1,"in the TE","dansleCA")</f>
        <v>dansleCA</v>
      </c>
      <c r="S31" s="1469"/>
      <c r="T31" s="1470"/>
    </row>
    <row r="32" spans="1:20" ht="24.6" customHeight="1">
      <c r="A32" s="11"/>
      <c r="B32" s="151"/>
      <c r="C32" s="152"/>
      <c r="D32" s="152"/>
      <c r="E32" s="152"/>
      <c r="F32" s="152"/>
      <c r="G32" s="153"/>
      <c r="H32" s="152"/>
      <c r="I32" s="152"/>
      <c r="J32" s="152"/>
      <c r="K32" s="152"/>
      <c r="L32" s="152"/>
      <c r="M32" s="152"/>
      <c r="N32" s="152"/>
      <c r="O32" s="153"/>
      <c r="P32" s="1471" t="str">
        <f>IF([1]ACCUEIL!B1=1,"(AV)(¹)","(VA)(¹)")</f>
        <v>(VA)(¹)</v>
      </c>
      <c r="Q32" s="1472"/>
      <c r="R32" s="1473" t="str">
        <f>IF([1]ACCUEIL!B1=1,"VAT or AV","HT ou la VA")</f>
        <v>HT ou la VA</v>
      </c>
      <c r="S32" s="1474"/>
      <c r="T32" s="1475"/>
    </row>
    <row r="33" spans="1:20" ht="24.6" customHeight="1">
      <c r="A33" s="11"/>
      <c r="B33" s="1476" t="str">
        <f>IF([1]RENSEIGNEMENT!B101=0,"",[1]RENSEIGNEMENT!B101)</f>
        <v/>
      </c>
      <c r="C33" s="1477"/>
      <c r="D33" s="1477"/>
      <c r="E33" s="1477"/>
      <c r="F33" s="1477"/>
      <c r="G33" s="1478"/>
      <c r="H33" s="144"/>
      <c r="I33" s="144"/>
      <c r="J33" s="144"/>
      <c r="K33" s="144"/>
      <c r="L33" s="144"/>
      <c r="M33" s="144"/>
      <c r="N33" s="144"/>
      <c r="O33" s="150"/>
      <c r="P33" s="1485"/>
      <c r="Q33" s="1394"/>
      <c r="R33" s="154"/>
      <c r="S33" s="154"/>
      <c r="T33" s="155"/>
    </row>
    <row r="34" spans="1:20" ht="24.6" customHeight="1">
      <c r="A34" s="11"/>
      <c r="B34" s="1479"/>
      <c r="C34" s="1480"/>
      <c r="D34" s="1480"/>
      <c r="E34" s="1480"/>
      <c r="F34" s="1480"/>
      <c r="G34" s="1481"/>
      <c r="H34" s="156"/>
      <c r="I34" s="157" t="str">
        <f>IF([1]RENSEIGNEMENT!I102=0,"",[1]RENSEIGNEMENT!I102)</f>
        <v/>
      </c>
      <c r="J34" s="157" t="str">
        <f>IF([1]RENSEIGNEMENT!K102=0,"",[1]RENSEIGNEMENT!K102)</f>
        <v/>
      </c>
      <c r="K34" s="157" t="str">
        <f>IF([1]RENSEIGNEMENT!L102=0,"",[1]RENSEIGNEMENT!L102)</f>
        <v/>
      </c>
      <c r="L34" s="157" t="str">
        <f>IF([1]RENSEIGNEMENT!M102=0,"",[1]RENSEIGNEMENT!M102)</f>
        <v/>
      </c>
      <c r="M34" s="157" t="str">
        <f>IF([1]RENSEIGNEMENT!N102=0,"",[1]RENSEIGNEMENT!N102)</f>
        <v/>
      </c>
      <c r="N34" s="157" t="str">
        <f>IF([1]RENSEIGNEMENT!O102=0,"",[1]RENSEIGNEMENT!O102)</f>
        <v/>
      </c>
      <c r="O34" s="150"/>
      <c r="P34" s="1486">
        <f>[1]RENSEIGNEMENT!Q102</f>
        <v>0</v>
      </c>
      <c r="Q34" s="1487"/>
      <c r="R34" s="1488">
        <f>IF(P34&lt;&gt;0,P34/P52,0)</f>
        <v>0</v>
      </c>
      <c r="S34" s="1489"/>
      <c r="T34" s="1490"/>
    </row>
    <row r="35" spans="1:20" ht="24.6" customHeight="1">
      <c r="A35" s="11"/>
      <c r="B35" s="1482"/>
      <c r="C35" s="1483"/>
      <c r="D35" s="1483"/>
      <c r="E35" s="1483"/>
      <c r="F35" s="1483"/>
      <c r="G35" s="1484"/>
      <c r="H35" s="152"/>
      <c r="I35" s="158"/>
      <c r="J35" s="158"/>
      <c r="K35" s="158"/>
      <c r="L35" s="158"/>
      <c r="M35" s="158"/>
      <c r="N35" s="158"/>
      <c r="O35" s="153"/>
      <c r="P35" s="1491"/>
      <c r="Q35" s="1447"/>
      <c r="R35" s="159"/>
      <c r="S35" s="159"/>
      <c r="T35" s="160"/>
    </row>
    <row r="36" spans="1:20" ht="24.6" customHeight="1">
      <c r="A36" s="11"/>
      <c r="B36" s="1476" t="str">
        <f>IF([1]RENSEIGNEMENT!B104=0,"",[1]RENSEIGNEMENT!B104)</f>
        <v/>
      </c>
      <c r="C36" s="1477"/>
      <c r="D36" s="1477"/>
      <c r="E36" s="1477"/>
      <c r="F36" s="1477"/>
      <c r="G36" s="1478"/>
      <c r="H36" s="144"/>
      <c r="I36" s="161"/>
      <c r="J36" s="161"/>
      <c r="K36" s="161"/>
      <c r="L36" s="161"/>
      <c r="M36" s="161"/>
      <c r="N36" s="161"/>
      <c r="O36" s="150"/>
      <c r="P36" s="1485"/>
      <c r="Q36" s="1394"/>
      <c r="R36" s="162"/>
      <c r="S36" s="162"/>
      <c r="T36" s="155"/>
    </row>
    <row r="37" spans="1:20" ht="24.6" customHeight="1">
      <c r="A37" s="11"/>
      <c r="B37" s="1479"/>
      <c r="C37" s="1480"/>
      <c r="D37" s="1480"/>
      <c r="E37" s="1480"/>
      <c r="F37" s="1480"/>
      <c r="G37" s="1481"/>
      <c r="H37" s="156"/>
      <c r="I37" s="157" t="str">
        <f>IF([1]RENSEIGNEMENT!I105=0,"",[1]RENSEIGNEMENT!I105)</f>
        <v/>
      </c>
      <c r="J37" s="157" t="str">
        <f>IF([1]RENSEIGNEMENT!K105=0,"",[1]RENSEIGNEMENT!K105)</f>
        <v/>
      </c>
      <c r="K37" s="157" t="str">
        <f>IF([1]RENSEIGNEMENT!L105=0,"",[1]RENSEIGNEMENT!L105)</f>
        <v/>
      </c>
      <c r="L37" s="157" t="str">
        <f>IF([1]RENSEIGNEMENT!M105=0,"",[1]RENSEIGNEMENT!M105)</f>
        <v/>
      </c>
      <c r="M37" s="157" t="str">
        <f>IF([1]RENSEIGNEMENT!N105=0,"",[1]RENSEIGNEMENT!N105)</f>
        <v/>
      </c>
      <c r="N37" s="157" t="str">
        <f>IF([1]RENSEIGNEMENT!O105=0,"",[1]RENSEIGNEMENT!O105)</f>
        <v/>
      </c>
      <c r="O37" s="150"/>
      <c r="P37" s="1486">
        <f>[1]RENSEIGNEMENT!Q105</f>
        <v>0</v>
      </c>
      <c r="Q37" s="1487"/>
      <c r="R37" s="1488">
        <f>IF(P37&lt;&gt;0,P37/P52,0)</f>
        <v>0</v>
      </c>
      <c r="S37" s="1492"/>
      <c r="T37" s="1490"/>
    </row>
    <row r="38" spans="1:20" ht="24.6" customHeight="1">
      <c r="A38" s="11"/>
      <c r="B38" s="1482"/>
      <c r="C38" s="1483"/>
      <c r="D38" s="1483"/>
      <c r="E38" s="1483"/>
      <c r="F38" s="1483"/>
      <c r="G38" s="1484"/>
      <c r="H38" s="152"/>
      <c r="I38" s="158"/>
      <c r="J38" s="158"/>
      <c r="K38" s="158"/>
      <c r="L38" s="158"/>
      <c r="M38" s="158"/>
      <c r="N38" s="158"/>
      <c r="O38" s="153"/>
      <c r="P38" s="1491"/>
      <c r="Q38" s="1447"/>
      <c r="R38" s="159"/>
      <c r="S38" s="159"/>
      <c r="T38" s="160"/>
    </row>
    <row r="39" spans="1:20" ht="24.6" customHeight="1">
      <c r="A39" s="11"/>
      <c r="B39" s="1476" t="str">
        <f>IF([1]RENSEIGNEMENT!B107=0,"",[1]RENSEIGNEMENT!B107)</f>
        <v/>
      </c>
      <c r="C39" s="1477"/>
      <c r="D39" s="1477"/>
      <c r="E39" s="1477"/>
      <c r="F39" s="1477"/>
      <c r="G39" s="1478"/>
      <c r="H39" s="144"/>
      <c r="I39" s="161"/>
      <c r="J39" s="161"/>
      <c r="K39" s="161"/>
      <c r="L39" s="161"/>
      <c r="M39" s="161"/>
      <c r="N39" s="161"/>
      <c r="O39" s="150"/>
      <c r="P39" s="1485"/>
      <c r="Q39" s="1394"/>
      <c r="R39" s="162"/>
      <c r="S39" s="162"/>
      <c r="T39" s="155"/>
    </row>
    <row r="40" spans="1:20" ht="24.6" customHeight="1">
      <c r="A40" s="11"/>
      <c r="B40" s="1479"/>
      <c r="C40" s="1480"/>
      <c r="D40" s="1480"/>
      <c r="E40" s="1480"/>
      <c r="F40" s="1480"/>
      <c r="G40" s="1481"/>
      <c r="H40" s="156"/>
      <c r="I40" s="157" t="str">
        <f>IF([1]RENSEIGNEMENT!I108=0,"",[1]RENSEIGNEMENT!I108)</f>
        <v/>
      </c>
      <c r="J40" s="157" t="str">
        <f>IF([1]RENSEIGNEMENT!K108=0,"",[1]RENSEIGNEMENT!K108)</f>
        <v/>
      </c>
      <c r="K40" s="157" t="str">
        <f>IF([1]RENSEIGNEMENT!L108=0,"",[1]RENSEIGNEMENT!L108)</f>
        <v/>
      </c>
      <c r="L40" s="157" t="str">
        <f>IF([1]RENSEIGNEMENT!M108=0,"",[1]RENSEIGNEMENT!M108)</f>
        <v/>
      </c>
      <c r="M40" s="157" t="str">
        <f>IF([1]RENSEIGNEMENT!N108=0,"",[1]RENSEIGNEMENT!N108)</f>
        <v/>
      </c>
      <c r="N40" s="157" t="str">
        <f>IF([1]RENSEIGNEMENT!O108=0,"",[1]RENSEIGNEMENT!O108)</f>
        <v/>
      </c>
      <c r="O40" s="156"/>
      <c r="P40" s="1486">
        <f>[1]RENSEIGNEMENT!Q108</f>
        <v>0</v>
      </c>
      <c r="Q40" s="1487"/>
      <c r="R40" s="1488">
        <f>IF(P40&lt;&gt;0,P40/P52,0)</f>
        <v>0</v>
      </c>
      <c r="S40" s="1492"/>
      <c r="T40" s="1490"/>
    </row>
    <row r="41" spans="1:20" ht="24.6" customHeight="1">
      <c r="A41" s="11"/>
      <c r="B41" s="1482"/>
      <c r="C41" s="1483"/>
      <c r="D41" s="1483"/>
      <c r="E41" s="1483"/>
      <c r="F41" s="1483"/>
      <c r="G41" s="1484"/>
      <c r="H41" s="152"/>
      <c r="I41" s="158"/>
      <c r="J41" s="158"/>
      <c r="K41" s="158"/>
      <c r="L41" s="158"/>
      <c r="M41" s="158"/>
      <c r="N41" s="158"/>
      <c r="O41" s="153"/>
      <c r="P41" s="1491"/>
      <c r="Q41" s="1447"/>
      <c r="R41" s="159"/>
      <c r="S41" s="159"/>
      <c r="T41" s="160"/>
    </row>
    <row r="42" spans="1:20" ht="24.6" customHeight="1">
      <c r="A42" s="11"/>
      <c r="B42" s="1476" t="str">
        <f>IF([1]RENSEIGNEMENT!B110=0,"",[1]RENSEIGNEMENT!B110)</f>
        <v/>
      </c>
      <c r="C42" s="1477"/>
      <c r="D42" s="1477"/>
      <c r="E42" s="1477"/>
      <c r="F42" s="1477"/>
      <c r="G42" s="1478"/>
      <c r="H42" s="144"/>
      <c r="I42" s="161"/>
      <c r="J42" s="161"/>
      <c r="K42" s="161"/>
      <c r="L42" s="161"/>
      <c r="M42" s="161"/>
      <c r="N42" s="161"/>
      <c r="O42" s="150"/>
      <c r="P42" s="1485"/>
      <c r="Q42" s="1394"/>
      <c r="R42" s="162"/>
      <c r="S42" s="162"/>
      <c r="T42" s="155"/>
    </row>
    <row r="43" spans="1:20" ht="24.6" customHeight="1">
      <c r="A43" s="11"/>
      <c r="B43" s="1479"/>
      <c r="C43" s="1480"/>
      <c r="D43" s="1480"/>
      <c r="E43" s="1480"/>
      <c r="F43" s="1480"/>
      <c r="G43" s="1481"/>
      <c r="H43" s="156"/>
      <c r="I43" s="157" t="str">
        <f>IF([1]RENSEIGNEMENT!I114=0,"",[1]RENSEIGNEMENT!I114)</f>
        <v/>
      </c>
      <c r="J43" s="157" t="str">
        <f>IF([1]RENSEIGNEMENT!K114=0,"",[1]RENSEIGNEMENT!K114)</f>
        <v/>
      </c>
      <c r="K43" s="157" t="str">
        <f>IF([1]RENSEIGNEMENT!L114=0,"",[1]RENSEIGNEMENT!L114)</f>
        <v/>
      </c>
      <c r="L43" s="157" t="str">
        <f>IF([1]RENSEIGNEMENT!M114=0,"",[1]RENSEIGNEMENT!M114)</f>
        <v/>
      </c>
      <c r="M43" s="157" t="str">
        <f>IF([1]RENSEIGNEMENT!N114=0,"",[1]RENSEIGNEMENT!N114)</f>
        <v/>
      </c>
      <c r="N43" s="157" t="str">
        <f>IF([1]RENSEIGNEMENT!O114=0,"",[1]RENSEIGNEMENT!O114)</f>
        <v/>
      </c>
      <c r="O43" s="156"/>
      <c r="P43" s="1486">
        <f>[1]RENSEIGNEMENT!Q111</f>
        <v>0</v>
      </c>
      <c r="Q43" s="1487"/>
      <c r="R43" s="1488">
        <f>IF(P43&lt;&gt;0,P43/P52,0)</f>
        <v>0</v>
      </c>
      <c r="S43" s="1492"/>
      <c r="T43" s="1490"/>
    </row>
    <row r="44" spans="1:20" ht="24.6" customHeight="1">
      <c r="A44" s="11"/>
      <c r="B44" s="1482"/>
      <c r="C44" s="1483"/>
      <c r="D44" s="1483"/>
      <c r="E44" s="1483"/>
      <c r="F44" s="1483"/>
      <c r="G44" s="1484"/>
      <c r="H44" s="152"/>
      <c r="I44" s="158"/>
      <c r="J44" s="158"/>
      <c r="K44" s="158"/>
      <c r="L44" s="163"/>
      <c r="M44" s="158"/>
      <c r="N44" s="158"/>
      <c r="O44" s="153"/>
      <c r="P44" s="1491"/>
      <c r="Q44" s="1447"/>
      <c r="R44" s="159"/>
      <c r="S44" s="159"/>
      <c r="T44" s="160"/>
    </row>
    <row r="45" spans="1:20" ht="24.6" customHeight="1">
      <c r="A45" s="11"/>
      <c r="B45" s="1476" t="str">
        <f>IF([1]RENSEIGNEMENT!B113=0,"",[1]RENSEIGNEMENT!B113)</f>
        <v/>
      </c>
      <c r="C45" s="1477"/>
      <c r="D45" s="1477"/>
      <c r="E45" s="1477"/>
      <c r="F45" s="1477"/>
      <c r="G45" s="1478"/>
      <c r="H45" s="144"/>
      <c r="I45" s="161"/>
      <c r="J45" s="161"/>
      <c r="K45" s="161"/>
      <c r="L45" s="161"/>
      <c r="M45" s="161"/>
      <c r="N45" s="161"/>
      <c r="O45" s="150"/>
      <c r="P45" s="1485"/>
      <c r="Q45" s="1394"/>
      <c r="R45" s="162"/>
      <c r="S45" s="162"/>
      <c r="T45" s="155"/>
    </row>
    <row r="46" spans="1:20" ht="24.6" customHeight="1">
      <c r="A46" s="11"/>
      <c r="B46" s="1479"/>
      <c r="C46" s="1480"/>
      <c r="D46" s="1480"/>
      <c r="E46" s="1480"/>
      <c r="F46" s="1480"/>
      <c r="G46" s="1481"/>
      <c r="H46" s="156"/>
      <c r="I46" s="164" t="str">
        <f>IF([1]RENSEIGNEMENT!I117=0,"",[1]RENSEIGNEMENT!I117)</f>
        <v/>
      </c>
      <c r="J46" s="164" t="str">
        <f>IF([1]RENSEIGNEMENT!K117=0,"",[1]RENSEIGNEMENT!K117)</f>
        <v/>
      </c>
      <c r="K46" s="164" t="str">
        <f>IF([1]RENSEIGNEMENT!L117=0,"",[1]RENSEIGNEMENT!L117)</f>
        <v/>
      </c>
      <c r="L46" s="164" t="str">
        <f>IF([1]RENSEIGNEMENT!M117=0,"",[1]RENSEIGNEMENT!M117)</f>
        <v/>
      </c>
      <c r="M46" s="164" t="str">
        <f>IF([1]RENSEIGNEMENT!N117=0,"",[1]RENSEIGNEMENT!N117)</f>
        <v/>
      </c>
      <c r="N46" s="164" t="str">
        <f>IF([1]RENSEIGNEMENT!O117=0,"",[1]RENSEIGNEMENT!O117)</f>
        <v/>
      </c>
      <c r="O46" s="156"/>
      <c r="P46" s="1486">
        <f>[1]RENSEIGNEMENT!Q114</f>
        <v>0</v>
      </c>
      <c r="Q46" s="1487"/>
      <c r="R46" s="1488">
        <f>IF(P46&lt;&gt;0,P46/P52,0)</f>
        <v>0</v>
      </c>
      <c r="S46" s="1492"/>
      <c r="T46" s="1490"/>
    </row>
    <row r="47" spans="1:20" ht="24.6" customHeight="1">
      <c r="A47" s="11"/>
      <c r="B47" s="1482"/>
      <c r="C47" s="1483"/>
      <c r="D47" s="1483"/>
      <c r="E47" s="1483"/>
      <c r="F47" s="1483"/>
      <c r="G47" s="1484"/>
      <c r="H47" s="152"/>
      <c r="I47" s="158"/>
      <c r="J47" s="158"/>
      <c r="K47" s="158"/>
      <c r="L47" s="163"/>
      <c r="M47" s="158"/>
      <c r="N47" s="158"/>
      <c r="O47" s="153"/>
      <c r="P47" s="1491"/>
      <c r="Q47" s="1447"/>
      <c r="R47" s="159"/>
      <c r="S47" s="159"/>
      <c r="T47" s="160"/>
    </row>
    <row r="48" spans="1:20" ht="24.6" customHeight="1">
      <c r="A48" s="11"/>
      <c r="B48" s="1476" t="str">
        <f>IF([1]RENSEIGNEMENT!B116=0,"",[1]RENSEIGNEMENT!B116)</f>
        <v/>
      </c>
      <c r="C48" s="1477"/>
      <c r="D48" s="1477"/>
      <c r="E48" s="1477"/>
      <c r="F48" s="1477"/>
      <c r="G48" s="1478"/>
      <c r="H48" s="144"/>
      <c r="I48" s="161"/>
      <c r="J48" s="161"/>
      <c r="K48" s="161"/>
      <c r="L48" s="161"/>
      <c r="M48" s="161"/>
      <c r="N48" s="161"/>
      <c r="O48" s="150"/>
      <c r="P48" s="1485"/>
      <c r="Q48" s="1394"/>
      <c r="R48" s="162"/>
      <c r="S48" s="162"/>
      <c r="T48" s="155"/>
    </row>
    <row r="49" spans="1:20" ht="24.6" customHeight="1">
      <c r="A49" s="11"/>
      <c r="B49" s="1479"/>
      <c r="C49" s="1480"/>
      <c r="D49" s="1480"/>
      <c r="E49" s="1480"/>
      <c r="F49" s="1480"/>
      <c r="G49" s="1481"/>
      <c r="H49" s="156"/>
      <c r="I49" s="157" t="str">
        <f>IF([1]RENSEIGNEMENT!I120=0,"",[1]RENSEIGNEMENT!I120)</f>
        <v/>
      </c>
      <c r="J49" s="157" t="str">
        <f>IF([1]RENSEIGNEMENT!K120=0,"",[1]RENSEIGNEMENT!K120)</f>
        <v/>
      </c>
      <c r="K49" s="157" t="str">
        <f>IF([1]RENSEIGNEMENT!L120=0,"",[1]RENSEIGNEMENT!L120)</f>
        <v/>
      </c>
      <c r="L49" s="157" t="str">
        <f>IF([1]RENSEIGNEMENT!M120=0,"",[1]RENSEIGNEMENT!M120)</f>
        <v/>
      </c>
      <c r="M49" s="157" t="str">
        <f>IF([1]RENSEIGNEMENT!N120=0,"",[1]RENSEIGNEMENT!N120)</f>
        <v/>
      </c>
      <c r="N49" s="157" t="str">
        <f>IF([1]RENSEIGNEMENT!O120=0,"",[1]RENSEIGNEMENT!O120)</f>
        <v/>
      </c>
      <c r="O49" s="150"/>
      <c r="P49" s="1486">
        <f>[1]RENSEIGNEMENT!Q117</f>
        <v>0</v>
      </c>
      <c r="Q49" s="1487"/>
      <c r="R49" s="1488">
        <f>IF(P49&lt;&gt;0,P49/P52,0)</f>
        <v>0</v>
      </c>
      <c r="S49" s="1492"/>
      <c r="T49" s="1490"/>
    </row>
    <row r="50" spans="1:20" ht="24.6" customHeight="1">
      <c r="A50" s="11"/>
      <c r="B50" s="1482"/>
      <c r="C50" s="1483"/>
      <c r="D50" s="1483"/>
      <c r="E50" s="1483"/>
      <c r="F50" s="1483"/>
      <c r="G50" s="1484"/>
      <c r="H50" s="152"/>
      <c r="I50" s="152"/>
      <c r="J50" s="152"/>
      <c r="K50" s="152"/>
      <c r="L50" s="67"/>
      <c r="M50" s="67"/>
      <c r="N50" s="67"/>
      <c r="O50" s="153"/>
      <c r="P50" s="1491"/>
      <c r="Q50" s="1447"/>
      <c r="R50" s="159"/>
      <c r="S50" s="159"/>
      <c r="T50" s="160"/>
    </row>
    <row r="51" spans="1:20" ht="24.6" customHeight="1">
      <c r="A51" s="11"/>
      <c r="B51" s="1500" t="str">
        <f>IF([1]ACCUEIL!B1=1,"  Others","  Divers")</f>
        <v xml:space="preserve">  Divers</v>
      </c>
      <c r="C51" s="1501"/>
      <c r="D51" s="1501"/>
      <c r="E51" s="1501"/>
      <c r="F51" s="1501"/>
      <c r="G51" s="1502"/>
      <c r="H51" s="67"/>
      <c r="I51" s="67"/>
      <c r="J51" s="67"/>
      <c r="K51" s="67"/>
      <c r="L51" s="67"/>
      <c r="M51" s="67"/>
      <c r="N51" s="67"/>
      <c r="O51" s="165"/>
      <c r="P51" s="1496">
        <f>[1]RENSEIGNEMENT!Q120</f>
        <v>0</v>
      </c>
      <c r="Q51" s="1497"/>
      <c r="R51" s="1503">
        <f>IF(P51&lt;&gt;0,P51/P52,0)</f>
        <v>0</v>
      </c>
      <c r="S51" s="1504"/>
      <c r="T51" s="1505"/>
    </row>
    <row r="52" spans="1:20" ht="24.6" customHeight="1">
      <c r="A52" s="11"/>
      <c r="B52" s="67"/>
      <c r="C52" s="67"/>
      <c r="D52" s="67"/>
      <c r="E52" s="67"/>
      <c r="F52" s="67"/>
      <c r="G52" s="165"/>
      <c r="H52" s="1493" t="s">
        <v>22</v>
      </c>
      <c r="I52" s="1494"/>
      <c r="J52" s="1494"/>
      <c r="K52" s="1494"/>
      <c r="L52" s="1494"/>
      <c r="M52" s="1494"/>
      <c r="N52" s="1494"/>
      <c r="O52" s="1495"/>
      <c r="P52" s="1496">
        <f>'COMPTE DE RESULTAT'!I37</f>
        <v>0</v>
      </c>
      <c r="Q52" s="1497"/>
      <c r="R52" s="1498">
        <f>R34+R37+R40+R43+R46+R49+R51</f>
        <v>0</v>
      </c>
      <c r="S52" s="1413"/>
      <c r="T52" s="1499"/>
    </row>
    <row r="53" spans="1:20">
      <c r="A53" s="11"/>
      <c r="B53" s="144"/>
      <c r="C53" s="144"/>
      <c r="D53" s="144"/>
      <c r="E53" s="144"/>
      <c r="F53" s="144"/>
      <c r="G53" s="166"/>
      <c r="H53" s="144"/>
      <c r="I53" s="144"/>
      <c r="J53" s="144"/>
      <c r="K53" s="144"/>
      <c r="L53" s="144"/>
      <c r="M53" s="144"/>
      <c r="N53" s="144"/>
      <c r="O53" s="144"/>
      <c r="P53" s="144"/>
      <c r="Q53" s="144"/>
      <c r="R53" s="144"/>
      <c r="S53" s="144"/>
      <c r="T53" s="167"/>
    </row>
    <row r="54" spans="1:20">
      <c r="A54" s="11"/>
      <c r="B54" s="145" t="str">
        <f>IF([1]ACCUEIL!B1=1,"  (1) Refer to the code tables.","  (1) Se référer aux tables des codes.")</f>
        <v xml:space="preserve">  (1) Se référer aux tables des codes.</v>
      </c>
      <c r="C54" s="144"/>
      <c r="D54" s="144"/>
      <c r="E54" s="144"/>
      <c r="F54" s="144"/>
      <c r="G54" s="144"/>
      <c r="H54" s="144"/>
      <c r="I54" s="144"/>
      <c r="J54" s="144"/>
      <c r="K54" s="144"/>
      <c r="L54" s="144"/>
      <c r="M54" s="144"/>
      <c r="N54" s="144"/>
      <c r="O54" s="144"/>
      <c r="P54" s="144"/>
      <c r="Q54" s="144"/>
      <c r="R54" s="144"/>
      <c r="S54" s="144"/>
      <c r="T54" s="150"/>
    </row>
    <row r="55" spans="1:20">
      <c r="A55" s="11"/>
      <c r="B55" s="145" t="str">
        <f>IF([1]ACCUEIL!B1=1,"  (2) List the activities precisely in descending order of C. A. HT, or value added (V. A.).","  (2) Lister de manière précise les activités dans l'ordre décroissant du C. A. HT, ou de la valeur ajoutée (V. A.).")</f>
        <v xml:space="preserve">  (2) Lister de manière précise les activités dans l'ordre décroissant du C. A. HT, ou de la valeur ajoutée (V. A.).</v>
      </c>
      <c r="C55" s="144"/>
      <c r="D55" s="144"/>
      <c r="E55" s="144"/>
      <c r="F55" s="144"/>
      <c r="G55" s="144"/>
      <c r="H55" s="144"/>
      <c r="I55" s="144"/>
      <c r="J55" s="144"/>
      <c r="K55" s="144"/>
      <c r="L55" s="144"/>
      <c r="M55" s="144"/>
      <c r="N55" s="144"/>
      <c r="O55" s="144"/>
      <c r="P55" s="144"/>
      <c r="Q55" s="144"/>
      <c r="R55" s="144"/>
      <c r="S55" s="144"/>
      <c r="T55" s="150"/>
    </row>
    <row r="56" spans="1:20">
      <c r="A56" s="11"/>
      <c r="B56" s="145" t="str">
        <f>IF([1]ACCUEIL!B1=1,"  (3) Delete as appropriate (preferably use V. A.).","  (3) Rayer la mention inutile (utiliser de préférence la V. A.).")</f>
        <v xml:space="preserve">  (3) Rayer la mention inutile (utiliser de préférence la V. A.).</v>
      </c>
      <c r="C56" s="144"/>
      <c r="D56" s="144"/>
      <c r="E56" s="144"/>
      <c r="F56" s="144"/>
      <c r="G56" s="144"/>
      <c r="H56" s="144"/>
      <c r="I56" s="144"/>
      <c r="J56" s="144"/>
      <c r="K56" s="144"/>
      <c r="L56" s="144"/>
      <c r="M56" s="144"/>
      <c r="N56" s="144"/>
      <c r="O56" s="144"/>
      <c r="P56" s="144"/>
      <c r="Q56" s="144"/>
      <c r="R56" s="144"/>
      <c r="S56" s="144"/>
      <c r="T56" s="150"/>
    </row>
    <row r="57" spans="1:20">
      <c r="A57" s="11"/>
      <c r="B57" s="151"/>
      <c r="C57" s="152"/>
      <c r="D57" s="152"/>
      <c r="E57" s="152"/>
      <c r="F57" s="152"/>
      <c r="G57" s="152"/>
      <c r="H57" s="152"/>
      <c r="I57" s="152"/>
      <c r="J57" s="152"/>
      <c r="K57" s="152"/>
      <c r="L57" s="152"/>
      <c r="M57" s="152"/>
      <c r="N57" s="152"/>
      <c r="O57" s="152"/>
      <c r="P57" s="152"/>
      <c r="Q57" s="152"/>
      <c r="R57" s="152"/>
      <c r="S57" s="152"/>
      <c r="T57" s="153"/>
    </row>
  </sheetData>
  <sheetProtection selectLockedCells="1" selectUnlockedCells="1"/>
  <mergeCells count="51">
    <mergeCell ref="H52:O52"/>
    <mergeCell ref="P52:Q52"/>
    <mergeCell ref="R52:T52"/>
    <mergeCell ref="B48:G50"/>
    <mergeCell ref="P48:Q48"/>
    <mergeCell ref="P49:Q49"/>
    <mergeCell ref="R49:T49"/>
    <mergeCell ref="P50:Q50"/>
    <mergeCell ref="B51:G51"/>
    <mergeCell ref="P51:Q51"/>
    <mergeCell ref="R51:T51"/>
    <mergeCell ref="B42:G44"/>
    <mergeCell ref="P42:Q42"/>
    <mergeCell ref="P43:Q43"/>
    <mergeCell ref="R43:T43"/>
    <mergeCell ref="P44:Q44"/>
    <mergeCell ref="B45:G47"/>
    <mergeCell ref="P45:Q45"/>
    <mergeCell ref="P46:Q46"/>
    <mergeCell ref="R46:T46"/>
    <mergeCell ref="P47:Q47"/>
    <mergeCell ref="B36:G38"/>
    <mergeCell ref="P36:Q36"/>
    <mergeCell ref="P37:Q37"/>
    <mergeCell ref="R37:T37"/>
    <mergeCell ref="P38:Q38"/>
    <mergeCell ref="B39:G41"/>
    <mergeCell ref="P39:Q39"/>
    <mergeCell ref="P40:Q40"/>
    <mergeCell ref="R40:T40"/>
    <mergeCell ref="P41:Q41"/>
    <mergeCell ref="P32:Q32"/>
    <mergeCell ref="R32:T32"/>
    <mergeCell ref="B33:G35"/>
    <mergeCell ref="P33:Q33"/>
    <mergeCell ref="P34:Q34"/>
    <mergeCell ref="R34:T34"/>
    <mergeCell ref="P35:Q35"/>
    <mergeCell ref="H30:O30"/>
    <mergeCell ref="P30:Q30"/>
    <mergeCell ref="R30:T30"/>
    <mergeCell ref="B31:G31"/>
    <mergeCell ref="H31:O31"/>
    <mergeCell ref="P31:Q31"/>
    <mergeCell ref="R31:T31"/>
    <mergeCell ref="B29:T29"/>
    <mergeCell ref="B2:T2"/>
    <mergeCell ref="B4:T4"/>
    <mergeCell ref="J8:N8"/>
    <mergeCell ref="B10:T10"/>
    <mergeCell ref="O13:T13"/>
  </mergeCells>
  <conditionalFormatting sqref="G6 Q7">
    <cfRule type="expression" dxfId="56" priority="1">
      <formula>#REF!=1</formula>
    </cfRule>
  </conditionalFormatting>
  <printOptions horizontalCentered="1"/>
  <pageMargins left="0.78740157480314965" right="0.19685039370078741" top="0.59055118110236227" bottom="0.19685039370078741" header="0.11811023622047245" footer="0.31496062992125984"/>
  <pageSetup paperSize="9" scale="55" fitToHeight="0" orientation="portrait" r:id="rId1"/>
  <headerFooter>
    <oddHeader>&amp;C&amp;"-,Gras"&amp;18Page &amp;P / &amp;N</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Check Box 1">
              <controlPr defaultSize="0" autoFill="0" autoLine="0" autoPict="0">
                <anchor moveWithCells="1">
                  <from>
                    <xdr:col>18</xdr:col>
                    <xdr:colOff>0</xdr:colOff>
                    <xdr:row>14</xdr:row>
                    <xdr:rowOff>19050</xdr:rowOff>
                  </from>
                  <to>
                    <xdr:col>19</xdr:col>
                    <xdr:colOff>85725</xdr:colOff>
                    <xdr:row>14</xdr:row>
                    <xdr:rowOff>276225</xdr:rowOff>
                  </to>
                </anchor>
              </controlPr>
            </control>
          </mc:Choice>
        </mc:AlternateContent>
        <mc:AlternateContent xmlns:mc="http://schemas.openxmlformats.org/markup-compatibility/2006">
          <mc:Choice Requires="x14">
            <control shapeId="3074" r:id="rId5" name="Check Box 2">
              <controlPr defaultSize="0" autoFill="0" autoLine="0" autoPict="0">
                <anchor moveWithCells="1">
                  <from>
                    <xdr:col>18</xdr:col>
                    <xdr:colOff>0</xdr:colOff>
                    <xdr:row>16</xdr:row>
                    <xdr:rowOff>57150</xdr:rowOff>
                  </from>
                  <to>
                    <xdr:col>19</xdr:col>
                    <xdr:colOff>85725</xdr:colOff>
                    <xdr:row>17</xdr:row>
                    <xdr:rowOff>0</xdr:rowOff>
                  </to>
                </anchor>
              </controlPr>
            </control>
          </mc:Choice>
        </mc:AlternateContent>
        <mc:AlternateContent xmlns:mc="http://schemas.openxmlformats.org/markup-compatibility/2006">
          <mc:Choice Requires="x14">
            <control shapeId="3075" r:id="rId6" name="Check Box 3">
              <controlPr defaultSize="0" autoFill="0" autoLine="0" autoPict="0">
                <anchor moveWithCells="1">
                  <from>
                    <xdr:col>18</xdr:col>
                    <xdr:colOff>0</xdr:colOff>
                    <xdr:row>18</xdr:row>
                    <xdr:rowOff>104775</xdr:rowOff>
                  </from>
                  <to>
                    <xdr:col>19</xdr:col>
                    <xdr:colOff>85725</xdr:colOff>
                    <xdr:row>19</xdr:row>
                    <xdr:rowOff>57150</xdr:rowOff>
                  </to>
                </anchor>
              </controlPr>
            </control>
          </mc:Choice>
        </mc:AlternateContent>
        <mc:AlternateContent xmlns:mc="http://schemas.openxmlformats.org/markup-compatibility/2006">
          <mc:Choice Requires="x14">
            <control shapeId="3076" r:id="rId7" name="Button 4">
              <controlPr defaultSize="0" print="0" autoFill="0" autoPict="0" macro="[1]!ENTI">
                <anchor moveWithCells="1" sizeWithCells="1">
                  <from>
                    <xdr:col>20</xdr:col>
                    <xdr:colOff>104775</xdr:colOff>
                    <xdr:row>3</xdr:row>
                    <xdr:rowOff>19050</xdr:rowOff>
                  </from>
                  <to>
                    <xdr:col>21</xdr:col>
                    <xdr:colOff>685800</xdr:colOff>
                    <xdr:row>4</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80">
    <pageSetUpPr fitToPage="1"/>
  </sheetPr>
  <dimension ref="B2:J66"/>
  <sheetViews>
    <sheetView showGridLines="0" showRowColHeaders="0" showZeros="0" zoomScale="90" zoomScaleNormal="90" zoomScaleSheetLayoutView="98" workbookViewId="0">
      <selection activeCell="H18" sqref="H18"/>
    </sheetView>
  </sheetViews>
  <sheetFormatPr baseColWidth="10" defaultColWidth="11.42578125" defaultRowHeight="15"/>
  <cols>
    <col min="1" max="1" width="22" style="2" customWidth="1"/>
    <col min="2" max="2" width="23.42578125" style="2" customWidth="1"/>
    <col min="3" max="3" width="8.42578125" style="2" customWidth="1"/>
    <col min="4" max="4" width="19.140625" style="2" customWidth="1"/>
    <col min="5" max="5" width="11.42578125" style="2"/>
    <col min="6" max="6" width="9.140625" style="2" customWidth="1"/>
    <col min="7" max="7" width="23.140625" style="2" customWidth="1"/>
    <col min="8" max="8" width="21.5703125" style="2" customWidth="1"/>
    <col min="9" max="9" width="25.5703125" style="2" customWidth="1"/>
    <col min="10" max="10" width="11.140625" style="2" customWidth="1"/>
    <col min="11" max="16384" width="11.42578125" style="2"/>
  </cols>
  <sheetData>
    <row r="2" spans="2:10" ht="18">
      <c r="C2" s="168"/>
      <c r="D2" s="168"/>
      <c r="E2" s="168"/>
      <c r="F2" s="169"/>
      <c r="G2" s="168"/>
      <c r="H2" s="168"/>
      <c r="I2" s="168"/>
      <c r="J2" s="168"/>
    </row>
    <row r="3" spans="2:10">
      <c r="B3" s="170"/>
      <c r="C3" s="170"/>
      <c r="D3" s="170"/>
      <c r="E3" s="170"/>
      <c r="F3" s="170"/>
      <c r="G3" s="170"/>
      <c r="H3" s="170"/>
      <c r="I3" s="1506"/>
      <c r="J3" s="1506"/>
    </row>
    <row r="4" spans="2:10">
      <c r="B4" s="170"/>
      <c r="C4" s="170"/>
      <c r="D4" s="170"/>
      <c r="E4" s="170"/>
      <c r="F4" s="170"/>
      <c r="G4" s="170"/>
      <c r="H4" s="170"/>
      <c r="I4" s="1507"/>
      <c r="J4" s="1507"/>
    </row>
    <row r="5" spans="2:10">
      <c r="B5" s="34" t="str">
        <f>'FICHE R2'!B5</f>
        <v>Désignation entité:</v>
      </c>
      <c r="C5" s="171" t="str">
        <f>ACTIF!D4</f>
        <v/>
      </c>
      <c r="D5" s="172"/>
      <c r="E5" s="171"/>
      <c r="F5" s="171"/>
      <c r="G5" s="171"/>
      <c r="H5" s="171"/>
      <c r="I5" s="171"/>
      <c r="J5" s="171"/>
    </row>
    <row r="6" spans="2:10">
      <c r="B6" s="173" t="str">
        <f>'FICHE R2'!B6</f>
        <v>Sigle usuel :</v>
      </c>
      <c r="C6" s="174" t="str">
        <f>ACTIF!D5</f>
        <v/>
      </c>
      <c r="D6" s="175"/>
      <c r="E6" s="175"/>
      <c r="F6" s="176"/>
      <c r="G6" s="177"/>
      <c r="H6" s="34"/>
      <c r="I6" s="178"/>
      <c r="J6" s="178"/>
    </row>
    <row r="7" spans="2:10">
      <c r="B7" s="173" t="str">
        <f>'FICHE R2'!B7</f>
        <v>Adresse:</v>
      </c>
      <c r="C7" s="179">
        <f>ACTIF!D6</f>
        <v>0</v>
      </c>
      <c r="D7" s="175"/>
      <c r="E7" s="180"/>
      <c r="F7" s="34"/>
      <c r="G7" s="175"/>
      <c r="H7" s="175"/>
      <c r="I7" s="181" t="str">
        <f>'FICHE R2'!Q7</f>
        <v>BP:</v>
      </c>
      <c r="J7" s="179" t="str">
        <f>ACTIF!K6</f>
        <v/>
      </c>
    </row>
    <row r="8" spans="2:10">
      <c r="B8" s="34" t="str">
        <f>'FICHE R2'!B8</f>
        <v>Numéro d'identification:</v>
      </c>
      <c r="C8" s="179" t="str">
        <f>ACTIF!D7</f>
        <v/>
      </c>
      <c r="D8" s="175"/>
      <c r="E8" s="178"/>
      <c r="F8" s="174" t="s">
        <v>23</v>
      </c>
      <c r="G8" s="182" t="str">
        <f>'FICHE R2'!J8</f>
        <v xml:space="preserve">   Exercice clos le 31 - 12- </v>
      </c>
      <c r="H8" s="171">
        <f>ACTIF!I7</f>
        <v>2025</v>
      </c>
      <c r="I8" s="182" t="str">
        <f>'FICHE R2'!Q8</f>
        <v xml:space="preserve">    Durée (en mois):</v>
      </c>
      <c r="J8" s="179">
        <f>ACTIF!K7</f>
        <v>12</v>
      </c>
    </row>
    <row r="9" spans="2:10">
      <c r="B9" s="81"/>
      <c r="C9" s="81"/>
      <c r="D9" s="183"/>
      <c r="E9" s="183"/>
      <c r="F9" s="182"/>
      <c r="G9" s="182"/>
      <c r="H9" s="182"/>
      <c r="I9" s="184"/>
      <c r="J9" s="34"/>
    </row>
    <row r="10" spans="2:10">
      <c r="B10" s="1508" t="str">
        <f>IF([1]ACCUEIL!B1=1,"MANAGERS (1)","DIRIGEANTS (1)")</f>
        <v>DIRIGEANTS (1)</v>
      </c>
      <c r="C10" s="1508"/>
      <c r="D10" s="1508"/>
      <c r="E10" s="1508"/>
      <c r="F10" s="1508"/>
      <c r="G10" s="1508"/>
      <c r="H10" s="1508"/>
      <c r="I10" s="1508"/>
      <c r="J10" s="1508"/>
    </row>
    <row r="11" spans="2:10">
      <c r="B11" s="170"/>
      <c r="C11" s="170"/>
      <c r="D11" s="170"/>
      <c r="E11" s="170"/>
      <c r="F11" s="170"/>
      <c r="G11" s="170"/>
      <c r="H11" s="170"/>
      <c r="I11" s="170"/>
      <c r="J11" s="170"/>
    </row>
    <row r="12" spans="2:10">
      <c r="B12" s="1509" t="str">
        <f>IF([1]ACCUEIL!B1=1,"Name","Nom")</f>
        <v>Nom</v>
      </c>
      <c r="C12" s="1510"/>
      <c r="D12" s="1509" t="str">
        <f>IF([1]ACCUEIL!B1=1,"First names","Prénoms")</f>
        <v>Prénoms</v>
      </c>
      <c r="E12" s="1510"/>
      <c r="F12" s="1509" t="str">
        <f>IF([1]ACCUEIL!B1=1,"Quality","Qualité")</f>
        <v>Qualité</v>
      </c>
      <c r="G12" s="1510"/>
      <c r="H12" s="1513" t="str">
        <f>IF([1]ACCUEIL!B1=1,"Tax identification  number","N° d'identification fiscale")</f>
        <v>N° d'identification fiscale</v>
      </c>
      <c r="I12" s="1509" t="str">
        <f>IF([1]ACCUEIL!B1=1,"Address (PO, city, country)","Adresse (BP, ville, pays)")</f>
        <v>Adresse (BP, ville, pays)</v>
      </c>
      <c r="J12" s="1510"/>
    </row>
    <row r="13" spans="2:10">
      <c r="B13" s="1511"/>
      <c r="C13" s="1512"/>
      <c r="D13" s="1511"/>
      <c r="E13" s="1512"/>
      <c r="F13" s="1511"/>
      <c r="G13" s="1512"/>
      <c r="H13" s="1514"/>
      <c r="I13" s="1511"/>
      <c r="J13" s="1512"/>
    </row>
    <row r="14" spans="2:10" ht="18.75" customHeight="1">
      <c r="B14" s="1515">
        <f>[1]dirigeants!B14:C14</f>
        <v>0</v>
      </c>
      <c r="C14" s="1516"/>
      <c r="D14" s="1515">
        <f>[1]dirigeants!D14:E14</f>
        <v>0</v>
      </c>
      <c r="E14" s="1516"/>
      <c r="F14" s="1515">
        <f>[1]dirigeants!F14:G14</f>
        <v>0</v>
      </c>
      <c r="G14" s="1516"/>
      <c r="H14" s="185">
        <f>[1]dirigeants!H14</f>
        <v>0</v>
      </c>
      <c r="I14" s="1517">
        <f>[1]dirigeants!I14:J14</f>
        <v>0</v>
      </c>
      <c r="J14" s="1518"/>
    </row>
    <row r="15" spans="2:10" ht="18.75" customHeight="1">
      <c r="B15" s="1515">
        <f>[1]dirigeants!B15:C15</f>
        <v>0</v>
      </c>
      <c r="C15" s="1516"/>
      <c r="D15" s="1515">
        <f>[1]dirigeants!D15:E15</f>
        <v>0</v>
      </c>
      <c r="E15" s="1516"/>
      <c r="F15" s="1515">
        <f>[1]dirigeants!F15:G15</f>
        <v>0</v>
      </c>
      <c r="G15" s="1516"/>
      <c r="H15" s="185">
        <f>[1]dirigeants!H15</f>
        <v>0</v>
      </c>
      <c r="I15" s="1517">
        <f>[1]dirigeants!I15:J15</f>
        <v>0</v>
      </c>
      <c r="J15" s="1518"/>
    </row>
    <row r="16" spans="2:10" ht="18.75" customHeight="1">
      <c r="B16" s="1515">
        <f>[1]dirigeants!B16:C16</f>
        <v>0</v>
      </c>
      <c r="C16" s="1516"/>
      <c r="D16" s="1515">
        <f>[1]dirigeants!D16:E16</f>
        <v>0</v>
      </c>
      <c r="E16" s="1516"/>
      <c r="F16" s="1515">
        <f>[1]dirigeants!F16:G16</f>
        <v>0</v>
      </c>
      <c r="G16" s="1516"/>
      <c r="H16" s="185">
        <f>[1]dirigeants!H16</f>
        <v>0</v>
      </c>
      <c r="I16" s="1517">
        <f>[1]dirigeants!I16:J16</f>
        <v>0</v>
      </c>
      <c r="J16" s="1518"/>
    </row>
    <row r="17" spans="2:10" ht="18.75" customHeight="1">
      <c r="B17" s="1515">
        <f>[1]dirigeants!B17:C17</f>
        <v>0</v>
      </c>
      <c r="C17" s="1516"/>
      <c r="D17" s="1515">
        <f>[1]dirigeants!D17:E17</f>
        <v>0</v>
      </c>
      <c r="E17" s="1516"/>
      <c r="F17" s="1515">
        <f>[1]dirigeants!F17:G17</f>
        <v>0</v>
      </c>
      <c r="G17" s="1516"/>
      <c r="H17" s="185">
        <f>[1]dirigeants!H17</f>
        <v>0</v>
      </c>
      <c r="I17" s="1517">
        <f>[1]dirigeants!I17:J17</f>
        <v>0</v>
      </c>
      <c r="J17" s="1518"/>
    </row>
    <row r="18" spans="2:10" ht="18.75" customHeight="1">
      <c r="B18" s="1515">
        <f>[1]dirigeants!B18:C18</f>
        <v>0</v>
      </c>
      <c r="C18" s="1516"/>
      <c r="D18" s="1515">
        <f>[1]dirigeants!D18:E18</f>
        <v>0</v>
      </c>
      <c r="E18" s="1516"/>
      <c r="F18" s="1515">
        <f>[1]dirigeants!F18:G18</f>
        <v>0</v>
      </c>
      <c r="G18" s="1516"/>
      <c r="H18" s="185">
        <f>[1]dirigeants!H18</f>
        <v>0</v>
      </c>
      <c r="I18" s="1517">
        <f>[1]dirigeants!I18:J18</f>
        <v>0</v>
      </c>
      <c r="J18" s="1518"/>
    </row>
    <row r="19" spans="2:10" ht="18.75" customHeight="1">
      <c r="B19" s="1515">
        <f>[1]dirigeants!B19:C19</f>
        <v>0</v>
      </c>
      <c r="C19" s="1516"/>
      <c r="D19" s="1515">
        <f>[1]dirigeants!D19:E19</f>
        <v>0</v>
      </c>
      <c r="E19" s="1516"/>
      <c r="F19" s="1515">
        <f>[1]dirigeants!F19:G19</f>
        <v>0</v>
      </c>
      <c r="G19" s="1516"/>
      <c r="H19" s="185">
        <f>[1]dirigeants!H19</f>
        <v>0</v>
      </c>
      <c r="I19" s="1517">
        <f>[1]dirigeants!I19:J19</f>
        <v>0</v>
      </c>
      <c r="J19" s="1518"/>
    </row>
    <row r="20" spans="2:10" ht="18.75" customHeight="1">
      <c r="B20" s="1515">
        <f>[1]dirigeants!B20:C20</f>
        <v>0</v>
      </c>
      <c r="C20" s="1516"/>
      <c r="D20" s="1515">
        <f>[1]dirigeants!D20:E20</f>
        <v>0</v>
      </c>
      <c r="E20" s="1516"/>
      <c r="F20" s="1515">
        <f>[1]dirigeants!F20:G20</f>
        <v>0</v>
      </c>
      <c r="G20" s="1516"/>
      <c r="H20" s="185">
        <f>[1]dirigeants!H20</f>
        <v>0</v>
      </c>
      <c r="I20" s="1517">
        <f>[1]dirigeants!I20:J20</f>
        <v>0</v>
      </c>
      <c r="J20" s="1518"/>
    </row>
    <row r="21" spans="2:10" ht="18.75" customHeight="1">
      <c r="B21" s="1515">
        <f>[1]dirigeants!B21:C21</f>
        <v>0</v>
      </c>
      <c r="C21" s="1516"/>
      <c r="D21" s="1515">
        <f>[1]dirigeants!D21:E21</f>
        <v>0</v>
      </c>
      <c r="E21" s="1516"/>
      <c r="F21" s="1515">
        <f>[1]dirigeants!F21:G21</f>
        <v>0</v>
      </c>
      <c r="G21" s="1516"/>
      <c r="H21" s="185">
        <f>[1]dirigeants!H21</f>
        <v>0</v>
      </c>
      <c r="I21" s="1517">
        <f>[1]dirigeants!I21:J21</f>
        <v>0</v>
      </c>
      <c r="J21" s="1518"/>
    </row>
    <row r="22" spans="2:10" ht="18.75" customHeight="1">
      <c r="B22" s="1515">
        <f>[1]dirigeants!B22:C22</f>
        <v>0</v>
      </c>
      <c r="C22" s="1516"/>
      <c r="D22" s="1515">
        <f>[1]dirigeants!D22:E22</f>
        <v>0</v>
      </c>
      <c r="E22" s="1516"/>
      <c r="F22" s="1515">
        <f>[1]dirigeants!F22:G22</f>
        <v>0</v>
      </c>
      <c r="G22" s="1516"/>
      <c r="H22" s="185">
        <f>[1]dirigeants!H22</f>
        <v>0</v>
      </c>
      <c r="I22" s="1517">
        <f>[1]dirigeants!I22:J22</f>
        <v>0</v>
      </c>
      <c r="J22" s="1518"/>
    </row>
    <row r="23" spans="2:10">
      <c r="B23" s="170"/>
      <c r="C23" s="170"/>
      <c r="D23" s="170"/>
      <c r="E23" s="170"/>
      <c r="F23" s="170"/>
      <c r="G23" s="170"/>
      <c r="H23" s="170"/>
      <c r="I23" s="170"/>
      <c r="J23" s="170"/>
    </row>
    <row r="24" spans="2:10">
      <c r="B24" s="186" t="str">
        <f>IF([1]ACCUEIL!B1=1,"(1) Officers = Chairman and Chief Executive Officer, Chief Executive Officer, Chief Executive Officer, Chief Executive Officer, Manager, Other.","(1) Dirigeants = Président Directeur Général, Directeur Général, Administrateur Général, Gérant, Autres.")</f>
        <v>(1) Dirigeants = Président Directeur Général, Directeur Général, Administrateur Général, Gérant, Autres.</v>
      </c>
      <c r="C24" s="170"/>
      <c r="D24" s="170"/>
      <c r="E24" s="170"/>
      <c r="F24" s="170"/>
      <c r="G24" s="170"/>
      <c r="H24" s="170"/>
      <c r="I24" s="170"/>
      <c r="J24" s="170"/>
    </row>
    <row r="25" spans="2:10">
      <c r="B25" s="170"/>
      <c r="C25" s="170"/>
      <c r="D25" s="170"/>
      <c r="E25" s="170"/>
      <c r="F25" s="170"/>
      <c r="G25" s="170"/>
      <c r="H25" s="170"/>
      <c r="I25" s="170"/>
      <c r="J25" s="170"/>
    </row>
    <row r="26" spans="2:10">
      <c r="B26" s="1508" t="str">
        <f>IF([1]ACCUEIL!B1=1,"MAIN SHAREHOLDERS OR ASSOCIATES (in decreasing order of subscribed capital)","ACTIONNAIRES OU ASSOCIES PRINCIPAUX (par ordre décroissant du capital souscrit)")</f>
        <v>ACTIONNAIRES OU ASSOCIES PRINCIPAUX (par ordre décroissant du capital souscrit)</v>
      </c>
      <c r="C26" s="1508"/>
      <c r="D26" s="1508"/>
      <c r="E26" s="1508"/>
      <c r="F26" s="1508"/>
      <c r="G26" s="1508"/>
      <c r="H26" s="1508"/>
      <c r="I26" s="1508"/>
      <c r="J26" s="1508"/>
    </row>
    <row r="27" spans="2:10">
      <c r="B27" s="170"/>
      <c r="C27" s="170"/>
      <c r="D27" s="170"/>
      <c r="E27" s="170"/>
      <c r="F27" s="170"/>
      <c r="G27" s="170"/>
      <c r="H27" s="170"/>
      <c r="I27" s="170"/>
      <c r="J27" s="170"/>
    </row>
    <row r="28" spans="2:10">
      <c r="B28" s="1509" t="str">
        <f>B12</f>
        <v>Nom</v>
      </c>
      <c r="C28" s="1510"/>
      <c r="D28" s="1509" t="str">
        <f>D12</f>
        <v>Prénoms</v>
      </c>
      <c r="E28" s="1510"/>
      <c r="F28" s="1509" t="str">
        <f>IF([1]ACCUEIL!B1=1,"Nationality","Nationalité")</f>
        <v>Nationalité</v>
      </c>
      <c r="G28" s="1519"/>
      <c r="H28" s="1510"/>
      <c r="I28" s="1521" t="str">
        <f>IF([1]ACCUEIL!B1=1,"Share capital","Capital")</f>
        <v>Capital</v>
      </c>
      <c r="J28" s="1522"/>
    </row>
    <row r="29" spans="2:10">
      <c r="B29" s="1511"/>
      <c r="C29" s="1512"/>
      <c r="D29" s="1511"/>
      <c r="E29" s="1512"/>
      <c r="F29" s="1511"/>
      <c r="G29" s="1520"/>
      <c r="H29" s="1512"/>
      <c r="I29" s="187" t="str">
        <f>IF([1]ACCUEIL!B1=1,"Amount (GNF million)","Montant (millions GNF)")</f>
        <v>Montant (millions GNF)</v>
      </c>
      <c r="J29" s="188" t="s">
        <v>24</v>
      </c>
    </row>
    <row r="30" spans="2:10" ht="18.75" customHeight="1">
      <c r="B30" s="1523" t="str">
        <f>[1]dirigeants!B30:C30</f>
        <v>ACTIONNAIRES OU ASSOCIES PRINCIPAUX (par ordre décroissant du capital souscrit)</v>
      </c>
      <c r="C30" s="1524"/>
      <c r="D30" s="1523">
        <f>[1]dirigeants!D30:E30</f>
        <v>0</v>
      </c>
      <c r="E30" s="1524"/>
      <c r="F30" s="1523">
        <f>[1]dirigeants!F30:H30</f>
        <v>0</v>
      </c>
      <c r="G30" s="1525"/>
      <c r="H30" s="1524"/>
      <c r="I30" s="189">
        <f>[1]dirigeants!I30</f>
        <v>0</v>
      </c>
      <c r="J30" s="190" t="str">
        <f>IF(I39=0,"",I30/I39)</f>
        <v/>
      </c>
    </row>
    <row r="31" spans="2:10" ht="18.75" customHeight="1">
      <c r="B31" s="1523">
        <f>[1]dirigeants!B31:C31</f>
        <v>0</v>
      </c>
      <c r="C31" s="1524"/>
      <c r="D31" s="1523">
        <f>[1]dirigeants!D31:E31</f>
        <v>0</v>
      </c>
      <c r="E31" s="1524"/>
      <c r="F31" s="1523">
        <f>[1]dirigeants!F31:H31</f>
        <v>0</v>
      </c>
      <c r="G31" s="1525"/>
      <c r="H31" s="1524"/>
      <c r="I31" s="189">
        <f>[1]dirigeants!I31</f>
        <v>0</v>
      </c>
      <c r="J31" s="190"/>
    </row>
    <row r="32" spans="2:10" ht="18.75" customHeight="1">
      <c r="B32" s="1523" t="str">
        <f>[1]dirigeants!B32:C32</f>
        <v>Nom</v>
      </c>
      <c r="C32" s="1524"/>
      <c r="D32" s="1523" t="str">
        <f>[1]dirigeants!D32:E32</f>
        <v>Prénoms</v>
      </c>
      <c r="E32" s="1524"/>
      <c r="F32" s="1523" t="str">
        <f>[1]dirigeants!F32:H32</f>
        <v>Nationalité</v>
      </c>
      <c r="G32" s="1525"/>
      <c r="H32" s="1524"/>
      <c r="I32" s="189" t="str">
        <f>[1]dirigeants!I32</f>
        <v>Capital</v>
      </c>
      <c r="J32" s="190"/>
    </row>
    <row r="33" spans="2:10" ht="18.75" customHeight="1">
      <c r="B33" s="1523">
        <f>[1]dirigeants!B33:C33</f>
        <v>0</v>
      </c>
      <c r="C33" s="1524"/>
      <c r="D33" s="1523">
        <f>[1]dirigeants!D33:E33</f>
        <v>0</v>
      </c>
      <c r="E33" s="1524"/>
      <c r="F33" s="1523">
        <f>[1]dirigeants!F33:H33</f>
        <v>0</v>
      </c>
      <c r="G33" s="1525"/>
      <c r="H33" s="1524"/>
      <c r="I33" s="189" t="str">
        <f>[1]dirigeants!I33</f>
        <v>Montant (millions GNF)</v>
      </c>
      <c r="J33" s="190" t="str">
        <f>IF(I39=0,"",I33/I39)</f>
        <v/>
      </c>
    </row>
    <row r="34" spans="2:10" ht="18.75" customHeight="1">
      <c r="B34" s="1523">
        <f>[1]dirigeants!B34:C34</f>
        <v>0</v>
      </c>
      <c r="C34" s="1524"/>
      <c r="D34" s="1523">
        <f>[1]dirigeants!D34:E34</f>
        <v>0</v>
      </c>
      <c r="E34" s="1524"/>
      <c r="F34" s="1523">
        <f>[1]dirigeants!F34:H34</f>
        <v>0</v>
      </c>
      <c r="G34" s="1525"/>
      <c r="H34" s="1524"/>
      <c r="I34" s="189">
        <f>[1]dirigeants!I34</f>
        <v>0</v>
      </c>
      <c r="J34" s="190" t="str">
        <f>IF(I39=0,"",I34/I39)</f>
        <v/>
      </c>
    </row>
    <row r="35" spans="2:10" ht="18.75" customHeight="1">
      <c r="B35" s="1523">
        <f>[1]dirigeants!B35:C35</f>
        <v>0</v>
      </c>
      <c r="C35" s="1524"/>
      <c r="D35" s="1523">
        <f>[1]dirigeants!D35:E35</f>
        <v>0</v>
      </c>
      <c r="E35" s="1524"/>
      <c r="F35" s="1523">
        <f>[1]dirigeants!F35:H35</f>
        <v>0</v>
      </c>
      <c r="G35" s="1525"/>
      <c r="H35" s="1524"/>
      <c r="I35" s="189">
        <f>[1]dirigeants!I35</f>
        <v>0</v>
      </c>
      <c r="J35" s="190" t="str">
        <f>IF(I39=0,"",I35/I39)</f>
        <v/>
      </c>
    </row>
    <row r="36" spans="2:10" ht="18.75" customHeight="1">
      <c r="B36" s="1523">
        <f>[1]dirigeants!B36:C36</f>
        <v>0</v>
      </c>
      <c r="C36" s="1524"/>
      <c r="D36" s="1523">
        <f>[1]dirigeants!D36:E36</f>
        <v>0</v>
      </c>
      <c r="E36" s="1524"/>
      <c r="F36" s="1523">
        <f>[1]dirigeants!F36:H36</f>
        <v>0</v>
      </c>
      <c r="G36" s="1525"/>
      <c r="H36" s="1524"/>
      <c r="I36" s="189">
        <f>[1]dirigeants!I36</f>
        <v>0</v>
      </c>
      <c r="J36" s="190" t="str">
        <f>IF(I39=0,"",I36/I39)</f>
        <v/>
      </c>
    </row>
    <row r="37" spans="2:10" ht="18.75" customHeight="1">
      <c r="B37" s="1523">
        <f>[1]dirigeants!B37:C37</f>
        <v>0</v>
      </c>
      <c r="C37" s="1524"/>
      <c r="D37" s="1523">
        <f>[1]dirigeants!D37:E37</f>
        <v>0</v>
      </c>
      <c r="E37" s="1524"/>
      <c r="F37" s="1523">
        <f>[1]dirigeants!F37:H37</f>
        <v>0</v>
      </c>
      <c r="G37" s="1525"/>
      <c r="H37" s="1524"/>
      <c r="I37" s="189">
        <f>[1]dirigeants!I37</f>
        <v>0</v>
      </c>
      <c r="J37" s="190" t="str">
        <f>IF(I39=0,"",I37/I39)</f>
        <v/>
      </c>
    </row>
    <row r="38" spans="2:10" ht="18.75" customHeight="1">
      <c r="B38" s="1523">
        <f>[1]dirigeants!B38:C38</f>
        <v>0</v>
      </c>
      <c r="C38" s="1524"/>
      <c r="D38" s="1523">
        <f>[1]dirigeants!D38:E38</f>
        <v>0</v>
      </c>
      <c r="E38" s="1524"/>
      <c r="F38" s="1523">
        <f>[1]dirigeants!F38:H38</f>
        <v>0</v>
      </c>
      <c r="G38" s="1525"/>
      <c r="H38" s="1524"/>
      <c r="I38" s="189">
        <f>[1]dirigeants!I38</f>
        <v>0</v>
      </c>
      <c r="J38" s="191" t="str">
        <f>IF(I39=0,"",I38/I39)</f>
        <v/>
      </c>
    </row>
    <row r="39" spans="2:10">
      <c r="B39" s="192"/>
      <c r="C39" s="193"/>
      <c r="D39" s="193"/>
      <c r="E39" s="193"/>
      <c r="F39" s="193"/>
      <c r="G39" s="193"/>
      <c r="H39" s="194" t="s">
        <v>25</v>
      </c>
      <c r="I39" s="195">
        <f>SUM(I30:I38)</f>
        <v>0</v>
      </c>
      <c r="J39" s="196">
        <f>SUM(J30:J38)</f>
        <v>0</v>
      </c>
    </row>
    <row r="40" spans="2:10">
      <c r="B40" s="170"/>
      <c r="C40" s="170"/>
      <c r="D40" s="170"/>
      <c r="E40" s="170"/>
      <c r="F40" s="170"/>
      <c r="G40" s="170"/>
      <c r="H40" s="170"/>
      <c r="I40" s="170"/>
      <c r="J40" s="170"/>
    </row>
    <row r="41" spans="2:10">
      <c r="B41" s="1508" t="str">
        <f>IF([1]ACCUEIL!B1=1,"MEMBERS OF THE BOARD OF DIRECTORS","MEMBRES DU CONSEIL D'ADMINISTRATION")</f>
        <v>MEMBRES DU CONSEIL D'ADMINISTRATION</v>
      </c>
      <c r="C41" s="1508"/>
      <c r="D41" s="1508"/>
      <c r="E41" s="1508"/>
      <c r="F41" s="1508"/>
      <c r="G41" s="1508"/>
      <c r="H41" s="1508"/>
      <c r="I41" s="1508"/>
      <c r="J41" s="1508"/>
    </row>
    <row r="42" spans="2:10">
      <c r="B42" s="186"/>
      <c r="C42" s="186"/>
      <c r="D42" s="186"/>
      <c r="E42" s="186"/>
      <c r="F42" s="186"/>
      <c r="G42" s="186"/>
      <c r="H42" s="186"/>
      <c r="I42" s="186"/>
      <c r="J42" s="186"/>
    </row>
    <row r="43" spans="2:10">
      <c r="B43" s="1521" t="str">
        <f>B28</f>
        <v>Nom</v>
      </c>
      <c r="C43" s="1522"/>
      <c r="D43" s="1521" t="str">
        <f>D28</f>
        <v>Prénoms</v>
      </c>
      <c r="E43" s="1522"/>
      <c r="F43" s="1521" t="str">
        <f>F12</f>
        <v>Qualité</v>
      </c>
      <c r="G43" s="1529"/>
      <c r="H43" s="1522"/>
      <c r="I43" s="1521" t="str">
        <f>I12</f>
        <v>Adresse (BP, ville, pays)</v>
      </c>
      <c r="J43" s="1522"/>
    </row>
    <row r="44" spans="2:10" ht="18.75" customHeight="1">
      <c r="B44" s="1523">
        <f>[1]dirigeants!B44:C44</f>
        <v>0</v>
      </c>
      <c r="C44" s="1524"/>
      <c r="D44" s="1523">
        <f>[1]dirigeants!D44:E44</f>
        <v>0</v>
      </c>
      <c r="E44" s="1524"/>
      <c r="F44" s="1526">
        <f>[1]dirigeants!F44:H44</f>
        <v>0</v>
      </c>
      <c r="G44" s="1527"/>
      <c r="H44" s="1528"/>
      <c r="I44" s="1523">
        <f>[1]dirigeants!I44:J44</f>
        <v>0</v>
      </c>
      <c r="J44" s="1524"/>
    </row>
    <row r="45" spans="2:10" ht="18.75" customHeight="1">
      <c r="B45" s="1523" t="str">
        <f>[1]dirigeants!B45:C45</f>
        <v>MEMBRES DU CONSEIL D'ADMINISTRATION</v>
      </c>
      <c r="C45" s="1524"/>
      <c r="D45" s="1523">
        <f>[1]dirigeants!D45:E45</f>
        <v>0</v>
      </c>
      <c r="E45" s="1524"/>
      <c r="F45" s="1526">
        <f>[1]dirigeants!F45:H45</f>
        <v>0</v>
      </c>
      <c r="G45" s="1527"/>
      <c r="H45" s="1528"/>
      <c r="I45" s="1523">
        <f>[1]dirigeants!I45:J45</f>
        <v>0</v>
      </c>
      <c r="J45" s="1524"/>
    </row>
    <row r="46" spans="2:10" ht="18.75" customHeight="1">
      <c r="B46" s="1523">
        <f>[1]dirigeants!B46:C46</f>
        <v>0</v>
      </c>
      <c r="C46" s="1524"/>
      <c r="D46" s="1523">
        <f>[1]dirigeants!D46:E46</f>
        <v>0</v>
      </c>
      <c r="E46" s="1524"/>
      <c r="F46" s="1526">
        <f>[1]dirigeants!F46:H46</f>
        <v>0</v>
      </c>
      <c r="G46" s="1527"/>
      <c r="H46" s="1528"/>
      <c r="I46" s="1523">
        <f>[1]dirigeants!I46:J46</f>
        <v>0</v>
      </c>
      <c r="J46" s="1524"/>
    </row>
    <row r="47" spans="2:10" ht="18.75" customHeight="1">
      <c r="B47" s="1523" t="str">
        <f>[1]dirigeants!B47:C47</f>
        <v>Nom</v>
      </c>
      <c r="C47" s="1524"/>
      <c r="D47" s="1523" t="str">
        <f>[1]dirigeants!D47:E47</f>
        <v>Prénoms</v>
      </c>
      <c r="E47" s="1524"/>
      <c r="F47" s="1526" t="str">
        <f>[1]dirigeants!F47:H47</f>
        <v>Qualité</v>
      </c>
      <c r="G47" s="1527"/>
      <c r="H47" s="1528"/>
      <c r="I47" s="1523" t="str">
        <f>[1]dirigeants!I47:J47</f>
        <v>Adresse (BP, ville, pays)</v>
      </c>
      <c r="J47" s="1524"/>
    </row>
    <row r="48" spans="2:10" ht="18.75" customHeight="1">
      <c r="B48" s="1523">
        <f>[1]dirigeants!B48:C48</f>
        <v>0</v>
      </c>
      <c r="C48" s="1524"/>
      <c r="D48" s="1523">
        <f>[1]dirigeants!D48:E48</f>
        <v>0</v>
      </c>
      <c r="E48" s="1524"/>
      <c r="F48" s="1526">
        <f>[1]dirigeants!F48:H48</f>
        <v>0</v>
      </c>
      <c r="G48" s="1527"/>
      <c r="H48" s="1528"/>
      <c r="I48" s="1523">
        <f>[1]dirigeants!I48:J48</f>
        <v>0</v>
      </c>
      <c r="J48" s="1524"/>
    </row>
    <row r="49" spans="2:10" ht="18.75" customHeight="1">
      <c r="B49" s="1523">
        <f>[1]dirigeants!B49:C49</f>
        <v>0</v>
      </c>
      <c r="C49" s="1524"/>
      <c r="D49" s="1523">
        <f>[1]dirigeants!D49:E49</f>
        <v>0</v>
      </c>
      <c r="E49" s="1524"/>
      <c r="F49" s="1526">
        <f>[1]dirigeants!F49:H49</f>
        <v>0</v>
      </c>
      <c r="G49" s="1527"/>
      <c r="H49" s="1528"/>
      <c r="I49" s="1523">
        <f>[1]dirigeants!I49:J49</f>
        <v>0</v>
      </c>
      <c r="J49" s="1524"/>
    </row>
    <row r="50" spans="2:10" ht="18.75" customHeight="1">
      <c r="B50" s="1523">
        <f>[1]dirigeants!B50:C50</f>
        <v>0</v>
      </c>
      <c r="C50" s="1524"/>
      <c r="D50" s="1523">
        <f>[1]dirigeants!D50:E50</f>
        <v>0</v>
      </c>
      <c r="E50" s="1524"/>
      <c r="F50" s="1526">
        <f>[1]dirigeants!F50:H50</f>
        <v>0</v>
      </c>
      <c r="G50" s="1527"/>
      <c r="H50" s="1528"/>
      <c r="I50" s="1523">
        <f>[1]dirigeants!I50:J50</f>
        <v>0</v>
      </c>
      <c r="J50" s="1524"/>
    </row>
    <row r="51" spans="2:10" ht="18.75" customHeight="1">
      <c r="B51" s="1523">
        <f>[1]dirigeants!B51:C51</f>
        <v>0</v>
      </c>
      <c r="C51" s="1524"/>
      <c r="D51" s="1523">
        <f>[1]dirigeants!D51:E51</f>
        <v>0</v>
      </c>
      <c r="E51" s="1524"/>
      <c r="F51" s="1526">
        <f>[1]dirigeants!F51:H51</f>
        <v>0</v>
      </c>
      <c r="G51" s="1527"/>
      <c r="H51" s="1528"/>
      <c r="I51" s="1523">
        <f>[1]dirigeants!I51:J51</f>
        <v>0</v>
      </c>
      <c r="J51" s="1524"/>
    </row>
    <row r="52" spans="2:10" ht="18.75" customHeight="1">
      <c r="B52" s="1530">
        <f>[1]dirigeants!B52:C52</f>
        <v>0</v>
      </c>
      <c r="C52" s="1531"/>
      <c r="D52" s="1530">
        <f>[1]dirigeants!D52:E52</f>
        <v>0</v>
      </c>
      <c r="E52" s="1531"/>
      <c r="F52" s="1537">
        <f>[1]dirigeants!F52:H52</f>
        <v>0</v>
      </c>
      <c r="G52" s="1538"/>
      <c r="H52" s="1539"/>
      <c r="I52" s="1530">
        <f>[1]dirigeants!I52:J52</f>
        <v>0</v>
      </c>
      <c r="J52" s="1531"/>
    </row>
    <row r="53" spans="2:10">
      <c r="B53" s="186"/>
      <c r="C53" s="186"/>
      <c r="D53" s="186"/>
      <c r="E53" s="186"/>
      <c r="F53" s="186"/>
      <c r="G53" s="186"/>
      <c r="H53" s="186"/>
      <c r="I53" s="186"/>
      <c r="J53" s="186"/>
    </row>
    <row r="54" spans="2:10">
      <c r="B54" s="1508" t="str">
        <f>IF([1]ACCUEIL!B1=1,"SUBSIDIARIES AND EQUITY INTERESTS","FILIALES ET PARTICIPATIONS")</f>
        <v>FILIALES ET PARTICIPATIONS</v>
      </c>
      <c r="C54" s="1508"/>
      <c r="D54" s="1508"/>
      <c r="E54" s="1508"/>
      <c r="F54" s="1508"/>
      <c r="G54" s="1508"/>
      <c r="H54" s="1508"/>
      <c r="I54" s="1508"/>
      <c r="J54" s="1508"/>
    </row>
    <row r="55" spans="2:10">
      <c r="B55" s="186"/>
      <c r="C55" s="186"/>
      <c r="D55" s="186"/>
      <c r="E55" s="186"/>
      <c r="F55" s="186"/>
      <c r="G55" s="186"/>
      <c r="H55" s="186"/>
      <c r="I55" s="186"/>
      <c r="J55" s="186"/>
    </row>
    <row r="56" spans="2:10">
      <c r="B56" s="1509" t="str">
        <f>IF([1]ACCUEIL!B1=1,"Designation","Désignation")</f>
        <v>Désignation</v>
      </c>
      <c r="C56" s="1519"/>
      <c r="D56" s="1519"/>
      <c r="E56" s="1510"/>
      <c r="F56" s="1509" t="str">
        <f>F28</f>
        <v>Nationalité</v>
      </c>
      <c r="G56" s="1519"/>
      <c r="H56" s="1510"/>
      <c r="I56" s="1532" t="str">
        <f>I28</f>
        <v>Capital</v>
      </c>
      <c r="J56" s="1533"/>
    </row>
    <row r="57" spans="2:10">
      <c r="B57" s="1511"/>
      <c r="C57" s="1520"/>
      <c r="D57" s="1520"/>
      <c r="E57" s="1512"/>
      <c r="F57" s="1511"/>
      <c r="G57" s="1520"/>
      <c r="H57" s="1512"/>
      <c r="I57" s="187" t="str">
        <f>I29</f>
        <v>Montant (millions GNF)</v>
      </c>
      <c r="J57" s="188" t="s">
        <v>24</v>
      </c>
    </row>
    <row r="58" spans="2:10" ht="18.75" customHeight="1">
      <c r="B58" s="1534" t="str">
        <f>[1]dirigeants!B58:E58</f>
        <v>FILIALES ET PARTICIPATIONS</v>
      </c>
      <c r="C58" s="1535"/>
      <c r="D58" s="1535"/>
      <c r="E58" s="1536"/>
      <c r="F58" s="1523">
        <f>[1]dirigeants!F58:H58</f>
        <v>0</v>
      </c>
      <c r="G58" s="1525"/>
      <c r="H58" s="1524"/>
      <c r="I58" s="189">
        <f>[1]dirigeants!I58</f>
        <v>0</v>
      </c>
      <c r="J58" s="190" t="str">
        <f>IF(I66=0,"",I58/I66)</f>
        <v/>
      </c>
    </row>
    <row r="59" spans="2:10" ht="18.75" customHeight="1">
      <c r="B59" s="1523">
        <f>[1]dirigeants!B59:E59</f>
        <v>0</v>
      </c>
      <c r="C59" s="1525"/>
      <c r="D59" s="1525"/>
      <c r="E59" s="1524"/>
      <c r="F59" s="1523">
        <f>[1]dirigeants!F59:H59</f>
        <v>0</v>
      </c>
      <c r="G59" s="1525"/>
      <c r="H59" s="1524"/>
      <c r="I59" s="189">
        <f>[1]dirigeants!I59</f>
        <v>0</v>
      </c>
      <c r="J59" s="191" t="str">
        <f>IF(I66=0,"",I59/I66)</f>
        <v/>
      </c>
    </row>
    <row r="60" spans="2:10" ht="18.75" customHeight="1">
      <c r="B60" s="1523" t="str">
        <f>[1]dirigeants!B60:E60</f>
        <v>Désignation</v>
      </c>
      <c r="C60" s="1525"/>
      <c r="D60" s="1525"/>
      <c r="E60" s="1524"/>
      <c r="F60" s="1523" t="str">
        <f>[1]dirigeants!F60:H60</f>
        <v>Nationalité</v>
      </c>
      <c r="G60" s="1525"/>
      <c r="H60" s="1524"/>
      <c r="I60" s="189" t="str">
        <f>[1]dirigeants!I60</f>
        <v>Capital</v>
      </c>
      <c r="J60" s="191" t="str">
        <f>IF(I66=0,"",I60/I66)</f>
        <v/>
      </c>
    </row>
    <row r="61" spans="2:10" ht="18.75" customHeight="1">
      <c r="B61" s="1523">
        <f>[1]dirigeants!B61:E61</f>
        <v>0</v>
      </c>
      <c r="C61" s="1525"/>
      <c r="D61" s="1525"/>
      <c r="E61" s="1524"/>
      <c r="F61" s="1523">
        <f>[1]dirigeants!F61:H61</f>
        <v>0</v>
      </c>
      <c r="G61" s="1525"/>
      <c r="H61" s="1524"/>
      <c r="I61" s="189" t="str">
        <f>[1]dirigeants!I61</f>
        <v>Montant (millions GNF)</v>
      </c>
      <c r="J61" s="191" t="str">
        <f>IF(I66=0,"",I61/I66)</f>
        <v/>
      </c>
    </row>
    <row r="62" spans="2:10" ht="18.75" customHeight="1">
      <c r="B62" s="1523">
        <f>[1]dirigeants!B62:E62</f>
        <v>0</v>
      </c>
      <c r="C62" s="1525"/>
      <c r="D62" s="1525"/>
      <c r="E62" s="1524"/>
      <c r="F62" s="1523">
        <f>[1]dirigeants!F62:H62</f>
        <v>0</v>
      </c>
      <c r="G62" s="1525"/>
      <c r="H62" s="1524"/>
      <c r="I62" s="189">
        <f>[1]dirigeants!I62</f>
        <v>0</v>
      </c>
      <c r="J62" s="191" t="str">
        <f>IF(I66=0,"",I62/I66)</f>
        <v/>
      </c>
    </row>
    <row r="63" spans="2:10" ht="18.75" customHeight="1">
      <c r="B63" s="1523">
        <f>[1]dirigeants!B63:E63</f>
        <v>0</v>
      </c>
      <c r="C63" s="1525"/>
      <c r="D63" s="1525"/>
      <c r="E63" s="1524"/>
      <c r="F63" s="1523">
        <f>[1]dirigeants!F63:H63</f>
        <v>0</v>
      </c>
      <c r="G63" s="1525"/>
      <c r="H63" s="1524"/>
      <c r="I63" s="189">
        <f>[1]dirigeants!I63</f>
        <v>0</v>
      </c>
      <c r="J63" s="191" t="str">
        <f>IF(I66=0,"",I63/I66)</f>
        <v/>
      </c>
    </row>
    <row r="64" spans="2:10" ht="18.75" customHeight="1">
      <c r="B64" s="1523">
        <f>[1]dirigeants!B64:E64</f>
        <v>0</v>
      </c>
      <c r="C64" s="1525"/>
      <c r="D64" s="1525"/>
      <c r="E64" s="1524"/>
      <c r="F64" s="1523">
        <f>[1]dirigeants!F64:H64</f>
        <v>0</v>
      </c>
      <c r="G64" s="1525"/>
      <c r="H64" s="1524"/>
      <c r="I64" s="189">
        <f>[1]dirigeants!I64</f>
        <v>0</v>
      </c>
      <c r="J64" s="191" t="str">
        <f>IF(I66=0,"",I64/I66)</f>
        <v/>
      </c>
    </row>
    <row r="65" spans="2:10" ht="18.75" customHeight="1">
      <c r="B65" s="1523">
        <f>[1]dirigeants!B65:E65</f>
        <v>0</v>
      </c>
      <c r="C65" s="1525"/>
      <c r="D65" s="1525"/>
      <c r="E65" s="1524"/>
      <c r="F65" s="1523">
        <f>[1]dirigeants!F65:H65</f>
        <v>0</v>
      </c>
      <c r="G65" s="1525"/>
      <c r="H65" s="1524"/>
      <c r="I65" s="189">
        <f>[1]dirigeants!I65</f>
        <v>0</v>
      </c>
      <c r="J65" s="191" t="str">
        <f>IF(I66=0,"",I65/I66)</f>
        <v/>
      </c>
    </row>
    <row r="66" spans="2:10">
      <c r="B66" s="192"/>
      <c r="C66" s="193"/>
      <c r="D66" s="193"/>
      <c r="E66" s="193"/>
      <c r="F66" s="193"/>
      <c r="G66" s="193"/>
      <c r="H66" s="194" t="s">
        <v>25</v>
      </c>
      <c r="I66" s="195">
        <f>SUM(I58:I65)</f>
        <v>0</v>
      </c>
      <c r="J66" s="196">
        <f>SUM(J58:J65)</f>
        <v>0</v>
      </c>
    </row>
  </sheetData>
  <sheetProtection selectLockedCells="1"/>
  <mergeCells count="137">
    <mergeCell ref="B64:E64"/>
    <mergeCell ref="F64:H64"/>
    <mergeCell ref="B65:E65"/>
    <mergeCell ref="F65:H65"/>
    <mergeCell ref="B61:E61"/>
    <mergeCell ref="F61:H61"/>
    <mergeCell ref="B62:E62"/>
    <mergeCell ref="F62:H62"/>
    <mergeCell ref="B63:E63"/>
    <mergeCell ref="F63:H63"/>
    <mergeCell ref="B58:E58"/>
    <mergeCell ref="F58:H58"/>
    <mergeCell ref="B59:E59"/>
    <mergeCell ref="F59:H59"/>
    <mergeCell ref="B60:E60"/>
    <mergeCell ref="F60:H60"/>
    <mergeCell ref="B52:C52"/>
    <mergeCell ref="D52:E52"/>
    <mergeCell ref="F52:H52"/>
    <mergeCell ref="I52:J52"/>
    <mergeCell ref="B54:J54"/>
    <mergeCell ref="B56:E57"/>
    <mergeCell ref="F56:H57"/>
    <mergeCell ref="I56:J56"/>
    <mergeCell ref="B50:C50"/>
    <mergeCell ref="D50:E50"/>
    <mergeCell ref="F50:H50"/>
    <mergeCell ref="I50:J50"/>
    <mergeCell ref="B51:C51"/>
    <mergeCell ref="D51:E51"/>
    <mergeCell ref="F51:H51"/>
    <mergeCell ref="I51:J51"/>
    <mergeCell ref="B48:C48"/>
    <mergeCell ref="D48:E48"/>
    <mergeCell ref="F48:H48"/>
    <mergeCell ref="I48:J48"/>
    <mergeCell ref="B49:C49"/>
    <mergeCell ref="D49:E49"/>
    <mergeCell ref="F49:H49"/>
    <mergeCell ref="B46:C46"/>
    <mergeCell ref="D46:E46"/>
    <mergeCell ref="F46:H46"/>
    <mergeCell ref="I46:J46"/>
    <mergeCell ref="B47:C47"/>
    <mergeCell ref="D47:E47"/>
    <mergeCell ref="F47:H47"/>
    <mergeCell ref="I47:J47"/>
    <mergeCell ref="I49:J49"/>
    <mergeCell ref="B44:C44"/>
    <mergeCell ref="D44:E44"/>
    <mergeCell ref="F44:H44"/>
    <mergeCell ref="I44:J44"/>
    <mergeCell ref="B45:C45"/>
    <mergeCell ref="D45:E45"/>
    <mergeCell ref="F45:H45"/>
    <mergeCell ref="I45:J45"/>
    <mergeCell ref="B38:C38"/>
    <mergeCell ref="D38:E38"/>
    <mergeCell ref="F38:H38"/>
    <mergeCell ref="B41:J41"/>
    <mergeCell ref="B43:C43"/>
    <mergeCell ref="D43:E43"/>
    <mergeCell ref="F43:H43"/>
    <mergeCell ref="I43:J43"/>
    <mergeCell ref="B36:C36"/>
    <mergeCell ref="D36:E36"/>
    <mergeCell ref="F36:H36"/>
    <mergeCell ref="B37:C37"/>
    <mergeCell ref="D37:E37"/>
    <mergeCell ref="F37:H37"/>
    <mergeCell ref="B34:C34"/>
    <mergeCell ref="D34:E34"/>
    <mergeCell ref="F34:H34"/>
    <mergeCell ref="B35:C35"/>
    <mergeCell ref="D35:E35"/>
    <mergeCell ref="F35:H35"/>
    <mergeCell ref="B32:C32"/>
    <mergeCell ref="D32:E32"/>
    <mergeCell ref="F32:H32"/>
    <mergeCell ref="B33:C33"/>
    <mergeCell ref="D33:E33"/>
    <mergeCell ref="F33:H33"/>
    <mergeCell ref="B30:C30"/>
    <mergeCell ref="D30:E30"/>
    <mergeCell ref="F30:H30"/>
    <mergeCell ref="B31:C31"/>
    <mergeCell ref="D31:E31"/>
    <mergeCell ref="F31:H31"/>
    <mergeCell ref="B22:C22"/>
    <mergeCell ref="D22:E22"/>
    <mergeCell ref="F22:G22"/>
    <mergeCell ref="I22:J22"/>
    <mergeCell ref="B26:J26"/>
    <mergeCell ref="B28:C29"/>
    <mergeCell ref="D28:E29"/>
    <mergeCell ref="F28:H29"/>
    <mergeCell ref="I28:J28"/>
    <mergeCell ref="B20:C20"/>
    <mergeCell ref="D20:E20"/>
    <mergeCell ref="F20:G20"/>
    <mergeCell ref="I20:J20"/>
    <mergeCell ref="B21:C21"/>
    <mergeCell ref="D21:E21"/>
    <mergeCell ref="F21:G21"/>
    <mergeCell ref="I21:J21"/>
    <mergeCell ref="B18:C18"/>
    <mergeCell ref="D18:E18"/>
    <mergeCell ref="F18:G18"/>
    <mergeCell ref="I18:J18"/>
    <mergeCell ref="B19:C19"/>
    <mergeCell ref="D19:E19"/>
    <mergeCell ref="F19:G19"/>
    <mergeCell ref="I19:J19"/>
    <mergeCell ref="B17:C17"/>
    <mergeCell ref="D17:E17"/>
    <mergeCell ref="F17:G17"/>
    <mergeCell ref="I17:J17"/>
    <mergeCell ref="B14:C14"/>
    <mergeCell ref="D14:E14"/>
    <mergeCell ref="F14:G14"/>
    <mergeCell ref="I14:J14"/>
    <mergeCell ref="B15:C15"/>
    <mergeCell ref="D15:E15"/>
    <mergeCell ref="F15:G15"/>
    <mergeCell ref="I15:J15"/>
    <mergeCell ref="I3:J3"/>
    <mergeCell ref="I4:J4"/>
    <mergeCell ref="B10:J10"/>
    <mergeCell ref="B12:C13"/>
    <mergeCell ref="D12:E13"/>
    <mergeCell ref="F12:G13"/>
    <mergeCell ref="H12:H13"/>
    <mergeCell ref="I12:J13"/>
    <mergeCell ref="B16:C16"/>
    <mergeCell ref="D16:E16"/>
    <mergeCell ref="F16:G16"/>
    <mergeCell ref="I16:J16"/>
  </mergeCells>
  <conditionalFormatting sqref="F6:G6 E7 I7 B6:B7">
    <cfRule type="expression" dxfId="55" priority="1">
      <formula>#REF!=1</formula>
    </cfRule>
  </conditionalFormatting>
  <printOptions horizontalCentered="1"/>
  <pageMargins left="0.78740157480314965" right="0.19685039370078741" top="0.59055118110236227" bottom="0.19685039370078741" header="0.11811023622047245" footer="0.31496062992125984"/>
  <pageSetup paperSize="9" scale="60" fitToHeight="0" orientation="portrait" r:id="rId1"/>
  <headerFooter>
    <oddHeader>&amp;C&amp;"-,Gras"&amp;14Page &amp;P / &amp;N</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2">
    <pageSetUpPr fitToPage="1"/>
  </sheetPr>
  <dimension ref="B1:O48"/>
  <sheetViews>
    <sheetView showRowColHeaders="0" showZeros="0" topLeftCell="A38" zoomScale="70" zoomScaleNormal="70" zoomScaleSheetLayoutView="100" workbookViewId="0">
      <selection activeCell="I49" sqref="I49"/>
    </sheetView>
  </sheetViews>
  <sheetFormatPr baseColWidth="10" defaultColWidth="11.42578125" defaultRowHeight="15"/>
  <cols>
    <col min="1" max="1" width="16.7109375" style="2" customWidth="1"/>
    <col min="2" max="2" width="9" style="2" customWidth="1"/>
    <col min="3" max="3" width="13.28515625" style="2" customWidth="1"/>
    <col min="4" max="4" width="17.85546875" style="2" customWidth="1"/>
    <col min="5" max="5" width="15.42578125" style="2" customWidth="1"/>
    <col min="6" max="6" width="15.28515625" style="2" customWidth="1"/>
    <col min="7" max="7" width="6.42578125" style="2" customWidth="1"/>
    <col min="8" max="8" width="20.42578125" style="2" bestFit="1" customWidth="1"/>
    <col min="9" max="9" width="21.7109375" style="2" customWidth="1"/>
    <col min="10" max="10" width="21" style="2" customWidth="1"/>
    <col min="11" max="11" width="25.140625" style="2" customWidth="1"/>
    <col min="12" max="12" width="18.28515625" style="2" bestFit="1" customWidth="1"/>
    <col min="13" max="13" width="16.85546875" style="2" bestFit="1" customWidth="1"/>
    <col min="14" max="16384" width="11.42578125" style="2"/>
  </cols>
  <sheetData>
    <row r="1" spans="2:13" ht="21.75" thickBot="1">
      <c r="B1" s="197"/>
      <c r="C1" s="197"/>
      <c r="D1" s="197"/>
      <c r="E1" s="197"/>
      <c r="F1" s="197"/>
      <c r="G1" s="197"/>
      <c r="H1" s="197"/>
      <c r="I1" s="197"/>
      <c r="J1" s="197"/>
      <c r="K1" s="197"/>
    </row>
    <row r="2" spans="2:13" ht="15" customHeight="1">
      <c r="J2" s="1541" t="str">
        <f>IF([1]ACCUEIL!B1=1,"NORMAL SYSTEM BALANCE SHEET
PAGE 1/2","BILAN SYSTEME NORMAL
PAGE 1/2")</f>
        <v>BILAN SYSTEME NORMAL
PAGE 1/2</v>
      </c>
      <c r="K2" s="1542"/>
    </row>
    <row r="3" spans="2:13" s="81" customFormat="1" ht="13.5" thickBot="1">
      <c r="G3" s="198"/>
      <c r="J3" s="1543"/>
      <c r="K3" s="1544"/>
    </row>
    <row r="4" spans="2:13" s="81" customFormat="1" ht="12.75">
      <c r="B4" s="34" t="str">
        <f>+dirigeants!B5</f>
        <v>Désignation entité:</v>
      </c>
      <c r="C4" s="34"/>
      <c r="D4" s="171" t="str">
        <f>'FICHE R2'!E5</f>
        <v/>
      </c>
      <c r="E4" s="171"/>
      <c r="F4" s="171"/>
      <c r="G4" s="171"/>
      <c r="H4" s="171"/>
      <c r="I4" s="171"/>
      <c r="J4" s="171"/>
      <c r="K4" s="171"/>
    </row>
    <row r="5" spans="2:13" s="81" customFormat="1" ht="12.75">
      <c r="B5" s="199" t="str">
        <f>+dirigeants!B6</f>
        <v>Sigle usuel :</v>
      </c>
      <c r="C5" s="34"/>
      <c r="D5" s="171" t="str">
        <f>'FICHE R1'!R22</f>
        <v/>
      </c>
      <c r="F5" s="177"/>
      <c r="G5" s="177"/>
      <c r="H5" s="34"/>
      <c r="J5" s="178"/>
      <c r="K5" s="178"/>
    </row>
    <row r="6" spans="2:13" s="81" customFormat="1" ht="12.75">
      <c r="B6" s="34" t="str">
        <f>+dirigeants!B7</f>
        <v>Adresse:</v>
      </c>
      <c r="C6" s="34"/>
      <c r="D6" s="171">
        <f>'FICHE R1'!D7</f>
        <v>0</v>
      </c>
      <c r="E6" s="176"/>
      <c r="F6" s="174"/>
      <c r="G6" s="178"/>
      <c r="H6" s="178"/>
      <c r="I6" s="174"/>
      <c r="J6" s="200" t="str">
        <f>+dirigeants!I7</f>
        <v>BP:</v>
      </c>
      <c r="K6" s="179" t="str">
        <f>'FICHE R1'!P25</f>
        <v/>
      </c>
    </row>
    <row r="7" spans="2:13" s="81" customFormat="1" ht="12.75">
      <c r="B7" s="34" t="str">
        <f>+dirigeants!B8</f>
        <v>Numéro d'identification:</v>
      </c>
      <c r="C7" s="34"/>
      <c r="D7" s="171" t="str">
        <f>'FICHE R2'!E8</f>
        <v/>
      </c>
      <c r="E7" s="201"/>
      <c r="F7" s="201"/>
      <c r="G7" s="1545" t="str">
        <f>+dirigeants!G8</f>
        <v xml:space="preserve">   Exercice clos le 31 - 12- </v>
      </c>
      <c r="H7" s="1545"/>
      <c r="I7" s="171">
        <f>'FICHE R2'!O8</f>
        <v>2025</v>
      </c>
      <c r="J7" s="182" t="str">
        <f>+dirigeants!I8</f>
        <v xml:space="preserve">    Durée (en mois):</v>
      </c>
      <c r="K7" s="179">
        <f>'FICHE R2'!R8</f>
        <v>12</v>
      </c>
    </row>
    <row r="8" spans="2:13" s="81" customFormat="1" ht="12.75">
      <c r="D8" s="183"/>
      <c r="E8" s="183"/>
      <c r="F8" s="182"/>
      <c r="G8" s="182"/>
      <c r="H8" s="182"/>
      <c r="I8" s="184"/>
      <c r="J8" s="34"/>
      <c r="K8" s="202"/>
      <c r="L8" s="203"/>
    </row>
    <row r="9" spans="2:13" s="81" customFormat="1" ht="15" customHeight="1">
      <c r="B9" s="1546" t="str">
        <f>IF([1]ACCUEIL!B1=1,"FINANCIAL YEAR AT 31 DECEMBER N","EXERCICE AU 31 DECEMBRE N")</f>
        <v>EXERCICE AU 31 DECEMBRE N</v>
      </c>
      <c r="C9" s="1546"/>
      <c r="D9" s="1546"/>
      <c r="E9" s="1546"/>
      <c r="F9" s="1546"/>
      <c r="G9" s="1546"/>
      <c r="H9" s="1546"/>
      <c r="I9" s="1546"/>
      <c r="J9" s="1546"/>
      <c r="K9" s="1546"/>
    </row>
    <row r="10" spans="2:13" s="81" customFormat="1" ht="12.75">
      <c r="B10" s="198"/>
      <c r="C10" s="34"/>
      <c r="D10" s="34"/>
      <c r="E10" s="34"/>
      <c r="F10" s="34"/>
      <c r="G10" s="198"/>
      <c r="H10" s="34"/>
      <c r="I10" s="34"/>
      <c r="J10" s="34"/>
      <c r="K10" s="34"/>
    </row>
    <row r="11" spans="2:13" s="144" customFormat="1">
      <c r="B11" s="1547" t="s">
        <v>26</v>
      </c>
      <c r="C11" s="1550" t="str">
        <f>IF([1]ACCUEIL!B1=1,"ASSETS","ACTIF")</f>
        <v>ACTIF</v>
      </c>
      <c r="D11" s="1551"/>
      <c r="E11" s="1551"/>
      <c r="F11" s="1552"/>
      <c r="G11" s="1547" t="s">
        <v>27</v>
      </c>
      <c r="H11" s="1559" t="str">
        <f>+[1]ACTIF!$H$11:$J$11</f>
        <v>EXERCICE AU 31-12-2025</v>
      </c>
      <c r="I11" s="1560"/>
      <c r="J11" s="1561"/>
      <c r="K11" s="204" t="str">
        <f>+[1]ACTIF!$K$11</f>
        <v>EXERCICE AU 31-12-2024</v>
      </c>
    </row>
    <row r="12" spans="2:13" s="144" customFormat="1" ht="15.75" customHeight="1">
      <c r="B12" s="1548"/>
      <c r="C12" s="1553"/>
      <c r="D12" s="1554"/>
      <c r="E12" s="1554"/>
      <c r="F12" s="1555"/>
      <c r="G12" s="1548"/>
      <c r="H12" s="1540" t="str">
        <f>IF([1]ACCUEIL!B1=1,"GROSS","BRUT")</f>
        <v>BRUT</v>
      </c>
      <c r="I12" s="1562" t="str">
        <f>IF([1]ACCUEIL!B1=1,"AMORTIZATION DEPRECIATION","AMORTISSEMENT  DEPRECIATION")</f>
        <v>AMORTISSEMENT  DEPRECIATION</v>
      </c>
      <c r="J12" s="1540" t="s">
        <v>28</v>
      </c>
      <c r="K12" s="1540" t="s">
        <v>28</v>
      </c>
    </row>
    <row r="13" spans="2:13" s="144" customFormat="1" ht="15.75" customHeight="1">
      <c r="B13" s="1549"/>
      <c r="C13" s="1556"/>
      <c r="D13" s="1557"/>
      <c r="E13" s="1557"/>
      <c r="F13" s="1558"/>
      <c r="G13" s="1549"/>
      <c r="H13" s="1540"/>
      <c r="I13" s="1562"/>
      <c r="J13" s="1540"/>
      <c r="K13" s="1540"/>
    </row>
    <row r="14" spans="2:13" s="9" customFormat="1" ht="32.25" customHeight="1">
      <c r="B14" s="205" t="s">
        <v>29</v>
      </c>
      <c r="C14" s="206" t="str">
        <f>IF([1]ACCUEIL!B1=1,"INTANGIBLE ASSETS","IMMOBILISATIONS INCORPORELLES")</f>
        <v>IMMOBILISATIONS INCORPORELLES</v>
      </c>
      <c r="D14" s="207"/>
      <c r="E14" s="207"/>
      <c r="F14" s="208"/>
      <c r="G14" s="209">
        <v>3</v>
      </c>
      <c r="H14" s="210">
        <f>SUM(H15:H18)</f>
        <v>0</v>
      </c>
      <c r="I14" s="210">
        <f>SUM(I15:I18)</f>
        <v>0</v>
      </c>
      <c r="J14" s="210">
        <f>SUM(J15:J18)</f>
        <v>0</v>
      </c>
      <c r="K14" s="210">
        <f>SUM(K15:K18)</f>
        <v>0</v>
      </c>
      <c r="L14" s="211"/>
      <c r="M14" s="212"/>
    </row>
    <row r="15" spans="2:13" s="9" customFormat="1" ht="32.25" customHeight="1">
      <c r="B15" s="205" t="s">
        <v>30</v>
      </c>
      <c r="C15" s="213" t="str">
        <f>IF([1]ACCUEIL!B1=1,"Development and prospecting costs","Frais de développement et de  prospection")</f>
        <v>Frais de développement et de  prospection</v>
      </c>
      <c r="D15" s="214"/>
      <c r="E15" s="214"/>
      <c r="F15" s="215"/>
      <c r="G15" s="209"/>
      <c r="H15" s="216">
        <f>'[1]CLASSE 2'!I5+'[1]CLASSE 2'!I27+'[1]CLASSE 2'!I39</f>
        <v>0</v>
      </c>
      <c r="I15" s="216">
        <f>'[1]CLASSE 2'!J389+'[1]CLASSE 2'!J446</f>
        <v>0</v>
      </c>
      <c r="J15" s="216">
        <f>H15-I15</f>
        <v>0</v>
      </c>
      <c r="K15" s="216">
        <f>'[1]BALANCE REGROUPE'!I260+'[1]BALANCE REGROUPE'!I282+'[1]BALANCE REGROUPE'!I294-('[1]BALANCE REGROUPE'!J644+'[1]BALANCE REGROUPE'!J701+'[1]BALANCE REGROUPE'!J718)</f>
        <v>0</v>
      </c>
      <c r="L15" s="211"/>
      <c r="M15" s="212"/>
    </row>
    <row r="16" spans="2:13" s="9" customFormat="1" ht="32.25" customHeight="1">
      <c r="B16" s="205" t="s">
        <v>31</v>
      </c>
      <c r="C16" s="213" t="str">
        <f>IF([1]ACCUEIL!B1=1,"Patents, licenses, software and similar rights","Brevets, licences, logiciels et droits similaires")</f>
        <v>Brevets, licences, logiciels et droits similaires</v>
      </c>
      <c r="D16" s="214"/>
      <c r="E16" s="214"/>
      <c r="F16" s="215"/>
      <c r="G16" s="209"/>
      <c r="H16" s="1362">
        <f>'[1]CLASSE 2'!I15+'[1]CLASSE 2'!I21+'[1]CLASSE 2'!I22+'[1]CLASSE 2'!I41</f>
        <v>0</v>
      </c>
      <c r="I16" s="216">
        <f>'[1]CLASSE 2'!J391+'[1]CLASSE 2'!J393+'[1]CLASSE 2'!J448+'[1]CLASSE 2'!J450+'[1]CLASSE 2'!J452+'[1]CLASSE 2'!J395</f>
        <v>0</v>
      </c>
      <c r="J16" s="216">
        <f>H16-I16</f>
        <v>0</v>
      </c>
      <c r="K16" s="216">
        <f>'[1]BALANCE REGROUPE'!I270+'[1]BALANCE REGROUPE'!I276+'[1]BALANCE REGROUPE'!I277+'[1]BALANCE REGROUPE'!I296-('[1]BALANCE REGROUPE'!J646+'[1]BALANCE REGROUPE'!J648+'[1]BALANCE REGROUPE'!J650+'[1]BALANCE REGROUPE'!J703+'[1]BALANCE REGROUPE'!J705+'[1]BALANCE REGROUPE'!J707)</f>
        <v>0</v>
      </c>
      <c r="L16" s="211"/>
      <c r="M16" s="212"/>
    </row>
    <row r="17" spans="2:13" s="9" customFormat="1" ht="32.25" customHeight="1">
      <c r="B17" s="205" t="s">
        <v>32</v>
      </c>
      <c r="C17" s="213" t="str">
        <f>IF([1]ACCUEIL!B1=1,"Goodwill and leasehold rights","Fonds commercial et droit au bail")</f>
        <v>Fonds commercial et droit au bail</v>
      </c>
      <c r="D17" s="214"/>
      <c r="E17" s="214"/>
      <c r="F17" s="215"/>
      <c r="G17" s="209"/>
      <c r="H17" s="216">
        <f>'[1]CLASSE 2'!I23+'[1]CLASSE 2'!I24</f>
        <v>0</v>
      </c>
      <c r="I17" s="216">
        <f>'[1]CLASSE 2'!J397+'[1]CLASSE 2'!J399+'[1]CLASSE 2'!J454+'[1]CLASSE 2'!J456</f>
        <v>0</v>
      </c>
      <c r="J17" s="216">
        <f>H17-I17</f>
        <v>0</v>
      </c>
      <c r="K17" s="216">
        <f>'[1]BALANCE REGROUPE'!I278+'[1]BALANCE REGROUPE'!I279-('[1]BALANCE REGROUPE'!J652+'[1]BALANCE REGROUPE'!J654+'[1]BALANCE REGROUPE'!J709+'[1]BALANCE REGROUPE'!J711)</f>
        <v>0</v>
      </c>
      <c r="L17" s="211"/>
      <c r="M17" s="212"/>
    </row>
    <row r="18" spans="2:13" s="9" customFormat="1" ht="32.25" customHeight="1">
      <c r="B18" s="205" t="s">
        <v>33</v>
      </c>
      <c r="C18" s="213" t="str">
        <f>IF([1]ACCUEIL!B1=1,"Other intangible assets","Autres immobilisations incorporelles")</f>
        <v>Autres immobilisations incorporelles</v>
      </c>
      <c r="D18" s="214"/>
      <c r="E18" s="214"/>
      <c r="F18" s="215"/>
      <c r="G18" s="209"/>
      <c r="H18" s="216">
        <f>'[1]CLASSE 2'!I25+'[1]CLASSE 2'!I37-'[1]CLASSE 2'!I27+'[1]CLASSE 2'!I43</f>
        <v>0</v>
      </c>
      <c r="I18" s="216">
        <f>'[1]CLASSE 2'!J401+'[1]CLASSE 2'!J403+'[1]CLASSE 2'!J458+'[1]CLASSE 2'!J461+'[1]CLASSE 2'!J463</f>
        <v>0</v>
      </c>
      <c r="J18" s="216">
        <f>H18-I18</f>
        <v>0</v>
      </c>
      <c r="K18" s="216">
        <f>'[1]BALANCE REGROUPE'!I280+'[1]BALANCE REGROUPE'!I292-'[1]BALANCE REGROUPE'!I282+'[1]BALANCE REGROUPE'!I298-('[1]BALANCE REGROUPE'!J658+'[1]BALANCE REGROUPE'!J713+'[1]BALANCE REGROUPE'!J715)</f>
        <v>0</v>
      </c>
      <c r="L18" s="211"/>
      <c r="M18" s="212"/>
    </row>
    <row r="19" spans="2:13" s="9" customFormat="1" ht="32.25" customHeight="1">
      <c r="B19" s="205" t="s">
        <v>34</v>
      </c>
      <c r="C19" s="206" t="str">
        <f>IF([1]ACCUEIL!B1=1,"TANGIBLE FIXED ASSETS","IMMOBILISATIONS CORPORELLES")</f>
        <v>IMMOBILISATIONS CORPORELLES</v>
      </c>
      <c r="D19" s="207"/>
      <c r="E19" s="207"/>
      <c r="F19" s="208"/>
      <c r="G19" s="209">
        <v>3</v>
      </c>
      <c r="H19" s="210">
        <f>SUM(H20:H26)</f>
        <v>0</v>
      </c>
      <c r="I19" s="210">
        <f>SUM(I20:I26)</f>
        <v>0</v>
      </c>
      <c r="J19" s="210">
        <f>SUM(J20:J26)</f>
        <v>0</v>
      </c>
      <c r="K19" s="210">
        <f>SUM(K20:K26)</f>
        <v>0</v>
      </c>
      <c r="L19" s="211"/>
      <c r="M19" s="212"/>
    </row>
    <row r="20" spans="2:13" s="9" customFormat="1" ht="32.25" customHeight="1">
      <c r="B20" s="205" t="s">
        <v>35</v>
      </c>
      <c r="C20" s="213" t="str">
        <f>IF([1]ACCUEIL!B1=1,"Land (¹)","Terrains (¹)")</f>
        <v>Terrains (¹)</v>
      </c>
      <c r="D20" s="214"/>
      <c r="E20" s="214"/>
      <c r="F20" s="215"/>
      <c r="G20" s="209"/>
      <c r="H20" s="216">
        <f>'[1]CLASSE 2'!I53+'[1]CLASSE 2'!I59+'[1]CLASSE 2'!I71+'[1]CLASSE 2'!I79+'[1]CLASSE 2'!I83+'[1]CLASSE 2'!I87+'[1]CLASSE 2'!I88+'[1]CLASSE 2'!I98+'[1]CLASSE 2'!I108</f>
        <v>0</v>
      </c>
      <c r="I20" s="216">
        <f>'[1]CLASSE 2'!J410+'[1]CLASSE 2'!J487</f>
        <v>0</v>
      </c>
      <c r="J20" s="216">
        <f t="shared" ref="J20:J27" si="0">H20-I20</f>
        <v>0</v>
      </c>
      <c r="K20" s="216">
        <f>'[1]BALANCE REGROUPE'!I308+'[1]BALANCE REGROUPE'!I314+'[1]BALANCE REGROUPE'!I326+'[1]BALANCE REGROUPE'!I334+'[1]BALANCE REGROUPE'!I338+'[1]BALANCE REGROUPE'!I342+'[1]BALANCE REGROUPE'!I343+'[1]BALANCE REGROUPE'!I353+'[1]BALANCE REGROUPE'!I363-'[1]BALANCE REGROUPE'!J663-'[1]BALANCE REGROUPE'!J742</f>
        <v>0</v>
      </c>
      <c r="L20" s="211"/>
      <c r="M20" s="212"/>
    </row>
    <row r="21" spans="2:13" s="9" customFormat="1" ht="32.25" customHeight="1">
      <c r="B21" s="205"/>
      <c r="C21" s="213" t="str">
        <f>IF([1]ACCUEIL!B1=1,"(¹) of which investment in NET","(¹) dont placement en NET")</f>
        <v>(¹) dont placement en NET</v>
      </c>
      <c r="D21" s="213"/>
      <c r="E21" s="217"/>
      <c r="F21" s="217"/>
      <c r="G21" s="209"/>
      <c r="H21" s="216"/>
      <c r="I21" s="216"/>
      <c r="J21" s="216">
        <f t="shared" si="0"/>
        <v>0</v>
      </c>
      <c r="K21" s="216"/>
      <c r="L21" s="211"/>
      <c r="M21" s="212"/>
    </row>
    <row r="22" spans="2:13" s="9" customFormat="1" ht="32.25" customHeight="1">
      <c r="B22" s="205" t="s">
        <v>36</v>
      </c>
      <c r="C22" s="213" t="str">
        <f>IF([1]ACCUEIL!B1=1,"Buildings (¹)","Bâtiments (¹)")</f>
        <v>Bâtiments (¹)</v>
      </c>
      <c r="D22" s="214"/>
      <c r="E22" s="218"/>
      <c r="F22" s="219"/>
      <c r="G22" s="209"/>
      <c r="H22" s="1362">
        <f>'[1]CLASSE 2'!I122+'[1]CLASSE 2'!I136+'[1]CLASSE 2'!I150+'[1]CLASSE 2'!I169+'[1]CLASSE 2'!I172</f>
        <v>0</v>
      </c>
      <c r="I22" s="216">
        <f>'[1]CLASSE 2'!J412+'[1]CLASSE 2'!J414+'[1]CLASSE 2'!J416+'[1]CLASSE 2'!J422+'[1]CLASSE 2'!J489+'[1]CLASSE 2'!J491+'[1]CLASSE 2'!J493+'[1]CLASSE 2'!J499+'[1]CLASSE 2'!J503</f>
        <v>0</v>
      </c>
      <c r="J22" s="216">
        <f t="shared" si="0"/>
        <v>0</v>
      </c>
      <c r="K22" s="216">
        <f>'[1]BALANCE REGROUPE'!I377+'[1]BALANCE REGROUPE'!I391+'[1]BALANCE REGROUPE'!I405+'[1]BALANCE REGROUPE'!I424+'[1]BALANCE REGROUPE'!I427-('[1]BALANCE REGROUPE'!J667+'[1]BALANCE REGROUPE'!J669+'[1]BALANCE REGROUPE'!J671+'[1]BALANCE REGROUPE'!J744+'[1]BALANCE REGROUPE'!J677+'[1]BALANCE REGROUPE'!J746+'[1]BALANCE REGROUPE'!J748)</f>
        <v>0</v>
      </c>
      <c r="L22" s="211"/>
      <c r="M22" s="212"/>
    </row>
    <row r="23" spans="2:13" s="9" customFormat="1" ht="32.25" customHeight="1">
      <c r="B23" s="205"/>
      <c r="C23" s="213" t="str">
        <f>IF([1]ACCUEIL!B1=1,"(¹) of which investment in NET","(¹) dont placement en NET")</f>
        <v>(¹) dont placement en NET</v>
      </c>
      <c r="D23" s="213"/>
      <c r="E23" s="217">
        <f>'NOTE 3 A'!J26-'NOTE 3 C'!G20</f>
        <v>0</v>
      </c>
      <c r="F23" s="217"/>
      <c r="G23" s="209"/>
      <c r="H23" s="216"/>
      <c r="I23" s="216"/>
      <c r="J23" s="216">
        <f t="shared" si="0"/>
        <v>0</v>
      </c>
      <c r="K23" s="216"/>
      <c r="L23" s="211"/>
      <c r="M23" s="212"/>
    </row>
    <row r="24" spans="2:13" s="9" customFormat="1" ht="32.25" customHeight="1">
      <c r="B24" s="205" t="s">
        <v>37</v>
      </c>
      <c r="C24" s="213" t="str">
        <f>IF([1]ACCUEIL!B1=1,"Layout, arrangement and installation","Aménagement, agencement et installation")</f>
        <v>Aménagement, agencement et installation</v>
      </c>
      <c r="D24" s="214"/>
      <c r="E24" s="214"/>
      <c r="F24" s="215"/>
      <c r="G24" s="209"/>
      <c r="H24" s="1362">
        <f>'[1]CLASSE 2'!I162+'[1]CLASSE 2'!I168+'[1]CLASSE 2'!I170+'[1]CLASSE 2'!I174+'[1]CLASSE 2'!I176+'[1]CLASSE 2'!I178+'[1]CLASSE 2'!I180+'[1]CLASSE 2'!I182</f>
        <v>0</v>
      </c>
      <c r="I24" s="216">
        <f>'[1]CLASSE 2'!J418+'[1]CLASSE 2'!J420+'[1]CLASSE 2'!J424+'[1]CLASSE 2'!J495+'[1]CLASSE 2'!J497+'[1]CLASSE 2'!J501+'[1]CLASSE 2'!J505</f>
        <v>0</v>
      </c>
      <c r="J24" s="216">
        <f t="shared" si="0"/>
        <v>0</v>
      </c>
      <c r="K24" s="216">
        <f>'[1]BALANCE REGROUPE'!I417+'[1]BALANCE REGROUPE'!I423+'[1]BALANCE REGROUPE'!I425+'[1]BALANCE REGROUPE'!I429+'[1]BALANCE REGROUPE'!I433+'[1]BALANCE REGROUPE'!I435+'[1]BALANCE REGROUPE'!I437+'[1]BALANCE REGROUPE'!I431-'[1]BALANCE REGROUPE'!J673-'[1]BALANCE REGROUPE'!J675-'[1]BALANCE REGROUPE'!J679-'[1]BALANCE REGROUPE'!J750-'[1]BALANCE REGROUPE'!J752-'[1]BALANCE REGROUPE'!J756</f>
        <v>0</v>
      </c>
      <c r="L24" s="211"/>
      <c r="M24" s="212"/>
    </row>
    <row r="25" spans="2:13" s="9" customFormat="1" ht="32.25" customHeight="1">
      <c r="B25" s="205" t="s">
        <v>38</v>
      </c>
      <c r="C25" s="213" t="str">
        <f>IF([1]ACCUEIL!B1=1,"Equipment, furniture and biological assets","Matériel, mobilier et actif biologique")</f>
        <v>Matériel, mobilier et actif biologique</v>
      </c>
      <c r="D25" s="214"/>
      <c r="E25" s="214"/>
      <c r="F25" s="215"/>
      <c r="G25" s="209"/>
      <c r="H25" s="1362">
        <f>'[1]CLASSE 2'!I196+'[1]CLASSE 2'!I204+'[1]CLASSE 2'!I205+'[1]CLASSE 2'!I221+'[1]CLASSE 2'!I251+'[1]CLASSE 2'!I259+'[1]CLASSE 2'!I265+'[1]CLASSE 2'!I283-'[1]CLASSE 2'!I275</f>
        <v>0</v>
      </c>
      <c r="I25" s="216">
        <f>'[1]CLASSE 2'!J444-'[1]CLASSE 2'!J436+'[1]CLASSE 2'!J527-'[1]CLASSE 2'!J516</f>
        <v>0</v>
      </c>
      <c r="J25" s="216">
        <f t="shared" si="0"/>
        <v>0</v>
      </c>
      <c r="K25" s="216">
        <f>'[1]BALANCE REGROUPE'!I451+'[1]BALANCE REGROUPE'!I459+'[1]BALANCE REGROUPE'!I460+'[1]BALANCE REGROUPE'!I476+'[1]BALANCE REGROUPE'!I506+'[1]BALANCE REGROUPE'!I514+'[1]BALANCE REGROUPE'!I520+'[1]BALANCE REGROUPE'!I538-('[1]BALANCE REGROUPE'!J699-'[1]BALANCE REGROUPE'!J691+'[1]BALANCE REGROUPE'!J782-'[1]BALANCE REGROUPE'!J771)-'[1]BALANCE REGROUPE'!I530</f>
        <v>0</v>
      </c>
      <c r="L25" s="211"/>
      <c r="M25" s="212"/>
    </row>
    <row r="26" spans="2:13" s="9" customFormat="1" ht="32.25" customHeight="1">
      <c r="B26" s="205" t="s">
        <v>39</v>
      </c>
      <c r="C26" s="213" t="str">
        <f>IF([1]ACCUEIL!B1=1,"Transport equipment","Matériel de transport")</f>
        <v>Matériel de transport</v>
      </c>
      <c r="D26" s="214"/>
      <c r="E26" s="214"/>
      <c r="F26" s="215"/>
      <c r="G26" s="209"/>
      <c r="H26" s="1362">
        <f>'[1]CLASSE 2'!I239+'[1]CLASSE 2'!I275</f>
        <v>0</v>
      </c>
      <c r="I26" s="216">
        <f>'[1]CLASSE 2'!J516+'[1]CLASSE 2'!J526+'[1]CLASSE 2'!J436</f>
        <v>0</v>
      </c>
      <c r="J26" s="216">
        <f t="shared" si="0"/>
        <v>0</v>
      </c>
      <c r="K26" s="216">
        <f>'[1]BALANCE REGROUPE'!I494-('[1]BALANCE REGROUPE'!J691+'[1]BALANCE REGROUPE'!J771)+'[1]BALANCE REGROUPE'!I530</f>
        <v>0</v>
      </c>
      <c r="L26" s="211"/>
      <c r="M26" s="212"/>
    </row>
    <row r="27" spans="2:13" s="9" customFormat="1" ht="32.25" customHeight="1">
      <c r="B27" s="205" t="s">
        <v>40</v>
      </c>
      <c r="C27" s="206" t="str">
        <f>IF([1]ACCUEIL!B1=1,"Advances and deposits paid on fixed assets","Avances et acomptes versés sur immobilisations")</f>
        <v>Avances et acomptes versés sur immobilisations</v>
      </c>
      <c r="D27" s="207"/>
      <c r="E27" s="207"/>
      <c r="F27" s="208"/>
      <c r="G27" s="209">
        <v>3</v>
      </c>
      <c r="H27" s="216">
        <f>'[1]CLASSE 2'!I284+'[1]CLASSE 2'!I285</f>
        <v>0</v>
      </c>
      <c r="I27" s="216">
        <f>'[1]CLASSE 2'!J533</f>
        <v>0</v>
      </c>
      <c r="J27" s="216">
        <f t="shared" si="0"/>
        <v>0</v>
      </c>
      <c r="K27" s="216">
        <f>'[1]BALANCE REGROUPE'!I539+'[1]BALANCE REGROUPE'!I540-('[1]BALANCE REGROUPE'!J788)</f>
        <v>0</v>
      </c>
      <c r="L27" s="211"/>
      <c r="M27" s="212"/>
    </row>
    <row r="28" spans="2:13" s="9" customFormat="1" ht="32.25" customHeight="1">
      <c r="B28" s="205" t="s">
        <v>41</v>
      </c>
      <c r="C28" s="206" t="str">
        <f>IF([1]ACCUEIL!B1=1,"FINANCIAL ASSETS","IMMOBILISATIONS FINANCIERES")</f>
        <v>IMMOBILISATIONS FINANCIERES</v>
      </c>
      <c r="D28" s="207"/>
      <c r="E28" s="207"/>
      <c r="F28" s="208"/>
      <c r="G28" s="209">
        <v>4</v>
      </c>
      <c r="H28" s="210">
        <f>SUM(H29:H30)</f>
        <v>0</v>
      </c>
      <c r="I28" s="210">
        <f>SUM(I29:I30)</f>
        <v>0</v>
      </c>
      <c r="J28" s="210">
        <f>SUM(J29:J30)</f>
        <v>0</v>
      </c>
      <c r="K28" s="210">
        <f>SUM(K29:K30)</f>
        <v>0</v>
      </c>
      <c r="L28" s="211"/>
      <c r="M28" s="212"/>
    </row>
    <row r="29" spans="2:13" s="9" customFormat="1" ht="32.25" customHeight="1">
      <c r="B29" s="205" t="s">
        <v>42</v>
      </c>
      <c r="C29" s="213" t="str">
        <f>IF([1]ACCUEIL!B1=1,"Equity securities","Titres de participation")</f>
        <v>Titres de participation</v>
      </c>
      <c r="D29" s="214"/>
      <c r="E29" s="214"/>
      <c r="F29" s="215"/>
      <c r="G29" s="209"/>
      <c r="H29" s="216">
        <f>SUM('[1]CLASSE 2'!I286:I291)</f>
        <v>0</v>
      </c>
      <c r="I29" s="216">
        <f>'[1]CLASSE 2'!J547</f>
        <v>0</v>
      </c>
      <c r="J29" s="216">
        <f>H29-I29</f>
        <v>0</v>
      </c>
      <c r="K29" s="216">
        <f>SUM('[1]BALANCE REGROUPE'!I541:I546)-'[1]BALANCE REGROUPE'!J802</f>
        <v>0</v>
      </c>
      <c r="L29" s="211"/>
      <c r="M29" s="212"/>
    </row>
    <row r="30" spans="2:13" s="9" customFormat="1" ht="32.25" customHeight="1">
      <c r="B30" s="205" t="s">
        <v>43</v>
      </c>
      <c r="C30" s="213" t="str">
        <f>IF([1]ACCUEIL!B1=1,"Other financial assets","Autres immobilisations financières")</f>
        <v>Autres immobilisations financières</v>
      </c>
      <c r="D30" s="214"/>
      <c r="E30" s="214"/>
      <c r="F30" s="215"/>
      <c r="G30" s="209"/>
      <c r="H30" s="216">
        <f>'[1]CLASSE 2'!I303+'[1]CLASSE 2'!I311+'[1]CLASSE 2'!I321+'[1]CLASSE 2'!I337+'[1]CLASSE 2'!I355+'[1]CLASSE 2'!I371+'[1]CLASSE 2'!I377+'[1]CLASSE 2'!I387</f>
        <v>0</v>
      </c>
      <c r="I30" s="216">
        <f>'[1]CLASSE 2'!J563</f>
        <v>0</v>
      </c>
      <c r="J30" s="216">
        <f>H30-I30</f>
        <v>0</v>
      </c>
      <c r="K30" s="216">
        <f>'[1]BALANCE REGROUPE'!I558+'[1]BALANCE REGROUPE'!I566+'[1]BALANCE REGROUPE'!I576+'[1]BALANCE REGROUPE'!I592+'[1]BALANCE REGROUPE'!I610+'[1]BALANCE REGROUPE'!I632+'[1]BALANCE REGROUPE'!I642-'[1]BALANCE REGROUPE'!J818+'[1]BALANCE REGROUPE'!I626</f>
        <v>0</v>
      </c>
      <c r="L30" s="211"/>
      <c r="M30" s="212"/>
    </row>
    <row r="31" spans="2:13" s="9" customFormat="1" ht="32.25" customHeight="1">
      <c r="B31" s="205" t="s">
        <v>44</v>
      </c>
      <c r="C31" s="206" t="str">
        <f>IF([1]ACCUEIL!B1=1,"TOTAL FIXED ASSETS","TOTAL ACTIF IMMOBILISE")</f>
        <v>TOTAL ACTIF IMMOBILISE</v>
      </c>
      <c r="D31" s="207"/>
      <c r="E31" s="207"/>
      <c r="F31" s="208"/>
      <c r="G31" s="209"/>
      <c r="H31" s="210">
        <f>H14+H19+H28+H27</f>
        <v>0</v>
      </c>
      <c r="I31" s="210">
        <f>I14+I19+I28+I27</f>
        <v>0</v>
      </c>
      <c r="J31" s="210">
        <f>J14+J19+J28+J27</f>
        <v>0</v>
      </c>
      <c r="K31" s="210">
        <f>K14+K19+K28+K27</f>
        <v>0</v>
      </c>
      <c r="L31" s="211"/>
      <c r="M31" s="212"/>
    </row>
    <row r="32" spans="2:13" s="9" customFormat="1" ht="32.25" customHeight="1">
      <c r="B32" s="205" t="s">
        <v>45</v>
      </c>
      <c r="C32" s="206" t="str">
        <f>IF([1]ACCUEIL!B1=1,"CURRENT ASSETS EOA","ACTIF CIRCULANT HAO")</f>
        <v>ACTIF CIRCULANT HAO</v>
      </c>
      <c r="D32" s="207"/>
      <c r="E32" s="207"/>
      <c r="F32" s="208"/>
      <c r="G32" s="209">
        <v>5</v>
      </c>
      <c r="H32" s="216">
        <f>'[1]CLASSE 4'!I447+'[1]CLASSE 4'!I448</f>
        <v>0</v>
      </c>
      <c r="I32" s="216">
        <f>'[1]CLASSE 4'!J476</f>
        <v>0</v>
      </c>
      <c r="J32" s="210">
        <f>H32-I32</f>
        <v>0</v>
      </c>
      <c r="K32" s="210">
        <f>'[1]BALANCE REGROUPE'!I1391+'[1]BALANCE REGROUPE'!I1392-'[1]BALANCE REGROUPE'!J1420</f>
        <v>0</v>
      </c>
      <c r="L32" s="211"/>
      <c r="M32" s="212"/>
    </row>
    <row r="33" spans="2:15" s="9" customFormat="1" ht="32.25" customHeight="1">
      <c r="B33" s="205" t="s">
        <v>46</v>
      </c>
      <c r="C33" s="206" t="str">
        <f>IF([1]ACCUEIL!B1=1,"STOCK AND WORK IN PROGRESS","STOCK ET ENCOURS")</f>
        <v>STOCK ET ENCOURS</v>
      </c>
      <c r="D33" s="207"/>
      <c r="E33" s="207"/>
      <c r="F33" s="208"/>
      <c r="G33" s="209">
        <v>6</v>
      </c>
      <c r="H33" s="216">
        <f>'[1]CLASSE 3'!I10+'[1]CLASSE 3'!I16+'[1]CLASSE 3'!I22+SUM('[1]CLASSE 3'!I23:I30)+'[1]CLASSE 3'!I40+'[1]CLASSE 3'!I41+'[1]CLASSE 3'!I47+'[1]CLASSE 3'!I53+'[1]CLASSE 3'!I59+'[1]CLASSE 3'!I71+'[1]CLASSE 3'!I77+'[1]CLASSE 3'!I83+'[1]CLASSE 3'!I84+'[1]CLASSE 3'!I85+'[1]CLASSE 3'!I93+'[1]CLASSE 3'!I99+'[1]CLASSE 3'!I107+'[1]CLASSE 3'!I115+SUM('[1]CLASSE 3'!I116:I119)+'[1]CLASSE 3'!I125+'[1]CLASSE 3'!I126+'[1]CLASSE 3'!I65</f>
        <v>0</v>
      </c>
      <c r="I33" s="216">
        <f>SUM('[1]CLASSE 3'!J127:J134)</f>
        <v>0</v>
      </c>
      <c r="J33" s="210">
        <f>H33-I33</f>
        <v>0</v>
      </c>
      <c r="K33" s="210">
        <f>'[1]BALANCE REGROUPE'!I825+'[1]BALANCE REGROUPE'!I831+'[1]BALANCE REGROUPE'!I837+SUM('[1]BALANCE REGROUPE'!I838:I845)+'[1]BALANCE REGROUPE'!I855+'[1]BALANCE REGROUPE'!I856+'[1]BALANCE REGROUPE'!I862+'[1]BALANCE REGROUPE'!I868+'[1]BALANCE REGROUPE'!I874+'[1]BALANCE REGROUPE'!I880+'[1]BALANCE REGROUPE'!I886+'[1]BALANCE REGROUPE'!I892+'[1]BALANCE REGROUPE'!I898+'[1]BALANCE REGROUPE'!I899+'[1]BALANCE REGROUPE'!I900+'[1]BALANCE REGROUPE'!I908+'[1]BALANCE REGROUPE'!I914+'[1]BALANCE REGROUPE'!I922+SUM('[1]BALANCE REGROUPE'!I931:I934)+'[1]BALANCE REGROUPE'!I940-(SUM('[1]BALANCE REGROUPE'!J941:J949))</f>
        <v>0</v>
      </c>
      <c r="L33" s="211"/>
      <c r="M33" s="212"/>
    </row>
    <row r="34" spans="2:15" s="9" customFormat="1" ht="32.25" customHeight="1">
      <c r="B34" s="205" t="s">
        <v>47</v>
      </c>
      <c r="C34" s="206" t="str">
        <f>IF([1]ACCUEIL!B1=1,"RECEIVABLES AND SIMILAR USES","CREANCES ET EMPLOIS ASSIMILES")</f>
        <v>CREANCES ET EMPLOIS ASSIMILES</v>
      </c>
      <c r="D34" s="207"/>
      <c r="E34" s="207"/>
      <c r="F34" s="208"/>
      <c r="G34" s="209"/>
      <c r="H34" s="210">
        <f>SUM(H35:H37)</f>
        <v>0</v>
      </c>
      <c r="I34" s="210">
        <f>SUM(I35:I37)</f>
        <v>0</v>
      </c>
      <c r="J34" s="210">
        <f>SUM(J35:J37)</f>
        <v>0</v>
      </c>
      <c r="K34" s="210">
        <f>SUM(K35:K37)</f>
        <v>0</v>
      </c>
      <c r="L34" s="211"/>
      <c r="M34" s="212"/>
    </row>
    <row r="35" spans="2:15" s="9" customFormat="1" ht="32.25" customHeight="1">
      <c r="B35" s="205" t="s">
        <v>48</v>
      </c>
      <c r="C35" s="213" t="str">
        <f>IF([1]ACCUEIL!B1=1,"Suppliers advances paid","Fournisseurs avances versées")</f>
        <v>Fournisseurs avances versées</v>
      </c>
      <c r="D35" s="214"/>
      <c r="E35" s="214"/>
      <c r="F35" s="215"/>
      <c r="G35" s="209">
        <v>17</v>
      </c>
      <c r="H35" s="216">
        <f>'[1]CLASSE 4'!I54</f>
        <v>0</v>
      </c>
      <c r="I35" s="216">
        <f>'[1]CLASSE 4'!J449</f>
        <v>0</v>
      </c>
      <c r="J35" s="216">
        <f>H35-I35</f>
        <v>0</v>
      </c>
      <c r="K35" s="216">
        <f>'[1]BALANCE REGROUPE'!I1000-'[1]BALANCE REGROUPE'!J1393</f>
        <v>0</v>
      </c>
      <c r="L35" s="211"/>
      <c r="M35" s="212"/>
    </row>
    <row r="36" spans="2:15" s="9" customFormat="1" ht="32.25" customHeight="1">
      <c r="B36" s="205" t="s">
        <v>49</v>
      </c>
      <c r="C36" s="213" t="str">
        <f>IF([1]ACCUEIL!B1=1,"Customers","Clients")</f>
        <v>Clients</v>
      </c>
      <c r="D36" s="214"/>
      <c r="E36" s="214"/>
      <c r="F36" s="215"/>
      <c r="G36" s="209">
        <v>7</v>
      </c>
      <c r="H36" s="216">
        <f>'[1]CLASSE 4'!I70+'[1]CLASSE 4'!I82+'[1]CLASSE 4'!I98+'[1]CLASSE 4'!I99+'[1]CLASSE 4'!I105+'[1]CLASSE 4'!I111+'[1]CLASSE 4'!I92</f>
        <v>0</v>
      </c>
      <c r="I36" s="216">
        <f>'[1]CLASSE 4'!J455</f>
        <v>0</v>
      </c>
      <c r="J36" s="216">
        <f>H36-I36</f>
        <v>0</v>
      </c>
      <c r="K36" s="216">
        <f>'[1]BALANCE REGROUPE'!I1016+'[1]BALANCE REGROUPE'!I1028+'[1]BALANCE REGROUPE'!I1038+'[1]BALANCE REGROUPE'!I1044+'[1]BALANCE REGROUPE'!I1045+'[1]BALANCE REGROUPE'!I1051+'[1]BALANCE REGROUPE'!I1057-'[1]BALANCE REGROUPE'!J1399</f>
        <v>0</v>
      </c>
      <c r="L36" s="211"/>
      <c r="M36" s="212"/>
    </row>
    <row r="37" spans="2:15" s="9" customFormat="1" ht="32.25" customHeight="1">
      <c r="B37" s="205" t="s">
        <v>50</v>
      </c>
      <c r="C37" s="213" t="str">
        <f>IF([1]ACCUEIL!B1=1,"Other receivables","Autres créances")</f>
        <v>Autres créances</v>
      </c>
      <c r="D37" s="214"/>
      <c r="E37" s="214"/>
      <c r="F37" s="215"/>
      <c r="G37" s="209">
        <v>8</v>
      </c>
      <c r="H37" s="216">
        <f>[1]ACTIF!H37</f>
        <v>0</v>
      </c>
      <c r="I37" s="216">
        <f>[1]ACTIF!I37</f>
        <v>0</v>
      </c>
      <c r="J37" s="216">
        <f>[1]ACTIF!J37</f>
        <v>0</v>
      </c>
      <c r="K37" s="216">
        <f>[1]ACTIF!K37</f>
        <v>0</v>
      </c>
      <c r="L37" s="211"/>
      <c r="M37" s="212"/>
      <c r="N37" s="211"/>
    </row>
    <row r="38" spans="2:15" s="9" customFormat="1" ht="32.25" customHeight="1">
      <c r="B38" s="205" t="s">
        <v>51</v>
      </c>
      <c r="C38" s="206" t="str">
        <f>IF([1]ACCUEIL!B1=1,"TOTAL CURRENT ASSETS","TOTAL ACTIF CIRCULANT")</f>
        <v>TOTAL ACTIF CIRCULANT</v>
      </c>
      <c r="D38" s="207"/>
      <c r="E38" s="207"/>
      <c r="F38" s="208"/>
      <c r="G38" s="209"/>
      <c r="H38" s="210">
        <f>H32+H33+H34</f>
        <v>0</v>
      </c>
      <c r="I38" s="210">
        <f>I32+I33+I34</f>
        <v>0</v>
      </c>
      <c r="J38" s="210">
        <f>J32+J33+J34</f>
        <v>0</v>
      </c>
      <c r="K38" s="210">
        <f>K32+K33+K34</f>
        <v>0</v>
      </c>
      <c r="L38" s="211"/>
      <c r="M38" s="212"/>
    </row>
    <row r="39" spans="2:15" s="9" customFormat="1" ht="32.25" customHeight="1">
      <c r="B39" s="205" t="s">
        <v>52</v>
      </c>
      <c r="C39" s="213" t="str">
        <f>IF([1]ACCUEIL!B1=1,"Investment securities","Titres de placement")</f>
        <v>Titres de placement</v>
      </c>
      <c r="D39" s="214"/>
      <c r="E39" s="214"/>
      <c r="F39" s="215"/>
      <c r="G39" s="209">
        <v>9</v>
      </c>
      <c r="H39" s="216">
        <f>'[1]CLASSE 5'!I14+'[1]CLASSE 5'!I28+'[1]CLASSE 5'!I40+'[1]CLASSE 5'!I46+'[1]CLASSE 5'!I47+'[1]CLASSE 5'!I55+'[1]CLASSE 5'!I56</f>
        <v>0</v>
      </c>
      <c r="I39" s="216">
        <f>'[1]CLASSE 5'!J134</f>
        <v>0</v>
      </c>
      <c r="J39" s="216">
        <f>H39-I39</f>
        <v>0</v>
      </c>
      <c r="K39" s="216">
        <f>'[1]BALANCE REGROUPE'!I1439+'[1]BALANCE REGROUPE'!I1453+'[1]BALANCE REGROUPE'!I1465+'[1]BALANCE REGROUPE'!I1471+'[1]BALANCE REGROUPE'!I1472+'[1]BALANCE REGROUPE'!I1480+'[1]BALANCE REGROUPE'!I1481-'[1]BALANCE REGROUPE'!J1559</f>
        <v>0</v>
      </c>
      <c r="L39" s="211"/>
      <c r="M39" s="212"/>
    </row>
    <row r="40" spans="2:15" s="9" customFormat="1" ht="32.25" customHeight="1">
      <c r="B40" s="205" t="s">
        <v>53</v>
      </c>
      <c r="C40" s="213" t="str">
        <f>IF([1]ACCUEIL!B1=1,"Securities to be cashed","Valeurs à encaisser")</f>
        <v>Valeurs à encaisser</v>
      </c>
      <c r="D40" s="214"/>
      <c r="E40" s="214"/>
      <c r="F40" s="215"/>
      <c r="G40" s="209">
        <v>10</v>
      </c>
      <c r="H40" s="216">
        <f>SUM('[1]CLASSE 5'!I57:I61)+'[1]CLASSE 5'!I73</f>
        <v>0</v>
      </c>
      <c r="I40" s="216">
        <f>'[1]CLASSE 5'!J135</f>
        <v>0</v>
      </c>
      <c r="J40" s="216">
        <f>H40-I40</f>
        <v>0</v>
      </c>
      <c r="K40" s="216">
        <f>SUM('[1]BALANCE REGROUPE'!I1481:I1486)+'[1]BALANCE REGROUPE'!I1498-'[1]BALANCE REGROUPE'!J1560</f>
        <v>0</v>
      </c>
      <c r="L40" s="211"/>
      <c r="M40" s="212"/>
    </row>
    <row r="41" spans="2:15" s="9" customFormat="1" ht="32.25" customHeight="1">
      <c r="B41" s="205" t="s">
        <v>54</v>
      </c>
      <c r="C41" s="213" t="str">
        <f>IF([1]ACCUEIL!B1=1,"banks, post office cheques, cash and cash equivalents","Banques, chèques postaux, Caisse et assimilés")</f>
        <v>Banques, chèques postaux, Caisse et assimilés</v>
      </c>
      <c r="D41" s="214"/>
      <c r="E41" s="214"/>
      <c r="F41" s="215"/>
      <c r="G41" s="209">
        <v>11</v>
      </c>
      <c r="H41" s="216">
        <f>'[1]CLASSE 5'!I75+'[1]CLASSE 5'!I77+SUM('[1]CLASSE 5'!I81:I84)+'[1]CLASSE 5'!I90+SUM('[1]CLASSE 5'!I91:I107)+'[1]CLASSE 5'!I117+'[1]CLASSE 5'!I123+'[1]CLASSE 5'!I129+'[1]CLASSE 5'!I130+'[1]CLASSE 5'!I131+'[1]CLASSE 5'!I79</f>
        <v>0</v>
      </c>
      <c r="I41" s="216">
        <f>SUM('[1]CLASSE 5'!J136:J138)</f>
        <v>0</v>
      </c>
      <c r="J41" s="216">
        <f>H41-I41</f>
        <v>0</v>
      </c>
      <c r="K41" s="216">
        <f>'[1]BALANCE REGROUPE'!I1500+'[1]BALANCE REGROUPE'!I1502+'[1]BALANCE REGROUPE'!I1515+SUM('[1]BALANCE REGROUPE'!I1516:I1533)+SUM('[1]BALANCE REGROUPE'!I1506:I1509)+'[1]BALANCE REGROUPE'!I1542+'[1]BALANCE REGROUPE'!I1548+'[1]BALANCE REGROUPE'!I1554-(SUM('[1]BALANCE REGROUPE'!J1561:J1563))</f>
        <v>0</v>
      </c>
      <c r="L41" s="211"/>
      <c r="M41" s="212"/>
    </row>
    <row r="42" spans="2:15" s="9" customFormat="1" ht="32.25" customHeight="1">
      <c r="B42" s="205" t="s">
        <v>55</v>
      </c>
      <c r="C42" s="206" t="str">
        <f>IF([1]ACCUEIL!B1=1,"TOTAL CASH ASSETS","TOTAL TRESORERIE ACTIF")</f>
        <v>TOTAL TRESORERIE ACTIF</v>
      </c>
      <c r="D42" s="207"/>
      <c r="E42" s="207"/>
      <c r="F42" s="208"/>
      <c r="G42" s="209"/>
      <c r="H42" s="210">
        <f>SUM(H39:H41)</f>
        <v>0</v>
      </c>
      <c r="I42" s="210">
        <f>SUM(I39:I41)</f>
        <v>0</v>
      </c>
      <c r="J42" s="210">
        <f>SUM(J39:J41)</f>
        <v>0</v>
      </c>
      <c r="K42" s="210">
        <f>SUM(K39:K41)</f>
        <v>0</v>
      </c>
      <c r="L42" s="211"/>
      <c r="M42" s="212"/>
      <c r="N42" s="211"/>
      <c r="O42" s="211"/>
    </row>
    <row r="43" spans="2:15" s="9" customFormat="1" ht="32.25" customHeight="1">
      <c r="B43" s="205" t="s">
        <v>56</v>
      </c>
      <c r="C43" s="213" t="str">
        <f>IF([1]ACCUEIL!B1=1,"Translation adjustment - Assets","Ecart de conversion Actif")</f>
        <v>Ecart de conversion Actif</v>
      </c>
      <c r="D43" s="214"/>
      <c r="E43" s="214"/>
      <c r="F43" s="215"/>
      <c r="G43" s="209">
        <v>12</v>
      </c>
      <c r="H43" s="216">
        <f>'[1]CLASSE 4'!I393</f>
        <v>0</v>
      </c>
      <c r="I43" s="1094"/>
      <c r="J43" s="216">
        <f>H43-I43</f>
        <v>0</v>
      </c>
      <c r="K43" s="216">
        <f>'[1]BALANCE REGROUPE'!I1339</f>
        <v>0</v>
      </c>
      <c r="L43" s="211"/>
      <c r="M43" s="212"/>
    </row>
    <row r="44" spans="2:15" s="9" customFormat="1" ht="32.25" customHeight="1">
      <c r="B44" s="205" t="s">
        <v>57</v>
      </c>
      <c r="C44" s="206" t="s">
        <v>58</v>
      </c>
      <c r="D44" s="207"/>
      <c r="E44" s="207"/>
      <c r="F44" s="208"/>
      <c r="G44" s="209"/>
      <c r="H44" s="210">
        <f>H31+H38+H42+H43</f>
        <v>0</v>
      </c>
      <c r="I44" s="210">
        <f>I31+I38+I42+I43</f>
        <v>0</v>
      </c>
      <c r="J44" s="210">
        <f>J31+J38+J42+J43</f>
        <v>0</v>
      </c>
      <c r="K44" s="210">
        <f>K31+K38+K42+K43</f>
        <v>0</v>
      </c>
      <c r="L44" s="211"/>
      <c r="M44" s="212"/>
    </row>
    <row r="45" spans="2:15">
      <c r="J45" s="220">
        <f ca="1">J44-PASSIF!I41</f>
        <v>0</v>
      </c>
      <c r="K45" s="220">
        <f ca="1">K44-PASSIF!J41</f>
        <v>0</v>
      </c>
    </row>
    <row r="46" spans="2:15">
      <c r="K46" s="220"/>
    </row>
    <row r="47" spans="2:15">
      <c r="J47" s="220"/>
      <c r="K47" s="220"/>
    </row>
    <row r="48" spans="2:15">
      <c r="J48" s="220"/>
    </row>
  </sheetData>
  <sheetProtection selectLockedCells="1"/>
  <mergeCells count="11">
    <mergeCell ref="K12:K13"/>
    <mergeCell ref="J2:K3"/>
    <mergeCell ref="G7:H7"/>
    <mergeCell ref="B9:K9"/>
    <mergeCell ref="B11:B13"/>
    <mergeCell ref="C11:F13"/>
    <mergeCell ref="G11:G13"/>
    <mergeCell ref="H11:J11"/>
    <mergeCell ref="H12:H13"/>
    <mergeCell ref="I12:I13"/>
    <mergeCell ref="J12:J13"/>
  </mergeCells>
  <conditionalFormatting sqref="F5:G5 E6 J6">
    <cfRule type="expression" dxfId="54" priority="1">
      <formula>#REF!=1</formula>
    </cfRule>
  </conditionalFormatting>
  <printOptions horizontalCentered="1"/>
  <pageMargins left="0.59055118110236227" right="0" top="0.39370078740157483" bottom="0" header="0.15748031496062992" footer="0.15748031496062992"/>
  <pageSetup scale="59" pageOrder="overThenDown" orientation="portrait" r:id="rId1"/>
  <headerFooter>
    <oddHeader>&amp;C&amp;"-,Gras"&amp;14Page &amp;P / &amp;N</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3">
    <pageSetUpPr fitToPage="1"/>
  </sheetPr>
  <dimension ref="B1:O47"/>
  <sheetViews>
    <sheetView showGridLines="0" showZeros="0" topLeftCell="A34" zoomScale="70" zoomScaleNormal="70" zoomScaleSheetLayoutView="90" workbookViewId="0">
      <selection activeCell="C40" sqref="C40"/>
    </sheetView>
  </sheetViews>
  <sheetFormatPr baseColWidth="10" defaultColWidth="11.42578125" defaultRowHeight="14.45" customHeight="1" zeroHeight="1"/>
  <cols>
    <col min="1" max="1" width="11.85546875" style="2" customWidth="1"/>
    <col min="2" max="2" width="4.7109375" style="2" customWidth="1"/>
    <col min="3" max="3" width="19" style="2" customWidth="1"/>
    <col min="4" max="4" width="12.140625" style="2" customWidth="1"/>
    <col min="5" max="5" width="16.42578125" style="2" customWidth="1"/>
    <col min="6" max="6" width="8.85546875" style="2" customWidth="1"/>
    <col min="7" max="7" width="8.42578125" style="2" customWidth="1"/>
    <col min="8" max="8" width="8" style="2" customWidth="1"/>
    <col min="9" max="9" width="21.140625" style="2" customWidth="1"/>
    <col min="10" max="10" width="21.7109375" style="2" customWidth="1"/>
    <col min="11" max="11" width="13.28515625" style="2" bestFit="1" customWidth="1"/>
    <col min="12" max="12" width="18.28515625" style="2" bestFit="1" customWidth="1"/>
    <col min="13" max="16384" width="11.42578125" style="2"/>
  </cols>
  <sheetData>
    <row r="1" spans="2:15" ht="21.75" thickBot="1">
      <c r="B1" s="1580"/>
      <c r="C1" s="1580"/>
      <c r="D1" s="1580"/>
      <c r="E1" s="1580"/>
      <c r="F1" s="1580"/>
      <c r="G1" s="1580"/>
      <c r="H1" s="1580"/>
      <c r="I1" s="1580"/>
      <c r="J1" s="1580"/>
    </row>
    <row r="2" spans="2:15" ht="15.75" customHeight="1">
      <c r="I2" s="1541" t="str">
        <f>IF([1]ACCUEIL!B1=1,"NORMAL SYSTEM BALANCE SHEET
PAGE 2/2","BILAN SYSTEME NORMAL
PAGE 2/2")</f>
        <v>BILAN SYSTEME NORMAL
PAGE 2/2</v>
      </c>
      <c r="J2" s="1542"/>
    </row>
    <row r="3" spans="2:15" ht="18.75" thickBot="1">
      <c r="B3" s="221"/>
      <c r="C3" s="221"/>
      <c r="D3" s="221"/>
      <c r="E3" s="221"/>
      <c r="F3" s="221"/>
      <c r="G3" s="221"/>
      <c r="H3" s="221"/>
      <c r="I3" s="1543"/>
      <c r="J3" s="1544"/>
    </row>
    <row r="4" spans="2:15" ht="18">
      <c r="B4" s="222" t="str">
        <f>ACTIF!B4</f>
        <v>Désignation entité:</v>
      </c>
      <c r="D4" s="223" t="str">
        <f>ACTIF!D4</f>
        <v/>
      </c>
      <c r="E4" s="224"/>
      <c r="F4" s="224"/>
      <c r="G4" s="224"/>
      <c r="H4" s="172"/>
      <c r="I4" s="172"/>
      <c r="J4" s="172"/>
    </row>
    <row r="5" spans="2:15" ht="15">
      <c r="B5" s="225" t="str">
        <f>ACTIF!B5</f>
        <v>Sigle usuel :</v>
      </c>
      <c r="D5" s="226" t="str">
        <f>ACTIF!D5</f>
        <v/>
      </c>
      <c r="F5" s="175"/>
      <c r="G5" s="175"/>
      <c r="H5" s="175"/>
      <c r="I5" s="175"/>
      <c r="J5" s="175"/>
      <c r="K5" s="1581"/>
      <c r="L5" s="1581"/>
      <c r="M5" s="1581"/>
    </row>
    <row r="6" spans="2:15" ht="15">
      <c r="B6" s="227" t="str">
        <f>ACTIF!B6</f>
        <v>Adresse:</v>
      </c>
      <c r="D6" s="228">
        <f>ACTIF!D6</f>
        <v>0</v>
      </c>
      <c r="E6" s="175"/>
      <c r="F6" s="175"/>
      <c r="G6" s="175"/>
      <c r="H6" s="175"/>
      <c r="I6" s="229" t="str">
        <f>ACTIF!J6</f>
        <v>BP:</v>
      </c>
      <c r="J6" s="230" t="str">
        <f>ACTIF!K6</f>
        <v/>
      </c>
      <c r="K6" s="231"/>
      <c r="L6" s="232"/>
      <c r="M6" s="232"/>
    </row>
    <row r="7" spans="2:15" ht="15">
      <c r="B7" s="222" t="str">
        <f>ACTIF!B7</f>
        <v>Numéro d'identification:</v>
      </c>
      <c r="D7" s="233" t="str">
        <f>ACTIF!D7</f>
        <v/>
      </c>
      <c r="E7" s="1582" t="str">
        <f>ACTIF!G7</f>
        <v xml:space="preserve">   Exercice clos le 31 - 12- </v>
      </c>
      <c r="F7" s="1582"/>
      <c r="G7" s="1582"/>
      <c r="H7" s="234">
        <f>ACTIF!I7</f>
        <v>2025</v>
      </c>
      <c r="I7" s="229" t="str">
        <f>ACTIF!J7</f>
        <v xml:space="preserve">    Durée (en mois):</v>
      </c>
      <c r="J7" s="230">
        <f>ACTIF!K7</f>
        <v>12</v>
      </c>
      <c r="O7" s="235"/>
    </row>
    <row r="8" spans="2:15" ht="9" customHeight="1">
      <c r="B8" s="221"/>
      <c r="C8" s="221"/>
      <c r="D8" s="221"/>
      <c r="E8" s="221"/>
      <c r="F8" s="221"/>
      <c r="G8" s="221"/>
      <c r="H8" s="221"/>
      <c r="I8" s="221"/>
      <c r="J8" s="236"/>
      <c r="O8" s="235"/>
    </row>
    <row r="9" spans="2:15" ht="17.25" customHeight="1">
      <c r="B9" s="1583" t="str">
        <f>IF([1]ACCUEIL!B1=1,"FINANCIAL YEAR AT 31 DECEMBER N","EXERCICE AU 31 DECEMBRE N")</f>
        <v>EXERCICE AU 31 DECEMBRE N</v>
      </c>
      <c r="C9" s="1583"/>
      <c r="D9" s="1583"/>
      <c r="E9" s="1583"/>
      <c r="F9" s="1583"/>
      <c r="G9" s="1583"/>
      <c r="H9" s="1583"/>
      <c r="I9" s="1583"/>
      <c r="J9" s="1583"/>
    </row>
    <row r="10" spans="2:15" ht="12.75" customHeight="1">
      <c r="B10" s="128"/>
      <c r="C10" s="128"/>
      <c r="D10" s="128"/>
      <c r="E10" s="128"/>
      <c r="F10" s="128"/>
      <c r="G10" s="128"/>
      <c r="H10" s="128"/>
      <c r="I10" s="128"/>
      <c r="J10" s="128"/>
    </row>
    <row r="11" spans="2:15" ht="15.75" customHeight="1">
      <c r="B11" s="1563" t="s">
        <v>26</v>
      </c>
      <c r="C11" s="1566" t="str">
        <f>IF([1]ACCUEIL!B1=1,"LIABILITIES","PASSIF")</f>
        <v>PASSIF</v>
      </c>
      <c r="D11" s="1567"/>
      <c r="E11" s="1567"/>
      <c r="F11" s="1567"/>
      <c r="G11" s="1568"/>
      <c r="H11" s="1575" t="s">
        <v>59</v>
      </c>
      <c r="I11" s="1578" t="str">
        <f>[1]ACTIF!H11</f>
        <v>EXERCICE AU 31-12-2025</v>
      </c>
      <c r="J11" s="1578" t="str">
        <f>[1]ACTIF!K11</f>
        <v>EXERCICE AU 31-12-2024</v>
      </c>
    </row>
    <row r="12" spans="2:15" ht="15.75" customHeight="1">
      <c r="B12" s="1564"/>
      <c r="C12" s="1569"/>
      <c r="D12" s="1570"/>
      <c r="E12" s="1570"/>
      <c r="F12" s="1570"/>
      <c r="G12" s="1571"/>
      <c r="H12" s="1576"/>
      <c r="I12" s="1579"/>
      <c r="J12" s="1579"/>
    </row>
    <row r="13" spans="2:15" ht="15.75" customHeight="1">
      <c r="B13" s="1565"/>
      <c r="C13" s="1572"/>
      <c r="D13" s="1573"/>
      <c r="E13" s="1573"/>
      <c r="F13" s="1573"/>
      <c r="G13" s="1574"/>
      <c r="H13" s="1577"/>
      <c r="I13" s="1095" t="s">
        <v>28</v>
      </c>
      <c r="J13" s="1095" t="s">
        <v>28</v>
      </c>
    </row>
    <row r="14" spans="2:15" ht="29.25" customHeight="1">
      <c r="B14" s="237" t="s">
        <v>60</v>
      </c>
      <c r="C14" s="238" t="str">
        <f>IF([1]ACCUEIL!B1=1,"SHARE CAPITAL","CAPITAL")</f>
        <v>CAPITAL</v>
      </c>
      <c r="D14" s="239"/>
      <c r="E14" s="239"/>
      <c r="F14" s="239"/>
      <c r="G14" s="240"/>
      <c r="H14" s="241">
        <v>13</v>
      </c>
      <c r="I14" s="242">
        <f>'[1]CLASSE 1'!J16+'[1]CLASSE 1'!J24+'[1]CLASSE 1'!J25+'[1]CLASSE 1'!J37</f>
        <v>0</v>
      </c>
      <c r="J14" s="242">
        <f>'[1]BALANCE REGROUPE'!J14+'[1]BALANCE REGROUPE'!J22+'[1]BALANCE REGROUPE'!J23+'[1]BALANCE REGROUPE'!J35</f>
        <v>0</v>
      </c>
      <c r="L14" s="243"/>
    </row>
    <row r="15" spans="2:15" ht="27.75" customHeight="1">
      <c r="B15" s="237" t="s">
        <v>61</v>
      </c>
      <c r="C15" s="1280" t="str">
        <f>IF([1]ACCUEIL!B1=1,"Uncalled capital contributors (*)","Apporteurs capital non appelé (*)")</f>
        <v>Apporteurs capital non appelé (*)</v>
      </c>
      <c r="D15" s="244"/>
      <c r="E15" s="244"/>
      <c r="F15" s="245"/>
      <c r="G15" s="246"/>
      <c r="H15" s="241">
        <v>13</v>
      </c>
      <c r="I15" s="247">
        <f>-'[1]CLASSE 1'!I56</f>
        <v>0</v>
      </c>
      <c r="J15" s="248">
        <f>-'[1]BALANCE REGROUPE'!I54</f>
        <v>0</v>
      </c>
      <c r="L15" s="243"/>
    </row>
    <row r="16" spans="2:15" ht="27.75" customHeight="1">
      <c r="B16" s="237" t="s">
        <v>62</v>
      </c>
      <c r="C16" s="1281" t="str">
        <f>IF([1]ACCUEIL!B1=1,"Share capital premiums","Primes liées au capital social")</f>
        <v>Primes liées au capital social</v>
      </c>
      <c r="D16" s="249"/>
      <c r="E16" s="249"/>
      <c r="F16" s="250"/>
      <c r="G16" s="251"/>
      <c r="H16" s="241">
        <v>14</v>
      </c>
      <c r="I16" s="242">
        <f>'[1]CLASSE 1'!J49</f>
        <v>0</v>
      </c>
      <c r="J16" s="242">
        <f>'[1]BALANCE REGROUPE'!J47</f>
        <v>0</v>
      </c>
      <c r="L16" s="243"/>
    </row>
    <row r="17" spans="2:12" ht="27.75" customHeight="1">
      <c r="B17" s="237" t="s">
        <v>63</v>
      </c>
      <c r="C17" s="1281" t="str">
        <f>IF([1]ACCUEIL!B1=1,"Revaluation difference","Ecart de réévaluation")</f>
        <v>Ecart de réévaluation</v>
      </c>
      <c r="D17" s="249"/>
      <c r="E17" s="249"/>
      <c r="F17" s="250"/>
      <c r="G17" s="251"/>
      <c r="H17" s="241" t="s">
        <v>64</v>
      </c>
      <c r="I17" s="252">
        <f>'[1]CLASSE 1'!J55</f>
        <v>0</v>
      </c>
      <c r="J17" s="253">
        <f>'[1]BALANCE REGROUPE'!J53</f>
        <v>0</v>
      </c>
      <c r="L17" s="243"/>
    </row>
    <row r="18" spans="2:12" ht="27.75" customHeight="1">
      <c r="B18" s="237" t="s">
        <v>65</v>
      </c>
      <c r="C18" s="1281" t="str">
        <f>IF([1]ACCUEIL!B1=1,"Unavailable reserves","Réserves indisponibles")</f>
        <v>Réserves indisponibles</v>
      </c>
      <c r="D18" s="249"/>
      <c r="E18" s="249"/>
      <c r="F18" s="250"/>
      <c r="G18" s="251"/>
      <c r="H18" s="241">
        <v>14</v>
      </c>
      <c r="I18" s="252">
        <f>'[1]CLASSE 1'!J57+'[1]CLASSE 1'!J58+'[1]CLASSE 1'!J68</f>
        <v>0</v>
      </c>
      <c r="J18" s="253">
        <f>'[1]BALANCE REGROUPE'!J55+'[1]BALANCE REGROUPE'!J56+'[1]BALANCE REGROUPE'!J66</f>
        <v>0</v>
      </c>
      <c r="K18" s="220"/>
      <c r="L18" s="243"/>
    </row>
    <row r="19" spans="2:12" ht="27.75" customHeight="1">
      <c r="B19" s="237" t="s">
        <v>66</v>
      </c>
      <c r="C19" s="1281" t="str">
        <f>IF([1]ACCUEIL!B1=1,"Free reserves","Réserves libres")</f>
        <v>Réserves libres</v>
      </c>
      <c r="D19" s="249"/>
      <c r="E19" s="249"/>
      <c r="F19" s="250"/>
      <c r="G19" s="251"/>
      <c r="H19" s="241">
        <v>14</v>
      </c>
      <c r="I19" s="252">
        <f>'[1]CLASSE 1'!J74</f>
        <v>0</v>
      </c>
      <c r="J19" s="253">
        <f>'[1]BALANCE REGROUPE'!J72</f>
        <v>0</v>
      </c>
      <c r="L19" s="243"/>
    </row>
    <row r="20" spans="2:12" ht="27.75" customHeight="1">
      <c r="B20" s="237" t="s">
        <v>67</v>
      </c>
      <c r="C20" s="1281" t="str">
        <f>IF([1]ACCUEIL!B1=1,"Retained earnings + or -","Report à nouveau    + ou -")</f>
        <v>Report à nouveau    + ou -</v>
      </c>
      <c r="D20" s="249"/>
      <c r="E20" s="249"/>
      <c r="F20" s="250"/>
      <c r="G20" s="251"/>
      <c r="H20" s="241">
        <v>14</v>
      </c>
      <c r="I20" s="254">
        <f>'[1]CLASSE 1'!K76</f>
        <v>0</v>
      </c>
      <c r="J20" s="255">
        <f>'[1]BALANCE REGROUPE'!K79</f>
        <v>0</v>
      </c>
      <c r="L20" s="243"/>
    </row>
    <row r="21" spans="2:12" ht="27.75" customHeight="1">
      <c r="B21" s="237" t="s">
        <v>68</v>
      </c>
      <c r="C21" s="1281" t="str">
        <f>IF([1]ACCUEIL!B1=1,"Net income for the year (profit + or loss -)","Résultat net de l'exercice (bénéfice + ou perte -)")</f>
        <v>Résultat net de l'exercice (bénéfice + ou perte -)</v>
      </c>
      <c r="D21" s="249"/>
      <c r="E21" s="249"/>
      <c r="F21" s="250"/>
      <c r="G21" s="251"/>
      <c r="H21" s="241"/>
      <c r="I21" s="254">
        <f ca="1">'COMPTE DE RESULTAT'!I140</f>
        <v>0</v>
      </c>
      <c r="J21" s="255">
        <f ca="1">'COMPTE DE RESULTAT'!J140</f>
        <v>0</v>
      </c>
      <c r="K21" s="256"/>
      <c r="L21" s="243"/>
    </row>
    <row r="22" spans="2:12" ht="27.75" customHeight="1">
      <c r="B22" s="237" t="s">
        <v>69</v>
      </c>
      <c r="C22" s="1281" t="str">
        <f>IF([1]ACCUEIL!B1=1,"Investment subsidies","Subventions d'investissement")</f>
        <v>Subventions d'investissement</v>
      </c>
      <c r="D22" s="249"/>
      <c r="E22" s="249"/>
      <c r="F22" s="250"/>
      <c r="G22" s="251"/>
      <c r="H22" s="241">
        <v>15</v>
      </c>
      <c r="I22" s="252">
        <f>'[1]CLASSE 1'!J123+'[1]CLASSE 1'!J124</f>
        <v>0</v>
      </c>
      <c r="J22" s="253">
        <f>'[1]BALANCE REGROUPE'!J121+'[1]BALANCE REGROUPE'!J122</f>
        <v>0</v>
      </c>
      <c r="K22" s="256"/>
      <c r="L22" s="243"/>
    </row>
    <row r="23" spans="2:12" ht="27.75" customHeight="1">
      <c r="B23" s="237" t="s">
        <v>70</v>
      </c>
      <c r="C23" s="1282" t="str">
        <f>IF([1]ACCUEIL!B1=1,"Regulated provisions","Provisions réglementées")</f>
        <v>Provisions réglementées</v>
      </c>
      <c r="D23" s="257"/>
      <c r="E23" s="257"/>
      <c r="F23" s="258"/>
      <c r="G23" s="259"/>
      <c r="H23" s="241">
        <v>15</v>
      </c>
      <c r="I23" s="260">
        <f>'[1]CLASSE 1'!J125+'[1]CLASSE 1'!J126+'[1]CLASSE 1'!J132+'[1]CLASSE 1'!J133+'[1]CLASSE 1'!J137+'[1]CLASSE 1'!J143+'[1]CLASSE 1'!J144+'[1]CLASSE 1'!J145</f>
        <v>0</v>
      </c>
      <c r="J23" s="261">
        <f>'[1]BALANCE REGROUPE'!J123+'[1]BALANCE REGROUPE'!J124+'[1]BALANCE REGROUPE'!J130+'[1]BALANCE REGROUPE'!J131+'[1]BALANCE REGROUPE'!J135+'[1]BALANCE REGROUPE'!J141+'[1]BALANCE REGROUPE'!J142+'[1]BALANCE REGROUPE'!J143</f>
        <v>0</v>
      </c>
      <c r="L23" s="243"/>
    </row>
    <row r="24" spans="2:12" ht="27.75" customHeight="1">
      <c r="B24" s="237" t="s">
        <v>71</v>
      </c>
      <c r="C24" s="238" t="str">
        <f>IF([1]ACCUEIL!B1=1,"TOTAL EQUITY AND SIMILAR RESOURCES","TOTAL CAPITAUX PROPRES ET RESSOURCES ASSIMILEES")</f>
        <v>TOTAL CAPITAUX PROPRES ET RESSOURCES ASSIMILEES</v>
      </c>
      <c r="D24" s="262"/>
      <c r="E24" s="262"/>
      <c r="F24" s="239"/>
      <c r="G24" s="240"/>
      <c r="H24" s="263"/>
      <c r="I24" s="264">
        <f ca="1">SUM(I14:I23)</f>
        <v>0</v>
      </c>
      <c r="J24" s="264">
        <f ca="1">SUM(J14:J23)</f>
        <v>0</v>
      </c>
      <c r="L24" s="243"/>
    </row>
    <row r="25" spans="2:12" ht="27.75" customHeight="1">
      <c r="B25" s="237" t="s">
        <v>72</v>
      </c>
      <c r="C25" s="1280" t="str">
        <f>IF([1]ACCUEIL!B1=1,"Other borrowings and financial debts","Emprunts et dettes financières diverses")</f>
        <v>Emprunts et dettes financières diverses</v>
      </c>
      <c r="D25" s="244"/>
      <c r="E25" s="244"/>
      <c r="F25" s="245"/>
      <c r="G25" s="246"/>
      <c r="H25" s="241">
        <v>16</v>
      </c>
      <c r="I25" s="242">
        <f>'[1]CLASSE 1'!J155+'[1]CLASSE 1'!J156+'[1]CLASSE 1'!J158+'[1]CLASSE 1'!J164+'[1]CLASSE 1'!J180+'[1]CLASSE 1'!J190+'[1]CLASSE 1'!J204+'[1]CLASSE 1'!J224+'[1]CLASSE 1'!J225+'[1]CLASSE 1'!J226+'[1]CLASSE 1'!J227+'[1]CLASSE 1'!J157</f>
        <v>0</v>
      </c>
      <c r="J25" s="242">
        <f>'[1]BALANCE REGROUPE'!J153+'[1]BALANCE REGROUPE'!J154+'[1]BALANCE REGROUPE'!J156+'[1]BALANCE REGROUPE'!J162+'[1]BALANCE REGROUPE'!J178+'[1]BALANCE REGROUPE'!J188+'[1]BALANCE REGROUPE'!J202+'[1]BALANCE REGROUPE'!J222+'[1]BALANCE REGROUPE'!J223+'[1]BALANCE REGROUPE'!J224+'[1]BALANCE REGROUPE'!J225+'[1]BALANCE REGROUPE'!J155</f>
        <v>0</v>
      </c>
      <c r="L25" s="243"/>
    </row>
    <row r="26" spans="2:12" ht="27.75" customHeight="1">
      <c r="B26" s="237" t="s">
        <v>73</v>
      </c>
      <c r="C26" s="1281" t="str">
        <f>IF([1]ACCUEIL!B1=1,"Leasing and acquisition debts","Dettes de location et acquisition")</f>
        <v>Dettes de location et acquisition</v>
      </c>
      <c r="D26" s="249"/>
      <c r="E26" s="249"/>
      <c r="F26" s="250"/>
      <c r="G26" s="251"/>
      <c r="H26" s="241">
        <v>16</v>
      </c>
      <c r="I26" s="242">
        <f>SUM('[1]CLASSE 1'!J205:J207)+'[1]CLASSE 1'!J217+'[1]CLASSE 1'!J218</f>
        <v>0</v>
      </c>
      <c r="J26" s="242">
        <f>'[1]BALANCE REGROUPE'!J203+'[1]BALANCE REGROUPE'!J204+'[1]BALANCE REGROUPE'!J205+'[1]BALANCE REGROUPE'!J215+'[1]BALANCE REGROUPE'!J216</f>
        <v>0</v>
      </c>
      <c r="L26" s="243"/>
    </row>
    <row r="27" spans="2:12" ht="27.75" customHeight="1">
      <c r="B27" s="237" t="s">
        <v>74</v>
      </c>
      <c r="C27" s="1282" t="str">
        <f>IF([1]ACCUEIL!B1=1,"Provisions for risks and charges","Provisions pour risques et charges")</f>
        <v>Provisions pour risques et charges</v>
      </c>
      <c r="D27" s="257"/>
      <c r="E27" s="257"/>
      <c r="F27" s="258"/>
      <c r="G27" s="259"/>
      <c r="H27" s="241">
        <v>16</v>
      </c>
      <c r="I27" s="242">
        <f>SUM('[1]CLASSE 1'!J237:J241)+'[1]CLASSE 1'!J247+'[1]CLASSE 1'!J248+'[1]CLASSE 1'!J260</f>
        <v>0</v>
      </c>
      <c r="J27" s="242">
        <f>SUM('[1]BALANCE REGROUPE'!J235:J239)+'[1]BALANCE REGROUPE'!J245+'[1]BALANCE REGROUPE'!J246+'[1]BALANCE REGROUPE'!J258</f>
        <v>0</v>
      </c>
      <c r="L27" s="243"/>
    </row>
    <row r="28" spans="2:12" ht="27.75" customHeight="1">
      <c r="B28" s="237" t="s">
        <v>75</v>
      </c>
      <c r="C28" s="238" t="str">
        <f>IF([1]ACCUEIL!B1=1,"TOTAL FINANCIAL DEBTS AND SIMILAR RESOURCES","TOTAL DETTES FINANCIERES ET RESSOURCES ASSIMILEES")</f>
        <v>TOTAL DETTES FINANCIERES ET RESSOURCES ASSIMILEES</v>
      </c>
      <c r="D28" s="262"/>
      <c r="E28" s="262"/>
      <c r="F28" s="239"/>
      <c r="G28" s="240"/>
      <c r="H28" s="265"/>
      <c r="I28" s="264">
        <f>SUM(I25:I27)</f>
        <v>0</v>
      </c>
      <c r="J28" s="264">
        <f>SUM(J25:J27)</f>
        <v>0</v>
      </c>
      <c r="L28" s="243"/>
    </row>
    <row r="29" spans="2:12" ht="27.75" customHeight="1">
      <c r="B29" s="237" t="s">
        <v>76</v>
      </c>
      <c r="C29" s="238" t="str">
        <f>IF([1]ACCUEIL!B1=1,"TOTAL STABLE RESOURCES","TOTAL RESSOUCES STABLES")</f>
        <v>TOTAL RESSOUCES STABLES</v>
      </c>
      <c r="D29" s="262"/>
      <c r="E29" s="262"/>
      <c r="F29" s="239"/>
      <c r="G29" s="240"/>
      <c r="H29" s="266"/>
      <c r="I29" s="264">
        <f ca="1">I24+I28</f>
        <v>0</v>
      </c>
      <c r="J29" s="264">
        <f ca="1">J24+J28</f>
        <v>0</v>
      </c>
      <c r="L29" s="243"/>
    </row>
    <row r="30" spans="2:12" ht="27.75" customHeight="1">
      <c r="B30" s="237" t="s">
        <v>77</v>
      </c>
      <c r="C30" s="1280" t="str">
        <f>IF([1]ACCUEIL!B1=1,"Current liabilities E.O.A.","Dettes circulantes H.A.O")</f>
        <v>Dettes circulantes H.A.O</v>
      </c>
      <c r="D30" s="244"/>
      <c r="E30" s="244"/>
      <c r="F30" s="245"/>
      <c r="G30" s="246"/>
      <c r="H30" s="241">
        <v>5</v>
      </c>
      <c r="I30" s="242">
        <f>'[1]CLASSE 4'!J421+'[1]CLASSE 4'!J427+'[1]CLASSE 4'!J428</f>
        <v>0</v>
      </c>
      <c r="J30" s="242">
        <f>'[1]BALANCE REGROUPE'!J1367+'[1]BALANCE REGROUPE'!J1373+'[1]BALANCE REGROUPE'!J1374</f>
        <v>0</v>
      </c>
      <c r="K30" s="220"/>
      <c r="L30" s="243"/>
    </row>
    <row r="31" spans="2:12" ht="27.75" customHeight="1">
      <c r="B31" s="237" t="s">
        <v>78</v>
      </c>
      <c r="C31" s="1281" t="str">
        <f>IF([1]ACCUEIL!B1=1,"Customers, advances received","Clients, avances reçues")</f>
        <v>Clients, avances reçues</v>
      </c>
      <c r="D31" s="249"/>
      <c r="E31" s="249"/>
      <c r="F31" s="250"/>
      <c r="G31" s="251"/>
      <c r="H31" s="241">
        <v>7</v>
      </c>
      <c r="I31" s="242">
        <f>'[1]CLASSE 4'!J121</f>
        <v>0</v>
      </c>
      <c r="J31" s="242">
        <f>'[1]BALANCE REGROUPE'!J1067</f>
        <v>0</v>
      </c>
      <c r="L31" s="243"/>
    </row>
    <row r="32" spans="2:12" ht="27.75" customHeight="1">
      <c r="B32" s="237" t="s">
        <v>79</v>
      </c>
      <c r="C32" s="1281" t="str">
        <f>IF([1]ACCUEIL!B1=1,"Operating suppliers","Fournisseurs d'exploitation")</f>
        <v>Fournisseurs d'exploitation</v>
      </c>
      <c r="D32" s="249"/>
      <c r="E32" s="249"/>
      <c r="F32" s="250"/>
      <c r="G32" s="251"/>
      <c r="H32" s="241">
        <v>17</v>
      </c>
      <c r="I32" s="242">
        <f>'[1]CLASSE 4'!J14+'[1]CLASSE 4'!J22+'[1]CLASSE 4'!J42+'[1]CLASSE 4'!J32</f>
        <v>0</v>
      </c>
      <c r="J32" s="242">
        <f>'[1]BALANCE REGROUPE'!J960+'[1]BALANCE REGROUPE'!J968+'[1]BALANCE REGROUPE'!J978+'[1]BALANCE REGROUPE'!J988</f>
        <v>0</v>
      </c>
      <c r="K32" s="220"/>
      <c r="L32" s="243"/>
    </row>
    <row r="33" spans="2:12" ht="27.75" customHeight="1">
      <c r="B33" s="237" t="s">
        <v>80</v>
      </c>
      <c r="C33" s="1281" t="str">
        <f>IF([1]ACCUEIL!B1=1,"Tax and social security liabilities","Dettes fiscales et sociales")</f>
        <v>Dettes fiscales et sociales</v>
      </c>
      <c r="D33" s="249"/>
      <c r="E33" s="249"/>
      <c r="F33" s="250"/>
      <c r="G33" s="251"/>
      <c r="H33" s="241">
        <v>18</v>
      </c>
      <c r="I33" s="242">
        <f>'[1]CLASSE 4'!J130+'[1]CLASSE 4'!J148+'[1]CLASSE 4'!J156+'[1]CLASSE 4'!J162+'[1]CLASSE 4'!J163+'[1]CLASSE 4'!J171+'[1]CLASSE 4'!J183+'[1]CLASSE 4'!J184+'[1]CLASSE 4'!J192+'[1]CLASSE 4'!J194+'[1]CLASSE 4'!J196+'[1]CLASSE 4'!J198+'[1]CLASSE 4'!J203+'[1]CLASSE 4'!J217+'[1]CLASSE 4'!J229+'[1]CLASSE 4'!J231+'[1]CLASSE 4'!J250+'[1]CLASSE 4'!J262+'[1]CLASSE 4'!J264+'[1]CLASSE 4'!J138</f>
        <v>0</v>
      </c>
      <c r="J33" s="242">
        <f>'[1]BALANCE REGROUPE'!J1076+'[1]BALANCE REGROUPE'!J1084+'[1]BALANCE REGROUPE'!J1094+'[1]BALANCE REGROUPE'!J1102+'[1]BALANCE REGROUPE'!J1108+'[1]BALANCE REGROUPE'!J1109+'[1]BALANCE REGROUPE'!J1117+'[1]BALANCE REGROUPE'!J1129+'[1]BALANCE REGROUPE'!J1130+'[1]BALANCE REGROUPE'!J1138+'[1]BALANCE REGROUPE'!J1148+'[1]BALANCE REGROUPE'!J1149+'[1]BALANCE REGROUPE'!J1163+'[1]BALANCE REGROUPE'!J1175+'[1]BALANCE REGROUPE'!J1177+'[1]BALANCE REGROUPE'!J1196+'[1]BALANCE REGROUPE'!J1208+'[1]BALANCE REGROUPE'!J1214+'[1]BALANCE REGROUPE'!J1216+'[1]BALANCE REGROUPE'!J1218+'[1]BALANCE REGROUPE'!J1220+'[1]BALANCE REGROUPE'!J1230+'[1]BALANCE REGROUPE'!J1235</f>
        <v>0</v>
      </c>
      <c r="K33" s="220"/>
      <c r="L33" s="243"/>
    </row>
    <row r="34" spans="2:12" ht="27.75" customHeight="1">
      <c r="B34" s="237" t="s">
        <v>81</v>
      </c>
      <c r="C34" s="1281" t="str">
        <f>IF([1]ACCUEIL!B1=1,"Other liabilities","Autres dettes")</f>
        <v>Autres dettes</v>
      </c>
      <c r="D34" s="249"/>
      <c r="E34" s="249"/>
      <c r="F34" s="250"/>
      <c r="G34" s="251"/>
      <c r="H34" s="241">
        <v>19</v>
      </c>
      <c r="I34" s="242">
        <f>'[1]CLASSE 4'!J302+'[1]CLASSE 4'!J304+'[1]CLASSE 4'!J306+'[1]CLASSE 4'!J310+'[1]CLASSE 4'!J312+'[1]CLASSE 4'!J320+'[1]CLASSE 4'!J326+'[1]CLASSE 4'!J327+'[1]CLASSE 4'!J328+'[1]CLASSE 4'!J333+'[1]CLASSE 4'!J335+'[1]CLASSE 4'!J337+'[1]CLASSE 4'!J339+'[1]CLASSE 4'!J343+'[1]CLASSE 4'!J345+'[1]CLASSE 4'!J357+'[1]CLASSE 4'!J361+'[1]CLASSE 4'!J363+'[1]CLASSE 4'!J369+'[1]CLASSE 4'!J375+'[1]CLASSE 4'!J379+'[1]CLASSE 1'!J231+'[1]CLASSE 4'!J349+'[1]CLASSE 4'!J351+'[1]CLASSE 4'!J287+'[1]CLASSE 4'!J288</f>
        <v>0</v>
      </c>
      <c r="J34" s="242">
        <f>'[1]BALANCE REGROUPE'!J1234+'[1]BALANCE REGROUPE'!J1233+'[1]BALANCE REGROUPE'!J1240+'[1]BALANCE REGROUPE'!J1260+'[1]BALANCE REGROUPE'!J1266+'[1]BALANCE REGROUPE'!J1272+'[1]BALANCE REGROUPE'!J1273+'[1]BALANCE REGROUPE'!J1274+'[1]BALANCE REGROUPE'!J1275+'[1]BALANCE REGROUPE'!J1279+'[1]BALANCE REGROUPE'!J1281+'[1]BALANCE REGROUPE'!J1283+'[1]BALANCE REGROUPE'!J1285+'[1]BALANCE REGROUPE'!J1289+'[1]BALANCE REGROUPE'!J1291+'[1]BALANCE REGROUPE'!J1301+'[1]BALANCE REGROUPE'!J1303+'[1]BALANCE REGROUPE'!J1305+'[1]BALANCE REGROUPE'!J1307+'[1]BALANCE REGROUPE'!J1309+'[1]BALANCE REGROUPE'!J1317+'[1]BALANCE REGROUPE'!J1321+'[1]BALANCE REGROUPE'!J1325+'[1]BALANCE REGROUPE'!J1295+'[1]BALANCE REGROUPE'!J1297+'[1]BALANCE REGROUPE'!J229</f>
        <v>0</v>
      </c>
      <c r="K34" s="220"/>
      <c r="L34" s="243"/>
    </row>
    <row r="35" spans="2:12" ht="27.75" customHeight="1">
      <c r="B35" s="237" t="s">
        <v>82</v>
      </c>
      <c r="C35" s="1282" t="str">
        <f>IF([1]ACCUEIL!B1=1,"Provisions for short-term risks","Provisions pour risques à court terme")</f>
        <v>Provisions pour risques à court terme</v>
      </c>
      <c r="D35" s="257"/>
      <c r="E35" s="257"/>
      <c r="F35" s="258"/>
      <c r="G35" s="259"/>
      <c r="H35" s="241">
        <v>28</v>
      </c>
      <c r="I35" s="242">
        <f>'[1]CLASSE 4'!J483-'[1]CLASSE 4'!J482+'[1]CLASSE 5'!J139</f>
        <v>0</v>
      </c>
      <c r="J35" s="242">
        <f>'[1]BALANCE REGROUPE'!J1428-'[1]BALANCE REGROUPE'!J1426+'[1]BALANCE REGROUPE'!J1564</f>
        <v>0</v>
      </c>
      <c r="L35" s="243"/>
    </row>
    <row r="36" spans="2:12" ht="27.75" customHeight="1">
      <c r="B36" s="237" t="s">
        <v>83</v>
      </c>
      <c r="C36" s="238" t="str">
        <f>IF([1]ACCUEIL!B1=1,"TOTAL CURRENT LIABILITIES","TOTAL PASSIF CIRCULANT")</f>
        <v>TOTAL PASSIF CIRCULANT</v>
      </c>
      <c r="D36" s="262"/>
      <c r="E36" s="262"/>
      <c r="F36" s="239"/>
      <c r="G36" s="240"/>
      <c r="H36" s="266"/>
      <c r="I36" s="264">
        <f>SUM(I30:I35)</f>
        <v>0</v>
      </c>
      <c r="J36" s="264">
        <f>SUM(J30:J35)</f>
        <v>0</v>
      </c>
      <c r="L36" s="243"/>
    </row>
    <row r="37" spans="2:12" ht="27.75" customHeight="1">
      <c r="B37" s="237" t="s">
        <v>84</v>
      </c>
      <c r="C37" s="1280" t="str">
        <f>IF([1]ACCUEIL!B1=1,"Banks, discount credits","Banques, crédits d'escompte")</f>
        <v>Banques, crédits d'escompte</v>
      </c>
      <c r="D37" s="267"/>
      <c r="E37" s="267"/>
      <c r="F37" s="245"/>
      <c r="G37" s="246"/>
      <c r="H37" s="241">
        <v>20</v>
      </c>
      <c r="I37" s="242">
        <f>'[1]CLASSE 5'!J109+'[1]CLASSE 5'!J110</f>
        <v>0</v>
      </c>
      <c r="J37" s="242">
        <f>'[1]BALANCE REGROUPE'!J1534+'[1]BALANCE REGROUPE'!J1535</f>
        <v>0</v>
      </c>
      <c r="L37" s="243"/>
    </row>
    <row r="38" spans="2:12" ht="27.75" customHeight="1">
      <c r="B38" s="237" t="s">
        <v>85</v>
      </c>
      <c r="C38" s="1282" t="str">
        <f>IF([1]ACCUEIL!B1=1,"Banks, financial institutions and treasury loans","Banques, établissements financiers et crédits de trésorerie")</f>
        <v>Banques, établissements financiers et crédits de trésorerie</v>
      </c>
      <c r="D38" s="268"/>
      <c r="E38" s="268"/>
      <c r="F38" s="258"/>
      <c r="G38" s="259"/>
      <c r="H38" s="265">
        <v>20</v>
      </c>
      <c r="I38" s="242">
        <f>'[1]CLASSE 5'!J79+'[1]CLASSE 5'!J108+'[1]CLASSE 5'!J111+'[1]CLASSE 5'!J86+'[1]CLASSE 5'!J75+'[1]CLASSE 5'!J77</f>
        <v>0</v>
      </c>
      <c r="J38" s="242">
        <f>'[1]BALANCE REGROUPE'!J1504+'[1]BALANCE REGROUPE'!J1511+'[1]BALANCE REGROUPE'!J1533+'[1]BALANCE REGROUPE'!J1536+'[1]BALANCE REGROUPE'!J1500+'[1]BALANCE REGROUPE'!J1502</f>
        <v>0</v>
      </c>
      <c r="K38" s="220"/>
      <c r="L38" s="243"/>
    </row>
    <row r="39" spans="2:12" ht="27.75" customHeight="1">
      <c r="B39" s="237" t="s">
        <v>86</v>
      </c>
      <c r="C39" s="238" t="str">
        <f>IF([1]ACCUEIL!B1=1,"TOTAL CASH LIABILITIES","TOTAL TRESORERIE PASSIF")</f>
        <v>TOTAL TRESORERIE PASSIF</v>
      </c>
      <c r="D39" s="262"/>
      <c r="E39" s="262"/>
      <c r="F39" s="239"/>
      <c r="G39" s="240"/>
      <c r="H39" s="266"/>
      <c r="I39" s="242">
        <f>SUM(I37:I38)</f>
        <v>0</v>
      </c>
      <c r="J39" s="242">
        <f>SUM(J37:J38)</f>
        <v>0</v>
      </c>
      <c r="L39" s="243"/>
    </row>
    <row r="40" spans="2:12" ht="27.75" customHeight="1">
      <c r="B40" s="237" t="s">
        <v>87</v>
      </c>
      <c r="C40" s="1283" t="str">
        <f>IF([1]ACCUEIL!B1=1,"Translation adjustment - liabilities","Ecart de conversion-passif")</f>
        <v>Ecart de conversion-passif</v>
      </c>
      <c r="D40" s="269"/>
      <c r="E40" s="269"/>
      <c r="F40" s="270"/>
      <c r="G40" s="271"/>
      <c r="H40" s="241">
        <v>12</v>
      </c>
      <c r="I40" s="242">
        <f>'[1]CLASSE 4'!J407</f>
        <v>0</v>
      </c>
      <c r="J40" s="242">
        <f>'[1]BALANCE REGROUPE'!J1353</f>
        <v>0</v>
      </c>
      <c r="L40" s="243"/>
    </row>
    <row r="41" spans="2:12" ht="27.75" customHeight="1">
      <c r="B41" s="237" t="s">
        <v>88</v>
      </c>
      <c r="C41" s="238" t="s">
        <v>58</v>
      </c>
      <c r="D41" s="262"/>
      <c r="E41" s="262"/>
      <c r="F41" s="239"/>
      <c r="G41" s="240"/>
      <c r="H41" s="266"/>
      <c r="I41" s="264">
        <f ca="1">I29+I36+I39+I40</f>
        <v>0</v>
      </c>
      <c r="J41" s="264">
        <f ca="1">J29+J36+J39+J40</f>
        <v>0</v>
      </c>
      <c r="K41" s="220"/>
      <c r="L41" s="243"/>
    </row>
    <row r="42" spans="2:12" ht="15"/>
    <row r="43" spans="2:12" ht="15"/>
    <row r="44" spans="2:12" ht="15"/>
    <row r="45" spans="2:12" ht="15"/>
    <row r="46" spans="2:12" ht="15"/>
    <row r="47" spans="2:12" ht="15"/>
  </sheetData>
  <sheetProtection selectLockedCells="1" selectUnlockedCells="1"/>
  <mergeCells count="10">
    <mergeCell ref="B1:J1"/>
    <mergeCell ref="I2:J3"/>
    <mergeCell ref="K5:M5"/>
    <mergeCell ref="E7:G7"/>
    <mergeCell ref="B9:J9"/>
    <mergeCell ref="B11:B13"/>
    <mergeCell ref="C11:G13"/>
    <mergeCell ref="H11:H13"/>
    <mergeCell ref="I11:I12"/>
    <mergeCell ref="J11:J12"/>
  </mergeCells>
  <conditionalFormatting sqref="K5:M6">
    <cfRule type="expression" dxfId="53" priority="1">
      <formula>#REF!=1</formula>
    </cfRule>
  </conditionalFormatting>
  <printOptions horizontalCentered="1"/>
  <pageMargins left="0.78740157480314965" right="0" top="0.39370078740157483" bottom="0" header="0.15748031496062992" footer="0.15748031496062992"/>
  <pageSetup paperSize="9" scale="77" orientation="portrait" r:id="rId1"/>
  <headerFooter>
    <oddHeader>&amp;C&amp;"-,Gras"&amp;14Page &amp;P / &amp;N</oddHead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54">
    <pageSetUpPr fitToPage="1"/>
  </sheetPr>
  <dimension ref="B1:O42"/>
  <sheetViews>
    <sheetView showZeros="0" topLeftCell="D4" zoomScale="80" zoomScaleNormal="80" workbookViewId="0">
      <selection activeCell="S10" sqref="S10"/>
    </sheetView>
  </sheetViews>
  <sheetFormatPr baseColWidth="10" defaultColWidth="11.5703125" defaultRowHeight="12"/>
  <cols>
    <col min="1" max="1" width="2.42578125" style="274" customWidth="1"/>
    <col min="2" max="2" width="4.42578125" style="309" customWidth="1"/>
    <col min="3" max="3" width="23.28515625" style="309" customWidth="1"/>
    <col min="4" max="4" width="13.85546875" style="309" customWidth="1"/>
    <col min="5" max="5" width="14.7109375" style="274" customWidth="1"/>
    <col min="6" max="6" width="6.140625" style="274" customWidth="1"/>
    <col min="7" max="7" width="16.85546875" style="274" customWidth="1"/>
    <col min="8" max="8" width="17.42578125" style="274" customWidth="1"/>
    <col min="9" max="9" width="16.42578125" style="274" customWidth="1"/>
    <col min="10" max="10" width="21" style="274" bestFit="1" customWidth="1"/>
    <col min="11" max="11" width="5.28515625" style="274" customWidth="1"/>
    <col min="12" max="12" width="41.42578125" style="274" customWidth="1"/>
    <col min="13" max="13" width="6.140625" style="274" customWidth="1"/>
    <col min="14" max="15" width="21" style="274" bestFit="1" customWidth="1"/>
    <col min="16" max="257" width="11.5703125" style="274"/>
    <col min="258" max="258" width="4.42578125" style="274" customWidth="1"/>
    <col min="259" max="259" width="19.42578125" style="274" customWidth="1"/>
    <col min="260" max="260" width="15.7109375" style="274" customWidth="1"/>
    <col min="261" max="261" width="15.28515625" style="274" customWidth="1"/>
    <col min="262" max="262" width="6.140625" style="274" customWidth="1"/>
    <col min="263" max="266" width="15.7109375" style="274" customWidth="1"/>
    <col min="267" max="267" width="4.42578125" style="274" customWidth="1"/>
    <col min="268" max="268" width="41.42578125" style="274" customWidth="1"/>
    <col min="269" max="269" width="6.140625" style="274" customWidth="1"/>
    <col min="270" max="271" width="15.7109375" style="274" customWidth="1"/>
    <col min="272" max="513" width="11.5703125" style="274"/>
    <col min="514" max="514" width="4.42578125" style="274" customWidth="1"/>
    <col min="515" max="515" width="19.42578125" style="274" customWidth="1"/>
    <col min="516" max="516" width="15.7109375" style="274" customWidth="1"/>
    <col min="517" max="517" width="15.28515625" style="274" customWidth="1"/>
    <col min="518" max="518" width="6.140625" style="274" customWidth="1"/>
    <col min="519" max="522" width="15.7109375" style="274" customWidth="1"/>
    <col min="523" max="523" width="4.42578125" style="274" customWidth="1"/>
    <col min="524" max="524" width="41.42578125" style="274" customWidth="1"/>
    <col min="525" max="525" width="6.140625" style="274" customWidth="1"/>
    <col min="526" max="527" width="15.7109375" style="274" customWidth="1"/>
    <col min="528" max="769" width="11.5703125" style="274"/>
    <col min="770" max="770" width="4.42578125" style="274" customWidth="1"/>
    <col min="771" max="771" width="19.42578125" style="274" customWidth="1"/>
    <col min="772" max="772" width="15.7109375" style="274" customWidth="1"/>
    <col min="773" max="773" width="15.28515625" style="274" customWidth="1"/>
    <col min="774" max="774" width="6.140625" style="274" customWidth="1"/>
    <col min="775" max="778" width="15.7109375" style="274" customWidth="1"/>
    <col min="779" max="779" width="4.42578125" style="274" customWidth="1"/>
    <col min="780" max="780" width="41.42578125" style="274" customWidth="1"/>
    <col min="781" max="781" width="6.140625" style="274" customWidth="1"/>
    <col min="782" max="783" width="15.7109375" style="274" customWidth="1"/>
    <col min="784" max="1025" width="11.5703125" style="274"/>
    <col min="1026" max="1026" width="4.42578125" style="274" customWidth="1"/>
    <col min="1027" max="1027" width="19.42578125" style="274" customWidth="1"/>
    <col min="1028" max="1028" width="15.7109375" style="274" customWidth="1"/>
    <col min="1029" max="1029" width="15.28515625" style="274" customWidth="1"/>
    <col min="1030" max="1030" width="6.140625" style="274" customWidth="1"/>
    <col min="1031" max="1034" width="15.7109375" style="274" customWidth="1"/>
    <col min="1035" max="1035" width="4.42578125" style="274" customWidth="1"/>
    <col min="1036" max="1036" width="41.42578125" style="274" customWidth="1"/>
    <col min="1037" max="1037" width="6.140625" style="274" customWidth="1"/>
    <col min="1038" max="1039" width="15.7109375" style="274" customWidth="1"/>
    <col min="1040" max="1281" width="11.5703125" style="274"/>
    <col min="1282" max="1282" width="4.42578125" style="274" customWidth="1"/>
    <col min="1283" max="1283" width="19.42578125" style="274" customWidth="1"/>
    <col min="1284" max="1284" width="15.7109375" style="274" customWidth="1"/>
    <col min="1285" max="1285" width="15.28515625" style="274" customWidth="1"/>
    <col min="1286" max="1286" width="6.140625" style="274" customWidth="1"/>
    <col min="1287" max="1290" width="15.7109375" style="274" customWidth="1"/>
    <col min="1291" max="1291" width="4.42578125" style="274" customWidth="1"/>
    <col min="1292" max="1292" width="41.42578125" style="274" customWidth="1"/>
    <col min="1293" max="1293" width="6.140625" style="274" customWidth="1"/>
    <col min="1294" max="1295" width="15.7109375" style="274" customWidth="1"/>
    <col min="1296" max="1537" width="11.5703125" style="274"/>
    <col min="1538" max="1538" width="4.42578125" style="274" customWidth="1"/>
    <col min="1539" max="1539" width="19.42578125" style="274" customWidth="1"/>
    <col min="1540" max="1540" width="15.7109375" style="274" customWidth="1"/>
    <col min="1541" max="1541" width="15.28515625" style="274" customWidth="1"/>
    <col min="1542" max="1542" width="6.140625" style="274" customWidth="1"/>
    <col min="1543" max="1546" width="15.7109375" style="274" customWidth="1"/>
    <col min="1547" max="1547" width="4.42578125" style="274" customWidth="1"/>
    <col min="1548" max="1548" width="41.42578125" style="274" customWidth="1"/>
    <col min="1549" max="1549" width="6.140625" style="274" customWidth="1"/>
    <col min="1550" max="1551" width="15.7109375" style="274" customWidth="1"/>
    <col min="1552" max="1793" width="11.5703125" style="274"/>
    <col min="1794" max="1794" width="4.42578125" style="274" customWidth="1"/>
    <col min="1795" max="1795" width="19.42578125" style="274" customWidth="1"/>
    <col min="1796" max="1796" width="15.7109375" style="274" customWidth="1"/>
    <col min="1797" max="1797" width="15.28515625" style="274" customWidth="1"/>
    <col min="1798" max="1798" width="6.140625" style="274" customWidth="1"/>
    <col min="1799" max="1802" width="15.7109375" style="274" customWidth="1"/>
    <col min="1803" max="1803" width="4.42578125" style="274" customWidth="1"/>
    <col min="1804" max="1804" width="41.42578125" style="274" customWidth="1"/>
    <col min="1805" max="1805" width="6.140625" style="274" customWidth="1"/>
    <col min="1806" max="1807" width="15.7109375" style="274" customWidth="1"/>
    <col min="1808" max="2049" width="11.5703125" style="274"/>
    <col min="2050" max="2050" width="4.42578125" style="274" customWidth="1"/>
    <col min="2051" max="2051" width="19.42578125" style="274" customWidth="1"/>
    <col min="2052" max="2052" width="15.7109375" style="274" customWidth="1"/>
    <col min="2053" max="2053" width="15.28515625" style="274" customWidth="1"/>
    <col min="2054" max="2054" width="6.140625" style="274" customWidth="1"/>
    <col min="2055" max="2058" width="15.7109375" style="274" customWidth="1"/>
    <col min="2059" max="2059" width="4.42578125" style="274" customWidth="1"/>
    <col min="2060" max="2060" width="41.42578125" style="274" customWidth="1"/>
    <col min="2061" max="2061" width="6.140625" style="274" customWidth="1"/>
    <col min="2062" max="2063" width="15.7109375" style="274" customWidth="1"/>
    <col min="2064" max="2305" width="11.5703125" style="274"/>
    <col min="2306" max="2306" width="4.42578125" style="274" customWidth="1"/>
    <col min="2307" max="2307" width="19.42578125" style="274" customWidth="1"/>
    <col min="2308" max="2308" width="15.7109375" style="274" customWidth="1"/>
    <col min="2309" max="2309" width="15.28515625" style="274" customWidth="1"/>
    <col min="2310" max="2310" width="6.140625" style="274" customWidth="1"/>
    <col min="2311" max="2314" width="15.7109375" style="274" customWidth="1"/>
    <col min="2315" max="2315" width="4.42578125" style="274" customWidth="1"/>
    <col min="2316" max="2316" width="41.42578125" style="274" customWidth="1"/>
    <col min="2317" max="2317" width="6.140625" style="274" customWidth="1"/>
    <col min="2318" max="2319" width="15.7109375" style="274" customWidth="1"/>
    <col min="2320" max="2561" width="11.5703125" style="274"/>
    <col min="2562" max="2562" width="4.42578125" style="274" customWidth="1"/>
    <col min="2563" max="2563" width="19.42578125" style="274" customWidth="1"/>
    <col min="2564" max="2564" width="15.7109375" style="274" customWidth="1"/>
    <col min="2565" max="2565" width="15.28515625" style="274" customWidth="1"/>
    <col min="2566" max="2566" width="6.140625" style="274" customWidth="1"/>
    <col min="2567" max="2570" width="15.7109375" style="274" customWidth="1"/>
    <col min="2571" max="2571" width="4.42578125" style="274" customWidth="1"/>
    <col min="2572" max="2572" width="41.42578125" style="274" customWidth="1"/>
    <col min="2573" max="2573" width="6.140625" style="274" customWidth="1"/>
    <col min="2574" max="2575" width="15.7109375" style="274" customWidth="1"/>
    <col min="2576" max="2817" width="11.5703125" style="274"/>
    <col min="2818" max="2818" width="4.42578125" style="274" customWidth="1"/>
    <col min="2819" max="2819" width="19.42578125" style="274" customWidth="1"/>
    <col min="2820" max="2820" width="15.7109375" style="274" customWidth="1"/>
    <col min="2821" max="2821" width="15.28515625" style="274" customWidth="1"/>
    <col min="2822" max="2822" width="6.140625" style="274" customWidth="1"/>
    <col min="2823" max="2826" width="15.7109375" style="274" customWidth="1"/>
    <col min="2827" max="2827" width="4.42578125" style="274" customWidth="1"/>
    <col min="2828" max="2828" width="41.42578125" style="274" customWidth="1"/>
    <col min="2829" max="2829" width="6.140625" style="274" customWidth="1"/>
    <col min="2830" max="2831" width="15.7109375" style="274" customWidth="1"/>
    <col min="2832" max="3073" width="11.5703125" style="274"/>
    <col min="3074" max="3074" width="4.42578125" style="274" customWidth="1"/>
    <col min="3075" max="3075" width="19.42578125" style="274" customWidth="1"/>
    <col min="3076" max="3076" width="15.7109375" style="274" customWidth="1"/>
    <col min="3077" max="3077" width="15.28515625" style="274" customWidth="1"/>
    <col min="3078" max="3078" width="6.140625" style="274" customWidth="1"/>
    <col min="3079" max="3082" width="15.7109375" style="274" customWidth="1"/>
    <col min="3083" max="3083" width="4.42578125" style="274" customWidth="1"/>
    <col min="3084" max="3084" width="41.42578125" style="274" customWidth="1"/>
    <col min="3085" max="3085" width="6.140625" style="274" customWidth="1"/>
    <col min="3086" max="3087" width="15.7109375" style="274" customWidth="1"/>
    <col min="3088" max="3329" width="11.5703125" style="274"/>
    <col min="3330" max="3330" width="4.42578125" style="274" customWidth="1"/>
    <col min="3331" max="3331" width="19.42578125" style="274" customWidth="1"/>
    <col min="3332" max="3332" width="15.7109375" style="274" customWidth="1"/>
    <col min="3333" max="3333" width="15.28515625" style="274" customWidth="1"/>
    <col min="3334" max="3334" width="6.140625" style="274" customWidth="1"/>
    <col min="3335" max="3338" width="15.7109375" style="274" customWidth="1"/>
    <col min="3339" max="3339" width="4.42578125" style="274" customWidth="1"/>
    <col min="3340" max="3340" width="41.42578125" style="274" customWidth="1"/>
    <col min="3341" max="3341" width="6.140625" style="274" customWidth="1"/>
    <col min="3342" max="3343" width="15.7109375" style="274" customWidth="1"/>
    <col min="3344" max="3585" width="11.5703125" style="274"/>
    <col min="3586" max="3586" width="4.42578125" style="274" customWidth="1"/>
    <col min="3587" max="3587" width="19.42578125" style="274" customWidth="1"/>
    <col min="3588" max="3588" width="15.7109375" style="274" customWidth="1"/>
    <col min="3589" max="3589" width="15.28515625" style="274" customWidth="1"/>
    <col min="3590" max="3590" width="6.140625" style="274" customWidth="1"/>
    <col min="3591" max="3594" width="15.7109375" style="274" customWidth="1"/>
    <col min="3595" max="3595" width="4.42578125" style="274" customWidth="1"/>
    <col min="3596" max="3596" width="41.42578125" style="274" customWidth="1"/>
    <col min="3597" max="3597" width="6.140625" style="274" customWidth="1"/>
    <col min="3598" max="3599" width="15.7109375" style="274" customWidth="1"/>
    <col min="3600" max="3841" width="11.5703125" style="274"/>
    <col min="3842" max="3842" width="4.42578125" style="274" customWidth="1"/>
    <col min="3843" max="3843" width="19.42578125" style="274" customWidth="1"/>
    <col min="3844" max="3844" width="15.7109375" style="274" customWidth="1"/>
    <col min="3845" max="3845" width="15.28515625" style="274" customWidth="1"/>
    <col min="3846" max="3846" width="6.140625" style="274" customWidth="1"/>
    <col min="3847" max="3850" width="15.7109375" style="274" customWidth="1"/>
    <col min="3851" max="3851" width="4.42578125" style="274" customWidth="1"/>
    <col min="3852" max="3852" width="41.42578125" style="274" customWidth="1"/>
    <col min="3853" max="3853" width="6.140625" style="274" customWidth="1"/>
    <col min="3854" max="3855" width="15.7109375" style="274" customWidth="1"/>
    <col min="3856" max="4097" width="11.5703125" style="274"/>
    <col min="4098" max="4098" width="4.42578125" style="274" customWidth="1"/>
    <col min="4099" max="4099" width="19.42578125" style="274" customWidth="1"/>
    <col min="4100" max="4100" width="15.7109375" style="274" customWidth="1"/>
    <col min="4101" max="4101" width="15.28515625" style="274" customWidth="1"/>
    <col min="4102" max="4102" width="6.140625" style="274" customWidth="1"/>
    <col min="4103" max="4106" width="15.7109375" style="274" customWidth="1"/>
    <col min="4107" max="4107" width="4.42578125" style="274" customWidth="1"/>
    <col min="4108" max="4108" width="41.42578125" style="274" customWidth="1"/>
    <col min="4109" max="4109" width="6.140625" style="274" customWidth="1"/>
    <col min="4110" max="4111" width="15.7109375" style="274" customWidth="1"/>
    <col min="4112" max="4353" width="11.5703125" style="274"/>
    <col min="4354" max="4354" width="4.42578125" style="274" customWidth="1"/>
    <col min="4355" max="4355" width="19.42578125" style="274" customWidth="1"/>
    <col min="4356" max="4356" width="15.7109375" style="274" customWidth="1"/>
    <col min="4357" max="4357" width="15.28515625" style="274" customWidth="1"/>
    <col min="4358" max="4358" width="6.140625" style="274" customWidth="1"/>
    <col min="4359" max="4362" width="15.7109375" style="274" customWidth="1"/>
    <col min="4363" max="4363" width="4.42578125" style="274" customWidth="1"/>
    <col min="4364" max="4364" width="41.42578125" style="274" customWidth="1"/>
    <col min="4365" max="4365" width="6.140625" style="274" customWidth="1"/>
    <col min="4366" max="4367" width="15.7109375" style="274" customWidth="1"/>
    <col min="4368" max="4609" width="11.5703125" style="274"/>
    <col min="4610" max="4610" width="4.42578125" style="274" customWidth="1"/>
    <col min="4611" max="4611" width="19.42578125" style="274" customWidth="1"/>
    <col min="4612" max="4612" width="15.7109375" style="274" customWidth="1"/>
    <col min="4613" max="4613" width="15.28515625" style="274" customWidth="1"/>
    <col min="4614" max="4614" width="6.140625" style="274" customWidth="1"/>
    <col min="4615" max="4618" width="15.7109375" style="274" customWidth="1"/>
    <col min="4619" max="4619" width="4.42578125" style="274" customWidth="1"/>
    <col min="4620" max="4620" width="41.42578125" style="274" customWidth="1"/>
    <col min="4621" max="4621" width="6.140625" style="274" customWidth="1"/>
    <col min="4622" max="4623" width="15.7109375" style="274" customWidth="1"/>
    <col min="4624" max="4865" width="11.5703125" style="274"/>
    <col min="4866" max="4866" width="4.42578125" style="274" customWidth="1"/>
    <col min="4867" max="4867" width="19.42578125" style="274" customWidth="1"/>
    <col min="4868" max="4868" width="15.7109375" style="274" customWidth="1"/>
    <col min="4869" max="4869" width="15.28515625" style="274" customWidth="1"/>
    <col min="4870" max="4870" width="6.140625" style="274" customWidth="1"/>
    <col min="4871" max="4874" width="15.7109375" style="274" customWidth="1"/>
    <col min="4875" max="4875" width="4.42578125" style="274" customWidth="1"/>
    <col min="4876" max="4876" width="41.42578125" style="274" customWidth="1"/>
    <col min="4877" max="4877" width="6.140625" style="274" customWidth="1"/>
    <col min="4878" max="4879" width="15.7109375" style="274" customWidth="1"/>
    <col min="4880" max="5121" width="11.5703125" style="274"/>
    <col min="5122" max="5122" width="4.42578125" style="274" customWidth="1"/>
    <col min="5123" max="5123" width="19.42578125" style="274" customWidth="1"/>
    <col min="5124" max="5124" width="15.7109375" style="274" customWidth="1"/>
    <col min="5125" max="5125" width="15.28515625" style="274" customWidth="1"/>
    <col min="5126" max="5126" width="6.140625" style="274" customWidth="1"/>
    <col min="5127" max="5130" width="15.7109375" style="274" customWidth="1"/>
    <col min="5131" max="5131" width="4.42578125" style="274" customWidth="1"/>
    <col min="5132" max="5132" width="41.42578125" style="274" customWidth="1"/>
    <col min="5133" max="5133" width="6.140625" style="274" customWidth="1"/>
    <col min="5134" max="5135" width="15.7109375" style="274" customWidth="1"/>
    <col min="5136" max="5377" width="11.5703125" style="274"/>
    <col min="5378" max="5378" width="4.42578125" style="274" customWidth="1"/>
    <col min="5379" max="5379" width="19.42578125" style="274" customWidth="1"/>
    <col min="5380" max="5380" width="15.7109375" style="274" customWidth="1"/>
    <col min="5381" max="5381" width="15.28515625" style="274" customWidth="1"/>
    <col min="5382" max="5382" width="6.140625" style="274" customWidth="1"/>
    <col min="5383" max="5386" width="15.7109375" style="274" customWidth="1"/>
    <col min="5387" max="5387" width="4.42578125" style="274" customWidth="1"/>
    <col min="5388" max="5388" width="41.42578125" style="274" customWidth="1"/>
    <col min="5389" max="5389" width="6.140625" style="274" customWidth="1"/>
    <col min="5390" max="5391" width="15.7109375" style="274" customWidth="1"/>
    <col min="5392" max="5633" width="11.5703125" style="274"/>
    <col min="5634" max="5634" width="4.42578125" style="274" customWidth="1"/>
    <col min="5635" max="5635" width="19.42578125" style="274" customWidth="1"/>
    <col min="5636" max="5636" width="15.7109375" style="274" customWidth="1"/>
    <col min="5637" max="5637" width="15.28515625" style="274" customWidth="1"/>
    <col min="5638" max="5638" width="6.140625" style="274" customWidth="1"/>
    <col min="5639" max="5642" width="15.7109375" style="274" customWidth="1"/>
    <col min="5643" max="5643" width="4.42578125" style="274" customWidth="1"/>
    <col min="5644" max="5644" width="41.42578125" style="274" customWidth="1"/>
    <col min="5645" max="5645" width="6.140625" style="274" customWidth="1"/>
    <col min="5646" max="5647" width="15.7109375" style="274" customWidth="1"/>
    <col min="5648" max="5889" width="11.5703125" style="274"/>
    <col min="5890" max="5890" width="4.42578125" style="274" customWidth="1"/>
    <col min="5891" max="5891" width="19.42578125" style="274" customWidth="1"/>
    <col min="5892" max="5892" width="15.7109375" style="274" customWidth="1"/>
    <col min="5893" max="5893" width="15.28515625" style="274" customWidth="1"/>
    <col min="5894" max="5894" width="6.140625" style="274" customWidth="1"/>
    <col min="5895" max="5898" width="15.7109375" style="274" customWidth="1"/>
    <col min="5899" max="5899" width="4.42578125" style="274" customWidth="1"/>
    <col min="5900" max="5900" width="41.42578125" style="274" customWidth="1"/>
    <col min="5901" max="5901" width="6.140625" style="274" customWidth="1"/>
    <col min="5902" max="5903" width="15.7109375" style="274" customWidth="1"/>
    <col min="5904" max="6145" width="11.5703125" style="274"/>
    <col min="6146" max="6146" width="4.42578125" style="274" customWidth="1"/>
    <col min="6147" max="6147" width="19.42578125" style="274" customWidth="1"/>
    <col min="6148" max="6148" width="15.7109375" style="274" customWidth="1"/>
    <col min="6149" max="6149" width="15.28515625" style="274" customWidth="1"/>
    <col min="6150" max="6150" width="6.140625" style="274" customWidth="1"/>
    <col min="6151" max="6154" width="15.7109375" style="274" customWidth="1"/>
    <col min="6155" max="6155" width="4.42578125" style="274" customWidth="1"/>
    <col min="6156" max="6156" width="41.42578125" style="274" customWidth="1"/>
    <col min="6157" max="6157" width="6.140625" style="274" customWidth="1"/>
    <col min="6158" max="6159" width="15.7109375" style="274" customWidth="1"/>
    <col min="6160" max="6401" width="11.5703125" style="274"/>
    <col min="6402" max="6402" width="4.42578125" style="274" customWidth="1"/>
    <col min="6403" max="6403" width="19.42578125" style="274" customWidth="1"/>
    <col min="6404" max="6404" width="15.7109375" style="274" customWidth="1"/>
    <col min="6405" max="6405" width="15.28515625" style="274" customWidth="1"/>
    <col min="6406" max="6406" width="6.140625" style="274" customWidth="1"/>
    <col min="6407" max="6410" width="15.7109375" style="274" customWidth="1"/>
    <col min="6411" max="6411" width="4.42578125" style="274" customWidth="1"/>
    <col min="6412" max="6412" width="41.42578125" style="274" customWidth="1"/>
    <col min="6413" max="6413" width="6.140625" style="274" customWidth="1"/>
    <col min="6414" max="6415" width="15.7109375" style="274" customWidth="1"/>
    <col min="6416" max="6657" width="11.5703125" style="274"/>
    <col min="6658" max="6658" width="4.42578125" style="274" customWidth="1"/>
    <col min="6659" max="6659" width="19.42578125" style="274" customWidth="1"/>
    <col min="6660" max="6660" width="15.7109375" style="274" customWidth="1"/>
    <col min="6661" max="6661" width="15.28515625" style="274" customWidth="1"/>
    <col min="6662" max="6662" width="6.140625" style="274" customWidth="1"/>
    <col min="6663" max="6666" width="15.7109375" style="274" customWidth="1"/>
    <col min="6667" max="6667" width="4.42578125" style="274" customWidth="1"/>
    <col min="6668" max="6668" width="41.42578125" style="274" customWidth="1"/>
    <col min="6669" max="6669" width="6.140625" style="274" customWidth="1"/>
    <col min="6670" max="6671" width="15.7109375" style="274" customWidth="1"/>
    <col min="6672" max="6913" width="11.5703125" style="274"/>
    <col min="6914" max="6914" width="4.42578125" style="274" customWidth="1"/>
    <col min="6915" max="6915" width="19.42578125" style="274" customWidth="1"/>
    <col min="6916" max="6916" width="15.7109375" style="274" customWidth="1"/>
    <col min="6917" max="6917" width="15.28515625" style="274" customWidth="1"/>
    <col min="6918" max="6918" width="6.140625" style="274" customWidth="1"/>
    <col min="6919" max="6922" width="15.7109375" style="274" customWidth="1"/>
    <col min="6923" max="6923" width="4.42578125" style="274" customWidth="1"/>
    <col min="6924" max="6924" width="41.42578125" style="274" customWidth="1"/>
    <col min="6925" max="6925" width="6.140625" style="274" customWidth="1"/>
    <col min="6926" max="6927" width="15.7109375" style="274" customWidth="1"/>
    <col min="6928" max="7169" width="11.5703125" style="274"/>
    <col min="7170" max="7170" width="4.42578125" style="274" customWidth="1"/>
    <col min="7171" max="7171" width="19.42578125" style="274" customWidth="1"/>
    <col min="7172" max="7172" width="15.7109375" style="274" customWidth="1"/>
    <col min="7173" max="7173" width="15.28515625" style="274" customWidth="1"/>
    <col min="7174" max="7174" width="6.140625" style="274" customWidth="1"/>
    <col min="7175" max="7178" width="15.7109375" style="274" customWidth="1"/>
    <col min="7179" max="7179" width="4.42578125" style="274" customWidth="1"/>
    <col min="7180" max="7180" width="41.42578125" style="274" customWidth="1"/>
    <col min="7181" max="7181" width="6.140625" style="274" customWidth="1"/>
    <col min="7182" max="7183" width="15.7109375" style="274" customWidth="1"/>
    <col min="7184" max="7425" width="11.5703125" style="274"/>
    <col min="7426" max="7426" width="4.42578125" style="274" customWidth="1"/>
    <col min="7427" max="7427" width="19.42578125" style="274" customWidth="1"/>
    <col min="7428" max="7428" width="15.7109375" style="274" customWidth="1"/>
    <col min="7429" max="7429" width="15.28515625" style="274" customWidth="1"/>
    <col min="7430" max="7430" width="6.140625" style="274" customWidth="1"/>
    <col min="7431" max="7434" width="15.7109375" style="274" customWidth="1"/>
    <col min="7435" max="7435" width="4.42578125" style="274" customWidth="1"/>
    <col min="7436" max="7436" width="41.42578125" style="274" customWidth="1"/>
    <col min="7437" max="7437" width="6.140625" style="274" customWidth="1"/>
    <col min="7438" max="7439" width="15.7109375" style="274" customWidth="1"/>
    <col min="7440" max="7681" width="11.5703125" style="274"/>
    <col min="7682" max="7682" width="4.42578125" style="274" customWidth="1"/>
    <col min="7683" max="7683" width="19.42578125" style="274" customWidth="1"/>
    <col min="7684" max="7684" width="15.7109375" style="274" customWidth="1"/>
    <col min="7685" max="7685" width="15.28515625" style="274" customWidth="1"/>
    <col min="7686" max="7686" width="6.140625" style="274" customWidth="1"/>
    <col min="7687" max="7690" width="15.7109375" style="274" customWidth="1"/>
    <col min="7691" max="7691" width="4.42578125" style="274" customWidth="1"/>
    <col min="7692" max="7692" width="41.42578125" style="274" customWidth="1"/>
    <col min="7693" max="7693" width="6.140625" style="274" customWidth="1"/>
    <col min="7694" max="7695" width="15.7109375" style="274" customWidth="1"/>
    <col min="7696" max="7937" width="11.5703125" style="274"/>
    <col min="7938" max="7938" width="4.42578125" style="274" customWidth="1"/>
    <col min="7939" max="7939" width="19.42578125" style="274" customWidth="1"/>
    <col min="7940" max="7940" width="15.7109375" style="274" customWidth="1"/>
    <col min="7941" max="7941" width="15.28515625" style="274" customWidth="1"/>
    <col min="7942" max="7942" width="6.140625" style="274" customWidth="1"/>
    <col min="7943" max="7946" width="15.7109375" style="274" customWidth="1"/>
    <col min="7947" max="7947" width="4.42578125" style="274" customWidth="1"/>
    <col min="7948" max="7948" width="41.42578125" style="274" customWidth="1"/>
    <col min="7949" max="7949" width="6.140625" style="274" customWidth="1"/>
    <col min="7950" max="7951" width="15.7109375" style="274" customWidth="1"/>
    <col min="7952" max="8193" width="11.5703125" style="274"/>
    <col min="8194" max="8194" width="4.42578125" style="274" customWidth="1"/>
    <col min="8195" max="8195" width="19.42578125" style="274" customWidth="1"/>
    <col min="8196" max="8196" width="15.7109375" style="274" customWidth="1"/>
    <col min="8197" max="8197" width="15.28515625" style="274" customWidth="1"/>
    <col min="8198" max="8198" width="6.140625" style="274" customWidth="1"/>
    <col min="8199" max="8202" width="15.7109375" style="274" customWidth="1"/>
    <col min="8203" max="8203" width="4.42578125" style="274" customWidth="1"/>
    <col min="8204" max="8204" width="41.42578125" style="274" customWidth="1"/>
    <col min="8205" max="8205" width="6.140625" style="274" customWidth="1"/>
    <col min="8206" max="8207" width="15.7109375" style="274" customWidth="1"/>
    <col min="8208" max="8449" width="11.5703125" style="274"/>
    <col min="8450" max="8450" width="4.42578125" style="274" customWidth="1"/>
    <col min="8451" max="8451" width="19.42578125" style="274" customWidth="1"/>
    <col min="8452" max="8452" width="15.7109375" style="274" customWidth="1"/>
    <col min="8453" max="8453" width="15.28515625" style="274" customWidth="1"/>
    <col min="8454" max="8454" width="6.140625" style="274" customWidth="1"/>
    <col min="8455" max="8458" width="15.7109375" style="274" customWidth="1"/>
    <col min="8459" max="8459" width="4.42578125" style="274" customWidth="1"/>
    <col min="8460" max="8460" width="41.42578125" style="274" customWidth="1"/>
    <col min="8461" max="8461" width="6.140625" style="274" customWidth="1"/>
    <col min="8462" max="8463" width="15.7109375" style="274" customWidth="1"/>
    <col min="8464" max="8705" width="11.5703125" style="274"/>
    <col min="8706" max="8706" width="4.42578125" style="274" customWidth="1"/>
    <col min="8707" max="8707" width="19.42578125" style="274" customWidth="1"/>
    <col min="8708" max="8708" width="15.7109375" style="274" customWidth="1"/>
    <col min="8709" max="8709" width="15.28515625" style="274" customWidth="1"/>
    <col min="8710" max="8710" width="6.140625" style="274" customWidth="1"/>
    <col min="8711" max="8714" width="15.7109375" style="274" customWidth="1"/>
    <col min="8715" max="8715" width="4.42578125" style="274" customWidth="1"/>
    <col min="8716" max="8716" width="41.42578125" style="274" customWidth="1"/>
    <col min="8717" max="8717" width="6.140625" style="274" customWidth="1"/>
    <col min="8718" max="8719" width="15.7109375" style="274" customWidth="1"/>
    <col min="8720" max="8961" width="11.5703125" style="274"/>
    <col min="8962" max="8962" width="4.42578125" style="274" customWidth="1"/>
    <col min="8963" max="8963" width="19.42578125" style="274" customWidth="1"/>
    <col min="8964" max="8964" width="15.7109375" style="274" customWidth="1"/>
    <col min="8965" max="8965" width="15.28515625" style="274" customWidth="1"/>
    <col min="8966" max="8966" width="6.140625" style="274" customWidth="1"/>
    <col min="8967" max="8970" width="15.7109375" style="274" customWidth="1"/>
    <col min="8971" max="8971" width="4.42578125" style="274" customWidth="1"/>
    <col min="8972" max="8972" width="41.42578125" style="274" customWidth="1"/>
    <col min="8973" max="8973" width="6.140625" style="274" customWidth="1"/>
    <col min="8974" max="8975" width="15.7109375" style="274" customWidth="1"/>
    <col min="8976" max="9217" width="11.5703125" style="274"/>
    <col min="9218" max="9218" width="4.42578125" style="274" customWidth="1"/>
    <col min="9219" max="9219" width="19.42578125" style="274" customWidth="1"/>
    <col min="9220" max="9220" width="15.7109375" style="274" customWidth="1"/>
    <col min="9221" max="9221" width="15.28515625" style="274" customWidth="1"/>
    <col min="9222" max="9222" width="6.140625" style="274" customWidth="1"/>
    <col min="9223" max="9226" width="15.7109375" style="274" customWidth="1"/>
    <col min="9227" max="9227" width="4.42578125" style="274" customWidth="1"/>
    <col min="9228" max="9228" width="41.42578125" style="274" customWidth="1"/>
    <col min="9229" max="9229" width="6.140625" style="274" customWidth="1"/>
    <col min="9230" max="9231" width="15.7109375" style="274" customWidth="1"/>
    <col min="9232" max="9473" width="11.5703125" style="274"/>
    <col min="9474" max="9474" width="4.42578125" style="274" customWidth="1"/>
    <col min="9475" max="9475" width="19.42578125" style="274" customWidth="1"/>
    <col min="9476" max="9476" width="15.7109375" style="274" customWidth="1"/>
    <col min="9477" max="9477" width="15.28515625" style="274" customWidth="1"/>
    <col min="9478" max="9478" width="6.140625" style="274" customWidth="1"/>
    <col min="9479" max="9482" width="15.7109375" style="274" customWidth="1"/>
    <col min="9483" max="9483" width="4.42578125" style="274" customWidth="1"/>
    <col min="9484" max="9484" width="41.42578125" style="274" customWidth="1"/>
    <col min="9485" max="9485" width="6.140625" style="274" customWidth="1"/>
    <col min="9486" max="9487" width="15.7109375" style="274" customWidth="1"/>
    <col min="9488" max="9729" width="11.5703125" style="274"/>
    <col min="9730" max="9730" width="4.42578125" style="274" customWidth="1"/>
    <col min="9731" max="9731" width="19.42578125" style="274" customWidth="1"/>
    <col min="9732" max="9732" width="15.7109375" style="274" customWidth="1"/>
    <col min="9733" max="9733" width="15.28515625" style="274" customWidth="1"/>
    <col min="9734" max="9734" width="6.140625" style="274" customWidth="1"/>
    <col min="9735" max="9738" width="15.7109375" style="274" customWidth="1"/>
    <col min="9739" max="9739" width="4.42578125" style="274" customWidth="1"/>
    <col min="9740" max="9740" width="41.42578125" style="274" customWidth="1"/>
    <col min="9741" max="9741" width="6.140625" style="274" customWidth="1"/>
    <col min="9742" max="9743" width="15.7109375" style="274" customWidth="1"/>
    <col min="9744" max="9985" width="11.5703125" style="274"/>
    <col min="9986" max="9986" width="4.42578125" style="274" customWidth="1"/>
    <col min="9987" max="9987" width="19.42578125" style="274" customWidth="1"/>
    <col min="9988" max="9988" width="15.7109375" style="274" customWidth="1"/>
    <col min="9989" max="9989" width="15.28515625" style="274" customWidth="1"/>
    <col min="9990" max="9990" width="6.140625" style="274" customWidth="1"/>
    <col min="9991" max="9994" width="15.7109375" style="274" customWidth="1"/>
    <col min="9995" max="9995" width="4.42578125" style="274" customWidth="1"/>
    <col min="9996" max="9996" width="41.42578125" style="274" customWidth="1"/>
    <col min="9997" max="9997" width="6.140625" style="274" customWidth="1"/>
    <col min="9998" max="9999" width="15.7109375" style="274" customWidth="1"/>
    <col min="10000" max="10241" width="11.5703125" style="274"/>
    <col min="10242" max="10242" width="4.42578125" style="274" customWidth="1"/>
    <col min="10243" max="10243" width="19.42578125" style="274" customWidth="1"/>
    <col min="10244" max="10244" width="15.7109375" style="274" customWidth="1"/>
    <col min="10245" max="10245" width="15.28515625" style="274" customWidth="1"/>
    <col min="10246" max="10246" width="6.140625" style="274" customWidth="1"/>
    <col min="10247" max="10250" width="15.7109375" style="274" customWidth="1"/>
    <col min="10251" max="10251" width="4.42578125" style="274" customWidth="1"/>
    <col min="10252" max="10252" width="41.42578125" style="274" customWidth="1"/>
    <col min="10253" max="10253" width="6.140625" style="274" customWidth="1"/>
    <col min="10254" max="10255" width="15.7109375" style="274" customWidth="1"/>
    <col min="10256" max="10497" width="11.5703125" style="274"/>
    <col min="10498" max="10498" width="4.42578125" style="274" customWidth="1"/>
    <col min="10499" max="10499" width="19.42578125" style="274" customWidth="1"/>
    <col min="10500" max="10500" width="15.7109375" style="274" customWidth="1"/>
    <col min="10501" max="10501" width="15.28515625" style="274" customWidth="1"/>
    <col min="10502" max="10502" width="6.140625" style="274" customWidth="1"/>
    <col min="10503" max="10506" width="15.7109375" style="274" customWidth="1"/>
    <col min="10507" max="10507" width="4.42578125" style="274" customWidth="1"/>
    <col min="10508" max="10508" width="41.42578125" style="274" customWidth="1"/>
    <col min="10509" max="10509" width="6.140625" style="274" customWidth="1"/>
    <col min="10510" max="10511" width="15.7109375" style="274" customWidth="1"/>
    <col min="10512" max="10753" width="11.5703125" style="274"/>
    <col min="10754" max="10754" width="4.42578125" style="274" customWidth="1"/>
    <col min="10755" max="10755" width="19.42578125" style="274" customWidth="1"/>
    <col min="10756" max="10756" width="15.7109375" style="274" customWidth="1"/>
    <col min="10757" max="10757" width="15.28515625" style="274" customWidth="1"/>
    <col min="10758" max="10758" width="6.140625" style="274" customWidth="1"/>
    <col min="10759" max="10762" width="15.7109375" style="274" customWidth="1"/>
    <col min="10763" max="10763" width="4.42578125" style="274" customWidth="1"/>
    <col min="10764" max="10764" width="41.42578125" style="274" customWidth="1"/>
    <col min="10765" max="10765" width="6.140625" style="274" customWidth="1"/>
    <col min="10766" max="10767" width="15.7109375" style="274" customWidth="1"/>
    <col min="10768" max="11009" width="11.5703125" style="274"/>
    <col min="11010" max="11010" width="4.42578125" style="274" customWidth="1"/>
    <col min="11011" max="11011" width="19.42578125" style="274" customWidth="1"/>
    <col min="11012" max="11012" width="15.7109375" style="274" customWidth="1"/>
    <col min="11013" max="11013" width="15.28515625" style="274" customWidth="1"/>
    <col min="11014" max="11014" width="6.140625" style="274" customWidth="1"/>
    <col min="11015" max="11018" width="15.7109375" style="274" customWidth="1"/>
    <col min="11019" max="11019" width="4.42578125" style="274" customWidth="1"/>
    <col min="11020" max="11020" width="41.42578125" style="274" customWidth="1"/>
    <col min="11021" max="11021" width="6.140625" style="274" customWidth="1"/>
    <col min="11022" max="11023" width="15.7109375" style="274" customWidth="1"/>
    <col min="11024" max="11265" width="11.5703125" style="274"/>
    <col min="11266" max="11266" width="4.42578125" style="274" customWidth="1"/>
    <col min="11267" max="11267" width="19.42578125" style="274" customWidth="1"/>
    <col min="11268" max="11268" width="15.7109375" style="274" customWidth="1"/>
    <col min="11269" max="11269" width="15.28515625" style="274" customWidth="1"/>
    <col min="11270" max="11270" width="6.140625" style="274" customWidth="1"/>
    <col min="11271" max="11274" width="15.7109375" style="274" customWidth="1"/>
    <col min="11275" max="11275" width="4.42578125" style="274" customWidth="1"/>
    <col min="11276" max="11276" width="41.42578125" style="274" customWidth="1"/>
    <col min="11277" max="11277" width="6.140625" style="274" customWidth="1"/>
    <col min="11278" max="11279" width="15.7109375" style="274" customWidth="1"/>
    <col min="11280" max="11521" width="11.5703125" style="274"/>
    <col min="11522" max="11522" width="4.42578125" style="274" customWidth="1"/>
    <col min="11523" max="11523" width="19.42578125" style="274" customWidth="1"/>
    <col min="11524" max="11524" width="15.7109375" style="274" customWidth="1"/>
    <col min="11525" max="11525" width="15.28515625" style="274" customWidth="1"/>
    <col min="11526" max="11526" width="6.140625" style="274" customWidth="1"/>
    <col min="11527" max="11530" width="15.7109375" style="274" customWidth="1"/>
    <col min="11531" max="11531" width="4.42578125" style="274" customWidth="1"/>
    <col min="11532" max="11532" width="41.42578125" style="274" customWidth="1"/>
    <col min="11533" max="11533" width="6.140625" style="274" customWidth="1"/>
    <col min="11534" max="11535" width="15.7109375" style="274" customWidth="1"/>
    <col min="11536" max="11777" width="11.5703125" style="274"/>
    <col min="11778" max="11778" width="4.42578125" style="274" customWidth="1"/>
    <col min="11779" max="11779" width="19.42578125" style="274" customWidth="1"/>
    <col min="11780" max="11780" width="15.7109375" style="274" customWidth="1"/>
    <col min="11781" max="11781" width="15.28515625" style="274" customWidth="1"/>
    <col min="11782" max="11782" width="6.140625" style="274" customWidth="1"/>
    <col min="11783" max="11786" width="15.7109375" style="274" customWidth="1"/>
    <col min="11787" max="11787" width="4.42578125" style="274" customWidth="1"/>
    <col min="11788" max="11788" width="41.42578125" style="274" customWidth="1"/>
    <col min="11789" max="11789" width="6.140625" style="274" customWidth="1"/>
    <col min="11790" max="11791" width="15.7109375" style="274" customWidth="1"/>
    <col min="11792" max="12033" width="11.5703125" style="274"/>
    <col min="12034" max="12034" width="4.42578125" style="274" customWidth="1"/>
    <col min="12035" max="12035" width="19.42578125" style="274" customWidth="1"/>
    <col min="12036" max="12036" width="15.7109375" style="274" customWidth="1"/>
    <col min="12037" max="12037" width="15.28515625" style="274" customWidth="1"/>
    <col min="12038" max="12038" width="6.140625" style="274" customWidth="1"/>
    <col min="12039" max="12042" width="15.7109375" style="274" customWidth="1"/>
    <col min="12043" max="12043" width="4.42578125" style="274" customWidth="1"/>
    <col min="12044" max="12044" width="41.42578125" style="274" customWidth="1"/>
    <col min="12045" max="12045" width="6.140625" style="274" customWidth="1"/>
    <col min="12046" max="12047" width="15.7109375" style="274" customWidth="1"/>
    <col min="12048" max="12289" width="11.5703125" style="274"/>
    <col min="12290" max="12290" width="4.42578125" style="274" customWidth="1"/>
    <col min="12291" max="12291" width="19.42578125" style="274" customWidth="1"/>
    <col min="12292" max="12292" width="15.7109375" style="274" customWidth="1"/>
    <col min="12293" max="12293" width="15.28515625" style="274" customWidth="1"/>
    <col min="12294" max="12294" width="6.140625" style="274" customWidth="1"/>
    <col min="12295" max="12298" width="15.7109375" style="274" customWidth="1"/>
    <col min="12299" max="12299" width="4.42578125" style="274" customWidth="1"/>
    <col min="12300" max="12300" width="41.42578125" style="274" customWidth="1"/>
    <col min="12301" max="12301" width="6.140625" style="274" customWidth="1"/>
    <col min="12302" max="12303" width="15.7109375" style="274" customWidth="1"/>
    <col min="12304" max="12545" width="11.5703125" style="274"/>
    <col min="12546" max="12546" width="4.42578125" style="274" customWidth="1"/>
    <col min="12547" max="12547" width="19.42578125" style="274" customWidth="1"/>
    <col min="12548" max="12548" width="15.7109375" style="274" customWidth="1"/>
    <col min="12549" max="12549" width="15.28515625" style="274" customWidth="1"/>
    <col min="12550" max="12550" width="6.140625" style="274" customWidth="1"/>
    <col min="12551" max="12554" width="15.7109375" style="274" customWidth="1"/>
    <col min="12555" max="12555" width="4.42578125" style="274" customWidth="1"/>
    <col min="12556" max="12556" width="41.42578125" style="274" customWidth="1"/>
    <col min="12557" max="12557" width="6.140625" style="274" customWidth="1"/>
    <col min="12558" max="12559" width="15.7109375" style="274" customWidth="1"/>
    <col min="12560" max="12801" width="11.5703125" style="274"/>
    <col min="12802" max="12802" width="4.42578125" style="274" customWidth="1"/>
    <col min="12803" max="12803" width="19.42578125" style="274" customWidth="1"/>
    <col min="12804" max="12804" width="15.7109375" style="274" customWidth="1"/>
    <col min="12805" max="12805" width="15.28515625" style="274" customWidth="1"/>
    <col min="12806" max="12806" width="6.140625" style="274" customWidth="1"/>
    <col min="12807" max="12810" width="15.7109375" style="274" customWidth="1"/>
    <col min="12811" max="12811" width="4.42578125" style="274" customWidth="1"/>
    <col min="12812" max="12812" width="41.42578125" style="274" customWidth="1"/>
    <col min="12813" max="12813" width="6.140625" style="274" customWidth="1"/>
    <col min="12814" max="12815" width="15.7109375" style="274" customWidth="1"/>
    <col min="12816" max="13057" width="11.5703125" style="274"/>
    <col min="13058" max="13058" width="4.42578125" style="274" customWidth="1"/>
    <col min="13059" max="13059" width="19.42578125" style="274" customWidth="1"/>
    <col min="13060" max="13060" width="15.7109375" style="274" customWidth="1"/>
    <col min="13061" max="13061" width="15.28515625" style="274" customWidth="1"/>
    <col min="13062" max="13062" width="6.140625" style="274" customWidth="1"/>
    <col min="13063" max="13066" width="15.7109375" style="274" customWidth="1"/>
    <col min="13067" max="13067" width="4.42578125" style="274" customWidth="1"/>
    <col min="13068" max="13068" width="41.42578125" style="274" customWidth="1"/>
    <col min="13069" max="13069" width="6.140625" style="274" customWidth="1"/>
    <col min="13070" max="13071" width="15.7109375" style="274" customWidth="1"/>
    <col min="13072" max="13313" width="11.5703125" style="274"/>
    <col min="13314" max="13314" width="4.42578125" style="274" customWidth="1"/>
    <col min="13315" max="13315" width="19.42578125" style="274" customWidth="1"/>
    <col min="13316" max="13316" width="15.7109375" style="274" customWidth="1"/>
    <col min="13317" max="13317" width="15.28515625" style="274" customWidth="1"/>
    <col min="13318" max="13318" width="6.140625" style="274" customWidth="1"/>
    <col min="13319" max="13322" width="15.7109375" style="274" customWidth="1"/>
    <col min="13323" max="13323" width="4.42578125" style="274" customWidth="1"/>
    <col min="13324" max="13324" width="41.42578125" style="274" customWidth="1"/>
    <col min="13325" max="13325" width="6.140625" style="274" customWidth="1"/>
    <col min="13326" max="13327" width="15.7109375" style="274" customWidth="1"/>
    <col min="13328" max="13569" width="11.5703125" style="274"/>
    <col min="13570" max="13570" width="4.42578125" style="274" customWidth="1"/>
    <col min="13571" max="13571" width="19.42578125" style="274" customWidth="1"/>
    <col min="13572" max="13572" width="15.7109375" style="274" customWidth="1"/>
    <col min="13573" max="13573" width="15.28515625" style="274" customWidth="1"/>
    <col min="13574" max="13574" width="6.140625" style="274" customWidth="1"/>
    <col min="13575" max="13578" width="15.7109375" style="274" customWidth="1"/>
    <col min="13579" max="13579" width="4.42578125" style="274" customWidth="1"/>
    <col min="13580" max="13580" width="41.42578125" style="274" customWidth="1"/>
    <col min="13581" max="13581" width="6.140625" style="274" customWidth="1"/>
    <col min="13582" max="13583" width="15.7109375" style="274" customWidth="1"/>
    <col min="13584" max="13825" width="11.5703125" style="274"/>
    <col min="13826" max="13826" width="4.42578125" style="274" customWidth="1"/>
    <col min="13827" max="13827" width="19.42578125" style="274" customWidth="1"/>
    <col min="13828" max="13828" width="15.7109375" style="274" customWidth="1"/>
    <col min="13829" max="13829" width="15.28515625" style="274" customWidth="1"/>
    <col min="13830" max="13830" width="6.140625" style="274" customWidth="1"/>
    <col min="13831" max="13834" width="15.7109375" style="274" customWidth="1"/>
    <col min="13835" max="13835" width="4.42578125" style="274" customWidth="1"/>
    <col min="13836" max="13836" width="41.42578125" style="274" customWidth="1"/>
    <col min="13837" max="13837" width="6.140625" style="274" customWidth="1"/>
    <col min="13838" max="13839" width="15.7109375" style="274" customWidth="1"/>
    <col min="13840" max="14081" width="11.5703125" style="274"/>
    <col min="14082" max="14082" width="4.42578125" style="274" customWidth="1"/>
    <col min="14083" max="14083" width="19.42578125" style="274" customWidth="1"/>
    <col min="14084" max="14084" width="15.7109375" style="274" customWidth="1"/>
    <col min="14085" max="14085" width="15.28515625" style="274" customWidth="1"/>
    <col min="14086" max="14086" width="6.140625" style="274" customWidth="1"/>
    <col min="14087" max="14090" width="15.7109375" style="274" customWidth="1"/>
    <col min="14091" max="14091" width="4.42578125" style="274" customWidth="1"/>
    <col min="14092" max="14092" width="41.42578125" style="274" customWidth="1"/>
    <col min="14093" max="14093" width="6.140625" style="274" customWidth="1"/>
    <col min="14094" max="14095" width="15.7109375" style="274" customWidth="1"/>
    <col min="14096" max="14337" width="11.5703125" style="274"/>
    <col min="14338" max="14338" width="4.42578125" style="274" customWidth="1"/>
    <col min="14339" max="14339" width="19.42578125" style="274" customWidth="1"/>
    <col min="14340" max="14340" width="15.7109375" style="274" customWidth="1"/>
    <col min="14341" max="14341" width="15.28515625" style="274" customWidth="1"/>
    <col min="14342" max="14342" width="6.140625" style="274" customWidth="1"/>
    <col min="14343" max="14346" width="15.7109375" style="274" customWidth="1"/>
    <col min="14347" max="14347" width="4.42578125" style="274" customWidth="1"/>
    <col min="14348" max="14348" width="41.42578125" style="274" customWidth="1"/>
    <col min="14349" max="14349" width="6.140625" style="274" customWidth="1"/>
    <col min="14350" max="14351" width="15.7109375" style="274" customWidth="1"/>
    <col min="14352" max="14593" width="11.5703125" style="274"/>
    <col min="14594" max="14594" width="4.42578125" style="274" customWidth="1"/>
    <col min="14595" max="14595" width="19.42578125" style="274" customWidth="1"/>
    <col min="14596" max="14596" width="15.7109375" style="274" customWidth="1"/>
    <col min="14597" max="14597" width="15.28515625" style="274" customWidth="1"/>
    <col min="14598" max="14598" width="6.140625" style="274" customWidth="1"/>
    <col min="14599" max="14602" width="15.7109375" style="274" customWidth="1"/>
    <col min="14603" max="14603" width="4.42578125" style="274" customWidth="1"/>
    <col min="14604" max="14604" width="41.42578125" style="274" customWidth="1"/>
    <col min="14605" max="14605" width="6.140625" style="274" customWidth="1"/>
    <col min="14606" max="14607" width="15.7109375" style="274" customWidth="1"/>
    <col min="14608" max="14849" width="11.5703125" style="274"/>
    <col min="14850" max="14850" width="4.42578125" style="274" customWidth="1"/>
    <col min="14851" max="14851" width="19.42578125" style="274" customWidth="1"/>
    <col min="14852" max="14852" width="15.7109375" style="274" customWidth="1"/>
    <col min="14853" max="14853" width="15.28515625" style="274" customWidth="1"/>
    <col min="14854" max="14854" width="6.140625" style="274" customWidth="1"/>
    <col min="14855" max="14858" width="15.7109375" style="274" customWidth="1"/>
    <col min="14859" max="14859" width="4.42578125" style="274" customWidth="1"/>
    <col min="14860" max="14860" width="41.42578125" style="274" customWidth="1"/>
    <col min="14861" max="14861" width="6.140625" style="274" customWidth="1"/>
    <col min="14862" max="14863" width="15.7109375" style="274" customWidth="1"/>
    <col min="14864" max="15105" width="11.5703125" style="274"/>
    <col min="15106" max="15106" width="4.42578125" style="274" customWidth="1"/>
    <col min="15107" max="15107" width="19.42578125" style="274" customWidth="1"/>
    <col min="15108" max="15108" width="15.7109375" style="274" customWidth="1"/>
    <col min="15109" max="15109" width="15.28515625" style="274" customWidth="1"/>
    <col min="15110" max="15110" width="6.140625" style="274" customWidth="1"/>
    <col min="15111" max="15114" width="15.7109375" style="274" customWidth="1"/>
    <col min="15115" max="15115" width="4.42578125" style="274" customWidth="1"/>
    <col min="15116" max="15116" width="41.42578125" style="274" customWidth="1"/>
    <col min="15117" max="15117" width="6.140625" style="274" customWidth="1"/>
    <col min="15118" max="15119" width="15.7109375" style="274" customWidth="1"/>
    <col min="15120" max="15361" width="11.5703125" style="274"/>
    <col min="15362" max="15362" width="4.42578125" style="274" customWidth="1"/>
    <col min="15363" max="15363" width="19.42578125" style="274" customWidth="1"/>
    <col min="15364" max="15364" width="15.7109375" style="274" customWidth="1"/>
    <col min="15365" max="15365" width="15.28515625" style="274" customWidth="1"/>
    <col min="15366" max="15366" width="6.140625" style="274" customWidth="1"/>
    <col min="15367" max="15370" width="15.7109375" style="274" customWidth="1"/>
    <col min="15371" max="15371" width="4.42578125" style="274" customWidth="1"/>
    <col min="15372" max="15372" width="41.42578125" style="274" customWidth="1"/>
    <col min="15373" max="15373" width="6.140625" style="274" customWidth="1"/>
    <col min="15374" max="15375" width="15.7109375" style="274" customWidth="1"/>
    <col min="15376" max="15617" width="11.5703125" style="274"/>
    <col min="15618" max="15618" width="4.42578125" style="274" customWidth="1"/>
    <col min="15619" max="15619" width="19.42578125" style="274" customWidth="1"/>
    <col min="15620" max="15620" width="15.7109375" style="274" customWidth="1"/>
    <col min="15621" max="15621" width="15.28515625" style="274" customWidth="1"/>
    <col min="15622" max="15622" width="6.140625" style="274" customWidth="1"/>
    <col min="15623" max="15626" width="15.7109375" style="274" customWidth="1"/>
    <col min="15627" max="15627" width="4.42578125" style="274" customWidth="1"/>
    <col min="15628" max="15628" width="41.42578125" style="274" customWidth="1"/>
    <col min="15629" max="15629" width="6.140625" style="274" customWidth="1"/>
    <col min="15630" max="15631" width="15.7109375" style="274" customWidth="1"/>
    <col min="15632" max="15873" width="11.5703125" style="274"/>
    <col min="15874" max="15874" width="4.42578125" style="274" customWidth="1"/>
    <col min="15875" max="15875" width="19.42578125" style="274" customWidth="1"/>
    <col min="15876" max="15876" width="15.7109375" style="274" customWidth="1"/>
    <col min="15877" max="15877" width="15.28515625" style="274" customWidth="1"/>
    <col min="15878" max="15878" width="6.140625" style="274" customWidth="1"/>
    <col min="15879" max="15882" width="15.7109375" style="274" customWidth="1"/>
    <col min="15883" max="15883" width="4.42578125" style="274" customWidth="1"/>
    <col min="15884" max="15884" width="41.42578125" style="274" customWidth="1"/>
    <col min="15885" max="15885" width="6.140625" style="274" customWidth="1"/>
    <col min="15886" max="15887" width="15.7109375" style="274" customWidth="1"/>
    <col min="15888" max="16129" width="11.5703125" style="274"/>
    <col min="16130" max="16130" width="4.42578125" style="274" customWidth="1"/>
    <col min="16131" max="16131" width="19.42578125" style="274" customWidth="1"/>
    <col min="16132" max="16132" width="15.7109375" style="274" customWidth="1"/>
    <col min="16133" max="16133" width="15.28515625" style="274" customWidth="1"/>
    <col min="16134" max="16134" width="6.140625" style="274" customWidth="1"/>
    <col min="16135" max="16138" width="15.7109375" style="274" customWidth="1"/>
    <col min="16139" max="16139" width="4.42578125" style="274" customWidth="1"/>
    <col min="16140" max="16140" width="41.42578125" style="274" customWidth="1"/>
    <col min="16141" max="16141" width="6.140625" style="274" customWidth="1"/>
    <col min="16142" max="16143" width="15.7109375" style="274" customWidth="1"/>
    <col min="16144" max="16384" width="11.5703125" style="274"/>
  </cols>
  <sheetData>
    <row r="1" spans="2:15" s="81" customFormat="1" ht="34.5" customHeight="1" thickBot="1">
      <c r="I1" s="198"/>
      <c r="M1" s="272"/>
      <c r="N1" s="1584" t="str">
        <f>IF([1]ACCUEIL!B1=1,"NORMAL SYSTEM BALANCE SHEET
PAGE 1/1","BILAN SYSTEME NORMAL
PAGE 1/1")</f>
        <v>BILAN SYSTEME NORMAL
PAGE 1/1</v>
      </c>
      <c r="O1" s="1585"/>
    </row>
    <row r="2" spans="2:15" s="81" customFormat="1" ht="12.75">
      <c r="B2" s="34" t="str">
        <f>+PASSIF!B4</f>
        <v>Désignation entité:</v>
      </c>
      <c r="D2" s="171" t="str">
        <f>+ACTIF!D4</f>
        <v/>
      </c>
      <c r="E2" s="171"/>
      <c r="F2" s="171"/>
      <c r="G2" s="171"/>
      <c r="H2" s="171"/>
      <c r="I2" s="171"/>
      <c r="J2" s="171"/>
      <c r="K2" s="171"/>
      <c r="L2" s="171"/>
      <c r="M2" s="171"/>
      <c r="N2" s="171"/>
      <c r="O2" s="171"/>
    </row>
    <row r="3" spans="2:15" s="81" customFormat="1" ht="12.75">
      <c r="B3" s="199" t="str">
        <f>+PASSIF!B5</f>
        <v>Sigle usuel :</v>
      </c>
      <c r="D3" s="179" t="str">
        <f>+ACTIF!D5</f>
        <v/>
      </c>
      <c r="E3" s="178"/>
      <c r="F3" s="178"/>
      <c r="G3" s="179"/>
      <c r="H3" s="176"/>
      <c r="I3" s="183"/>
      <c r="J3" s="183"/>
      <c r="K3" s="183"/>
      <c r="L3" s="273"/>
      <c r="M3" s="273"/>
      <c r="N3" s="171"/>
      <c r="O3" s="171"/>
    </row>
    <row r="4" spans="2:15" s="81" customFormat="1" ht="12.75">
      <c r="B4" s="34" t="str">
        <f>+PASSIF!B6</f>
        <v>Adresse:</v>
      </c>
      <c r="D4" s="179">
        <f>+ACTIF!D6</f>
        <v>0</v>
      </c>
      <c r="E4" s="178"/>
      <c r="F4" s="176"/>
      <c r="G4" s="174"/>
      <c r="H4" s="178"/>
      <c r="I4" s="178"/>
      <c r="J4" s="174"/>
      <c r="K4" s="178"/>
      <c r="L4" s="178"/>
      <c r="M4" s="178"/>
      <c r="N4" s="200" t="str">
        <f>+PASSIF!I6</f>
        <v>BP:</v>
      </c>
      <c r="O4" s="171" t="str">
        <f>+ACTIF!K6</f>
        <v/>
      </c>
    </row>
    <row r="5" spans="2:15" s="81" customFormat="1" ht="12.75">
      <c r="B5" s="34" t="str">
        <f>+PASSIF!B7</f>
        <v>Numéro d'identification:</v>
      </c>
      <c r="D5" s="179" t="str">
        <f>+ACTIF!D7</f>
        <v/>
      </c>
      <c r="E5" s="176"/>
      <c r="F5" s="174"/>
      <c r="G5" s="179"/>
      <c r="H5" s="176"/>
      <c r="I5" s="1545" t="str">
        <f>+PASSIF!E7</f>
        <v xml:space="preserve">   Exercice clos le 31 - 12- </v>
      </c>
      <c r="J5" s="1545"/>
      <c r="K5" s="171">
        <f>+ACTIF!I7</f>
        <v>2025</v>
      </c>
      <c r="L5" s="171"/>
      <c r="N5" s="182" t="str">
        <f>+PASSIF!I7</f>
        <v xml:space="preserve">    Durée (en mois):</v>
      </c>
      <c r="O5" s="171">
        <f>+ACTIF!K7</f>
        <v>12</v>
      </c>
    </row>
    <row r="6" spans="2:15" ht="28.5" customHeight="1">
      <c r="B6" s="1586" t="str">
        <f>IF([1]ACCUEIL!B1=1,"BALANCE SHEET","BILAN")</f>
        <v>BILAN</v>
      </c>
      <c r="C6" s="1586"/>
      <c r="D6" s="1586"/>
      <c r="E6" s="1586"/>
      <c r="F6" s="1586"/>
      <c r="G6" s="1586"/>
      <c r="H6" s="1586"/>
      <c r="I6" s="1586"/>
      <c r="J6" s="1586"/>
      <c r="K6" s="1586"/>
      <c r="L6" s="1586"/>
      <c r="M6" s="1586"/>
      <c r="N6" s="1586"/>
      <c r="O6" s="1586"/>
    </row>
    <row r="7" spans="2:15" ht="15" customHeight="1">
      <c r="B7" s="1587" t="s">
        <v>26</v>
      </c>
      <c r="C7" s="1590" t="str">
        <f>ACTIF!C11</f>
        <v>ACTIF</v>
      </c>
      <c r="D7" s="1591"/>
      <c r="E7" s="1592"/>
      <c r="F7" s="1599" t="s">
        <v>59</v>
      </c>
      <c r="G7" s="1590" t="str">
        <f>ACTIF!H11</f>
        <v>EXERCICE AU 31-12-2025</v>
      </c>
      <c r="H7" s="1591"/>
      <c r="I7" s="1592"/>
      <c r="J7" s="1599" t="str">
        <f>ACTIF!K11</f>
        <v>EXERCICE AU 31-12-2024</v>
      </c>
      <c r="K7" s="1599" t="s">
        <v>26</v>
      </c>
      <c r="L7" s="1599" t="str">
        <f>PASSIF!C11</f>
        <v>PASSIF</v>
      </c>
      <c r="M7" s="1599" t="s">
        <v>59</v>
      </c>
      <c r="N7" s="1599" t="str">
        <f>PASSIF!I11</f>
        <v>EXERCICE AU 31-12-2025</v>
      </c>
      <c r="O7" s="1599" t="str">
        <f>PASSIF!J11</f>
        <v>EXERCICE AU 31-12-2024</v>
      </c>
    </row>
    <row r="8" spans="2:15" ht="13.5" customHeight="1">
      <c r="B8" s="1588"/>
      <c r="C8" s="1593"/>
      <c r="D8" s="1594"/>
      <c r="E8" s="1595"/>
      <c r="F8" s="1600"/>
      <c r="G8" s="1596"/>
      <c r="H8" s="1597"/>
      <c r="I8" s="1598"/>
      <c r="J8" s="1601"/>
      <c r="K8" s="1600"/>
      <c r="L8" s="1600"/>
      <c r="M8" s="1600"/>
      <c r="N8" s="1600"/>
      <c r="O8" s="1600"/>
    </row>
    <row r="9" spans="2:15" ht="31.5" customHeight="1">
      <c r="B9" s="1589"/>
      <c r="C9" s="1596"/>
      <c r="D9" s="1597"/>
      <c r="E9" s="1598"/>
      <c r="F9" s="1601"/>
      <c r="G9" s="275" t="str">
        <f>ACTIF!H12</f>
        <v>BRUT</v>
      </c>
      <c r="H9" s="275" t="str">
        <f>ACTIF!I12</f>
        <v>AMORTISSEMENT  DEPRECIATION</v>
      </c>
      <c r="I9" s="275" t="s">
        <v>28</v>
      </c>
      <c r="J9" s="275" t="s">
        <v>28</v>
      </c>
      <c r="K9" s="1601"/>
      <c r="L9" s="1601"/>
      <c r="M9" s="1601"/>
      <c r="N9" s="1601"/>
      <c r="O9" s="1601"/>
    </row>
    <row r="10" spans="2:15" ht="20.45" customHeight="1">
      <c r="B10" s="276" t="s">
        <v>29</v>
      </c>
      <c r="C10" s="1605" t="str">
        <f>+ACTIF!C14</f>
        <v>IMMOBILISATIONS INCORPORELLES</v>
      </c>
      <c r="D10" s="1606"/>
      <c r="E10" s="1607"/>
      <c r="F10" s="277" t="s">
        <v>89</v>
      </c>
      <c r="G10" s="278">
        <f>SUM(G11:G14)</f>
        <v>0</v>
      </c>
      <c r="H10" s="278">
        <f>SUM(H11:H14)</f>
        <v>0</v>
      </c>
      <c r="I10" s="278">
        <f>SUM(I11:I14)</f>
        <v>0</v>
      </c>
      <c r="J10" s="278">
        <f>SUM(J11:J14)</f>
        <v>0</v>
      </c>
      <c r="K10" s="279" t="s">
        <v>60</v>
      </c>
      <c r="L10" s="280" t="str">
        <f>PASSIF!C14</f>
        <v>CAPITAL</v>
      </c>
      <c r="M10" s="281">
        <v>13</v>
      </c>
      <c r="N10" s="282">
        <f>'[1]CLASSE 1'!J16+'[1]CLASSE 1'!J24+'[1]CLASSE 1'!J25+'[1]CLASSE 1'!J37</f>
        <v>0</v>
      </c>
      <c r="O10" s="282">
        <f>'[1]BALANCE REGROUPE'!J14+'[1]BALANCE REGROUPE'!J22+'[1]BALANCE REGROUPE'!J23+'[1]BALANCE REGROUPE'!J35</f>
        <v>0</v>
      </c>
    </row>
    <row r="11" spans="2:15" s="81" customFormat="1" ht="21.6" customHeight="1">
      <c r="B11" s="1284" t="s">
        <v>30</v>
      </c>
      <c r="C11" s="1602" t="str">
        <f>+ACTIF!C15</f>
        <v>Frais de développement et de  prospection</v>
      </c>
      <c r="D11" s="1603"/>
      <c r="E11" s="1604"/>
      <c r="F11" s="1285"/>
      <c r="G11" s="1286">
        <f>'[1]CLASSE 2'!I5+'[1]CLASSE 2'!I27+'[1]CLASSE 2'!I39</f>
        <v>0</v>
      </c>
      <c r="H11" s="1286">
        <f>'[1]CLASSE 2'!J389+'[1]CLASSE 2'!J446</f>
        <v>0</v>
      </c>
      <c r="I11" s="1286">
        <f>G11-H11</f>
        <v>0</v>
      </c>
      <c r="J11" s="1287">
        <f>'[1]BALANCE REGROUPE'!I260+'[1]BALANCE REGROUPE'!I282+'[1]BALANCE REGROUPE'!I294-('[1]BALANCE REGROUPE'!J644+'[1]BALANCE REGROUPE'!J701+'[1]BALANCE REGROUPE'!J718)</f>
        <v>0</v>
      </c>
      <c r="K11" s="1284" t="s">
        <v>61</v>
      </c>
      <c r="L11" s="1288" t="str">
        <f>PASSIF!C15</f>
        <v>Apporteurs capital non appelé (*)</v>
      </c>
      <c r="M11" s="1289">
        <v>13</v>
      </c>
      <c r="N11" s="1290">
        <f>-'[1]CLASSE 1'!I56</f>
        <v>0</v>
      </c>
      <c r="O11" s="1290">
        <f>-'[1]BALANCE REGROUPE'!I54</f>
        <v>0</v>
      </c>
    </row>
    <row r="12" spans="2:15" s="81" customFormat="1" ht="21.6" customHeight="1">
      <c r="B12" s="1284" t="s">
        <v>31</v>
      </c>
      <c r="C12" s="1602" t="str">
        <f>+ACTIF!C16</f>
        <v>Brevets, licences, logiciels et droits similaires</v>
      </c>
      <c r="D12" s="1603"/>
      <c r="E12" s="1604"/>
      <c r="F12" s="1285"/>
      <c r="G12" s="1286">
        <f>'[1]CLASSE 2'!I15+'[1]CLASSE 2'!I21+'[1]CLASSE 2'!I22+'[1]CLASSE 2'!I41</f>
        <v>0</v>
      </c>
      <c r="H12" s="1286">
        <f>'[1]CLASSE 2'!J391+'[1]CLASSE 2'!J393+'[1]CLASSE 2'!J448+'[1]CLASSE 2'!J450+'[1]CLASSE 2'!J452+'[1]CLASSE 2'!J395</f>
        <v>0</v>
      </c>
      <c r="I12" s="1286">
        <f>G12-H12</f>
        <v>0</v>
      </c>
      <c r="J12" s="1287">
        <f>'[1]BALANCE REGROUPE'!I270+'[1]BALANCE REGROUPE'!I276+'[1]BALANCE REGROUPE'!I277+'[1]BALANCE REGROUPE'!I296-('[1]BALANCE REGROUPE'!J646+'[1]BALANCE REGROUPE'!J648+'[1]BALANCE REGROUPE'!J650+'[1]BALANCE REGROUPE'!J703+'[1]BALANCE REGROUPE'!J705+'[1]BALANCE REGROUPE'!J707)</f>
        <v>0</v>
      </c>
      <c r="K12" s="1284" t="s">
        <v>62</v>
      </c>
      <c r="L12" s="1288" t="str">
        <f>PASSIF!C16</f>
        <v>Primes liées au capital social</v>
      </c>
      <c r="M12" s="1289">
        <v>14</v>
      </c>
      <c r="N12" s="1286">
        <f>'[1]CLASSE 1'!J49</f>
        <v>0</v>
      </c>
      <c r="O12" s="1286">
        <f>'[1]BALANCE REGROUPE'!J47</f>
        <v>0</v>
      </c>
    </row>
    <row r="13" spans="2:15" s="81" customFormat="1" ht="21.6" customHeight="1">
      <c r="B13" s="1284" t="s">
        <v>32</v>
      </c>
      <c r="C13" s="1602" t="str">
        <f>+ACTIF!C17</f>
        <v>Fonds commercial et droit au bail</v>
      </c>
      <c r="D13" s="1603"/>
      <c r="E13" s="1604"/>
      <c r="F13" s="1285"/>
      <c r="G13" s="1286">
        <f>'[1]CLASSE 2'!I23+'[1]CLASSE 2'!I24</f>
        <v>0</v>
      </c>
      <c r="H13" s="1286">
        <f>'[1]CLASSE 2'!J397+'[1]CLASSE 2'!J399+'[1]CLASSE 2'!J454+'[1]CLASSE 2'!J456</f>
        <v>0</v>
      </c>
      <c r="I13" s="1286">
        <f>G13-H13</f>
        <v>0</v>
      </c>
      <c r="J13" s="1287">
        <f>'[1]BALANCE REGROUPE'!I278+'[1]BALANCE REGROUPE'!I279-('[1]BALANCE REGROUPE'!J652+'[1]BALANCE REGROUPE'!J654+'[1]BALANCE REGROUPE'!J709+'[1]BALANCE REGROUPE'!J711)</f>
        <v>0</v>
      </c>
      <c r="K13" s="1284" t="s">
        <v>63</v>
      </c>
      <c r="L13" s="1288" t="str">
        <f>PASSIF!C17</f>
        <v>Ecart de réévaluation</v>
      </c>
      <c r="M13" s="1289" t="s">
        <v>64</v>
      </c>
      <c r="N13" s="1286">
        <f>'[1]CLASSE 1'!J55</f>
        <v>0</v>
      </c>
      <c r="O13" s="1286">
        <f>'[1]BALANCE REGROUPE'!J53</f>
        <v>0</v>
      </c>
    </row>
    <row r="14" spans="2:15" s="81" customFormat="1" ht="21.6" customHeight="1">
      <c r="B14" s="1284" t="s">
        <v>33</v>
      </c>
      <c r="C14" s="1602" t="str">
        <f>+ACTIF!C18</f>
        <v>Autres immobilisations incorporelles</v>
      </c>
      <c r="D14" s="1603"/>
      <c r="E14" s="1604"/>
      <c r="F14" s="1285"/>
      <c r="G14" s="1286">
        <f>'[1]CLASSE 2'!I25+'[1]CLASSE 2'!I37-'[1]CLASSE 2'!I27+'[1]CLASSE 2'!I43</f>
        <v>0</v>
      </c>
      <c r="H14" s="1286">
        <f>'[1]CLASSE 2'!J401+'[1]CLASSE 2'!J403+'[1]CLASSE 2'!J458+'[1]CLASSE 2'!J461+'[1]CLASSE 2'!J463</f>
        <v>0</v>
      </c>
      <c r="I14" s="1286">
        <f>G14-H14</f>
        <v>0</v>
      </c>
      <c r="J14" s="1287">
        <f>'[1]BALANCE REGROUPE'!I280+'[1]BALANCE REGROUPE'!I292-'[1]BALANCE REGROUPE'!I282+'[1]BALANCE REGROUPE'!I298-('[1]BALANCE REGROUPE'!J658+'[1]BALANCE REGROUPE'!J713+'[1]BALANCE REGROUPE'!J715)</f>
        <v>0</v>
      </c>
      <c r="K14" s="1284" t="s">
        <v>65</v>
      </c>
      <c r="L14" s="1288" t="str">
        <f>PASSIF!C18</f>
        <v>Réserves indisponibles</v>
      </c>
      <c r="M14" s="1289">
        <v>14</v>
      </c>
      <c r="N14" s="1286">
        <f>'[1]CLASSE 1'!J57+'[1]CLASSE 1'!J58+'[1]CLASSE 1'!J68</f>
        <v>0</v>
      </c>
      <c r="O14" s="1286">
        <f>'[1]BALANCE REGROUPE'!J55+'[1]BALANCE REGROUPE'!J56+'[1]BALANCE REGROUPE'!J66</f>
        <v>0</v>
      </c>
    </row>
    <row r="15" spans="2:15" ht="20.45" customHeight="1">
      <c r="B15" s="276" t="s">
        <v>34</v>
      </c>
      <c r="C15" s="1605" t="str">
        <f>+ACTIF!C19</f>
        <v>IMMOBILISATIONS CORPORELLES</v>
      </c>
      <c r="D15" s="1606"/>
      <c r="E15" s="1607"/>
      <c r="F15" s="277">
        <v>3</v>
      </c>
      <c r="G15" s="278">
        <f>SUM(G16:G20)</f>
        <v>0</v>
      </c>
      <c r="H15" s="278">
        <f>SUM(H16:H20)</f>
        <v>0</v>
      </c>
      <c r="I15" s="278">
        <f>SUM(I16:I20)</f>
        <v>0</v>
      </c>
      <c r="J15" s="278">
        <f>SUM(J16:J20)</f>
        <v>0</v>
      </c>
      <c r="K15" s="279" t="s">
        <v>66</v>
      </c>
      <c r="L15" s="1291" t="str">
        <f>PASSIF!C19</f>
        <v>Réserves libres</v>
      </c>
      <c r="M15" s="1292">
        <v>14</v>
      </c>
      <c r="N15" s="1293">
        <f>'[1]CLASSE 1'!J74</f>
        <v>0</v>
      </c>
      <c r="O15" s="1293">
        <f>'[1]BALANCE REGROUPE'!J72</f>
        <v>0</v>
      </c>
    </row>
    <row r="16" spans="2:15" ht="36.75" customHeight="1">
      <c r="B16" s="287" t="s">
        <v>35</v>
      </c>
      <c r="C16" s="1299" t="str">
        <f>IF([1]ACCUEIL!B1=1,"Land (1)
of which Net Investment:","Terrains (1)
dont Placement Net :")</f>
        <v>Terrains (1)
dont Placement Net :</v>
      </c>
      <c r="D16" s="1300"/>
      <c r="E16" s="1301"/>
      <c r="F16" s="284"/>
      <c r="G16" s="288">
        <f>'[1]CLASSE 2'!I53+'[1]CLASSE 2'!I59+'[1]CLASSE 2'!I71+'[1]CLASSE 2'!I79+'[1]CLASSE 2'!I83+'[1]CLASSE 2'!I87+'[1]CLASSE 2'!I88+'[1]CLASSE 2'!I98+'[1]CLASSE 2'!I108</f>
        <v>0</v>
      </c>
      <c r="H16" s="288">
        <f>'[1]CLASSE 2'!J410+'[1]CLASSE 2'!J487</f>
        <v>0</v>
      </c>
      <c r="I16" s="288">
        <f>G16-H16</f>
        <v>0</v>
      </c>
      <c r="J16" s="289">
        <f>'[1]BALANCE REGROUPE'!I308+'[1]BALANCE REGROUPE'!I314+'[1]BALANCE REGROUPE'!I326+'[1]BALANCE REGROUPE'!I334+'[1]BALANCE REGROUPE'!I338+'[1]BALANCE REGROUPE'!I342+'[1]BALANCE REGROUPE'!I343+'[1]BALANCE REGROUPE'!I353+'[1]BALANCE REGROUPE'!I363-'[1]BALANCE REGROUPE'!J663-'[1]BALANCE REGROUPE'!J742</f>
        <v>0</v>
      </c>
      <c r="K16" s="283" t="s">
        <v>67</v>
      </c>
      <c r="L16" s="1288" t="str">
        <f>PASSIF!C20</f>
        <v>Report à nouveau    + ou -</v>
      </c>
      <c r="M16" s="1289">
        <v>14</v>
      </c>
      <c r="N16" s="1290">
        <f>'[1]CLASSE 1'!K76</f>
        <v>0</v>
      </c>
      <c r="O16" s="1290">
        <f>'[1]BALANCE REGROUPE'!K79</f>
        <v>0</v>
      </c>
    </row>
    <row r="17" spans="2:15" ht="34.5" customHeight="1">
      <c r="B17" s="287" t="s">
        <v>36</v>
      </c>
      <c r="C17" s="1302" t="str">
        <f>IF([1]ACCUEIL!B1=1,"Buildings(1)
of which Net Investment:","Bâtiments(1)
dont Placement Net :")</f>
        <v>Bâtiments(1)
dont Placement Net :</v>
      </c>
      <c r="D17" s="1303"/>
      <c r="E17" s="1304"/>
      <c r="F17" s="284"/>
      <c r="G17" s="288">
        <f>'[1]CLASSE 2'!I122+'[1]CLASSE 2'!I136+'[1]CLASSE 2'!I150+'[1]CLASSE 2'!I169+'[1]CLASSE 2'!I172</f>
        <v>0</v>
      </c>
      <c r="H17" s="288">
        <f>'[1]CLASSE 2'!J412+'[1]CLASSE 2'!J414+'[1]CLASSE 2'!J416+'[1]CLASSE 2'!J422+'[1]CLASSE 2'!J489+'[1]CLASSE 2'!J491+'[1]CLASSE 2'!J493+'[1]CLASSE 2'!J499+'[1]CLASSE 2'!J503</f>
        <v>0</v>
      </c>
      <c r="I17" s="288">
        <f>G17-H17</f>
        <v>0</v>
      </c>
      <c r="J17" s="289">
        <f>'[1]BALANCE REGROUPE'!I377+'[1]BALANCE REGROUPE'!I391+'[1]BALANCE REGROUPE'!I405+'[1]BALANCE REGROUPE'!I424+'[1]BALANCE REGROUPE'!I427-('[1]BALANCE REGROUPE'!J667+'[1]BALANCE REGROUPE'!J669+'[1]BALANCE REGROUPE'!J671+'[1]BALANCE REGROUPE'!J744+'[1]BALANCE REGROUPE'!J677+'[1]BALANCE REGROUPE'!J746+'[1]BALANCE REGROUPE'!J748)</f>
        <v>0</v>
      </c>
      <c r="K17" s="283" t="s">
        <v>68</v>
      </c>
      <c r="L17" s="1288" t="str">
        <f>PASSIF!C21</f>
        <v>Résultat net de l'exercice (bénéfice + ou perte -)</v>
      </c>
      <c r="M17" s="1294"/>
      <c r="N17" s="1290">
        <f ca="1">'COMPTE DE RESULTAT'!I140</f>
        <v>0</v>
      </c>
      <c r="O17" s="1290">
        <f ca="1">'COMPTE DE RESULTAT'!J140</f>
        <v>0</v>
      </c>
    </row>
    <row r="18" spans="2:15" ht="18" customHeight="1">
      <c r="B18" s="283" t="s">
        <v>37</v>
      </c>
      <c r="C18" s="1602" t="str">
        <f>ACTIF!C24</f>
        <v>Aménagement, agencement et installation</v>
      </c>
      <c r="D18" s="1603"/>
      <c r="E18" s="1604"/>
      <c r="F18" s="284"/>
      <c r="G18" s="285">
        <f>'[1]CLASSE 2'!I162+'[1]CLASSE 2'!I168+'[1]CLASSE 2'!I170+'[1]CLASSE 2'!I174+'[1]CLASSE 2'!I176+'[1]CLASSE 2'!I178+'[1]CLASSE 2'!I180+'[1]CLASSE 2'!I182</f>
        <v>0</v>
      </c>
      <c r="H18" s="285">
        <f>'[1]CLASSE 2'!J418+'[1]CLASSE 2'!J420+'[1]CLASSE 2'!J424+'[1]CLASSE 2'!J495+'[1]CLASSE 2'!J497+'[1]CLASSE 2'!J501+'[1]CLASSE 2'!J505</f>
        <v>0</v>
      </c>
      <c r="I18" s="288">
        <f>G18-H18</f>
        <v>0</v>
      </c>
      <c r="J18" s="286">
        <f>'[1]BALANCE REGROUPE'!I417+'[1]BALANCE REGROUPE'!I423+'[1]BALANCE REGROUPE'!I425+'[1]BALANCE REGROUPE'!I429+'[1]BALANCE REGROUPE'!I433+'[1]BALANCE REGROUPE'!I435+'[1]BALANCE REGROUPE'!I437+'[1]BALANCE REGROUPE'!I431-'[1]BALANCE REGROUPE'!J673-'[1]BALANCE REGROUPE'!J675-'[1]BALANCE REGROUPE'!J679-'[1]BALANCE REGROUPE'!J750-'[1]BALANCE REGROUPE'!J752-'[1]BALANCE REGROUPE'!J756</f>
        <v>0</v>
      </c>
      <c r="K18" s="283" t="s">
        <v>69</v>
      </c>
      <c r="L18" s="1288" t="str">
        <f>PASSIF!C22</f>
        <v>Subventions d'investissement</v>
      </c>
      <c r="M18" s="1292">
        <v>15</v>
      </c>
      <c r="N18" s="1295">
        <f>'[1]CLASSE 1'!J123+'[1]CLASSE 1'!J124</f>
        <v>0</v>
      </c>
      <c r="O18" s="1295">
        <f>'[1]BALANCE REGROUPE'!J121+'[1]BALANCE REGROUPE'!J122</f>
        <v>0</v>
      </c>
    </row>
    <row r="19" spans="2:15" ht="18" customHeight="1">
      <c r="B19" s="283" t="s">
        <v>38</v>
      </c>
      <c r="C19" s="1602" t="str">
        <f>ACTIF!C25</f>
        <v>Matériel, mobilier et actif biologique</v>
      </c>
      <c r="D19" s="1603"/>
      <c r="E19" s="1604"/>
      <c r="F19" s="284"/>
      <c r="G19" s="285">
        <f>'[1]CLASSE 2'!I196+'[1]CLASSE 2'!I204+'[1]CLASSE 2'!I205+'[1]CLASSE 2'!I221+'[1]CLASSE 2'!I251+'[1]CLASSE 2'!I259+'[1]CLASSE 2'!I265+'[1]CLASSE 2'!I283-'[1]CLASSE 2'!I275</f>
        <v>0</v>
      </c>
      <c r="H19" s="285">
        <f>'[1]CLASSE 2'!J444-'[1]CLASSE 2'!J436+'[1]CLASSE 2'!J527-'[1]CLASSE 2'!J516</f>
        <v>0</v>
      </c>
      <c r="I19" s="288">
        <f t="shared" ref="I19:I38" si="0">G19-H19</f>
        <v>0</v>
      </c>
      <c r="J19" s="286">
        <f>'[1]BALANCE REGROUPE'!I451+'[1]BALANCE REGROUPE'!I459+'[1]BALANCE REGROUPE'!I460+'[1]BALANCE REGROUPE'!I476+'[1]BALANCE REGROUPE'!I506+'[1]BALANCE REGROUPE'!I514+'[1]BALANCE REGROUPE'!I520+'[1]BALANCE REGROUPE'!I538-('[1]BALANCE REGROUPE'!J699-'[1]BALANCE REGROUPE'!J691+'[1]BALANCE REGROUPE'!J782-'[1]BALANCE REGROUPE'!J771)-'[1]BALANCE REGROUPE'!I530</f>
        <v>0</v>
      </c>
      <c r="K19" s="283" t="s">
        <v>70</v>
      </c>
      <c r="L19" s="1288" t="str">
        <f>PASSIF!C23</f>
        <v>Provisions réglementées</v>
      </c>
      <c r="M19" s="1292">
        <v>15</v>
      </c>
      <c r="N19" s="1286">
        <f>'[1]CLASSE 1'!J125+'[1]CLASSE 1'!J126+'[1]CLASSE 1'!J132+'[1]CLASSE 1'!J133+'[1]CLASSE 1'!J137+'[1]CLASSE 1'!J143+'[1]CLASSE 1'!J144+'[1]CLASSE 1'!J145</f>
        <v>0</v>
      </c>
      <c r="O19" s="1286">
        <f>'[1]BALANCE REGROUPE'!J123+'[1]BALANCE REGROUPE'!J124+'[1]BALANCE REGROUPE'!J130+'[1]BALANCE REGROUPE'!J131+'[1]BALANCE REGROUPE'!J135+'[1]BALANCE REGROUPE'!J141+'[1]BALANCE REGROUPE'!J142+'[1]BALANCE REGROUPE'!J143</f>
        <v>0</v>
      </c>
    </row>
    <row r="20" spans="2:15" ht="30.75" customHeight="1">
      <c r="B20" s="283" t="s">
        <v>39</v>
      </c>
      <c r="C20" s="1602" t="str">
        <f>ACTIF!C26</f>
        <v>Matériel de transport</v>
      </c>
      <c r="D20" s="1603"/>
      <c r="E20" s="1604"/>
      <c r="F20" s="284"/>
      <c r="G20" s="285">
        <f>'[1]CLASSE 2'!I239+'[1]CLASSE 2'!I275</f>
        <v>0</v>
      </c>
      <c r="H20" s="285">
        <f>'[1]CLASSE 2'!J516+'[1]CLASSE 2'!J526+'[1]CLASSE 2'!J436</f>
        <v>0</v>
      </c>
      <c r="I20" s="288">
        <f t="shared" si="0"/>
        <v>0</v>
      </c>
      <c r="J20" s="286">
        <f>'[1]BALANCE REGROUPE'!I494-('[1]BALANCE REGROUPE'!J691+'[1]BALANCE REGROUPE'!J771)+'[1]BALANCE REGROUPE'!I530</f>
        <v>0</v>
      </c>
      <c r="K20" s="276" t="s">
        <v>71</v>
      </c>
      <c r="L20" s="290" t="str">
        <f>PASSIF!C24</f>
        <v>TOTAL CAPITAUX PROPRES ET RESSOURCES ASSIMILEES</v>
      </c>
      <c r="M20" s="291"/>
      <c r="N20" s="292">
        <f ca="1">SUM(N10:N19)</f>
        <v>0</v>
      </c>
      <c r="O20" s="292">
        <f ca="1">SUM(O10:O19)</f>
        <v>0</v>
      </c>
    </row>
    <row r="21" spans="2:15" ht="21" customHeight="1">
      <c r="B21" s="293" t="s">
        <v>40</v>
      </c>
      <c r="C21" s="1608" t="str">
        <f>ACTIF!C27</f>
        <v>Avances et acomptes versés sur immobilisations</v>
      </c>
      <c r="D21" s="1609"/>
      <c r="E21" s="1610"/>
      <c r="F21" s="284">
        <v>3</v>
      </c>
      <c r="G21" s="294">
        <f>'[1]CLASSE 2'!I284+'[1]CLASSE 2'!I285</f>
        <v>0</v>
      </c>
      <c r="H21" s="294">
        <f>'[1]CLASSE 2'!J533</f>
        <v>0</v>
      </c>
      <c r="I21" s="288">
        <f t="shared" si="0"/>
        <v>0</v>
      </c>
      <c r="J21" s="295">
        <f>'[1]BALANCE REGROUPE'!I539+'[1]BALANCE REGROUPE'!I540-('[1]BALANCE REGROUPE'!J788)</f>
        <v>0</v>
      </c>
      <c r="K21" s="283" t="s">
        <v>72</v>
      </c>
      <c r="L21" s="1288" t="str">
        <f>PASSIF!C25</f>
        <v>Emprunts et dettes financières diverses</v>
      </c>
      <c r="M21" s="1292">
        <v>16</v>
      </c>
      <c r="N21" s="1286">
        <f>'[1]CLASSE 1'!J155+'[1]CLASSE 1'!J156+'[1]CLASSE 1'!J158+'[1]CLASSE 1'!J164+'[1]CLASSE 1'!J180+'[1]CLASSE 1'!J190+'[1]CLASSE 1'!J204+'[1]CLASSE 1'!J224+'[1]CLASSE 1'!J225+'[1]CLASSE 1'!J226+'[1]CLASSE 1'!J227+'[1]CLASSE 1'!J157</f>
        <v>0</v>
      </c>
      <c r="O21" s="1286">
        <f>'[1]BALANCE REGROUPE'!J153+'[1]BALANCE REGROUPE'!J154+'[1]BALANCE REGROUPE'!J156+'[1]BALANCE REGROUPE'!J162+'[1]BALANCE REGROUPE'!J178+'[1]BALANCE REGROUPE'!J188+'[1]BALANCE REGROUPE'!J202+'[1]BALANCE REGROUPE'!J222+'[1]BALANCE REGROUPE'!J223+'[1]BALANCE REGROUPE'!J224+'[1]BALANCE REGROUPE'!J225+'[1]BALANCE REGROUPE'!J155</f>
        <v>0</v>
      </c>
    </row>
    <row r="22" spans="2:15" ht="20.45" customHeight="1">
      <c r="B22" s="276" t="s">
        <v>41</v>
      </c>
      <c r="C22" s="1605" t="str">
        <f>ACTIF!C28</f>
        <v>IMMOBILISATIONS FINANCIERES</v>
      </c>
      <c r="D22" s="1606"/>
      <c r="E22" s="1607"/>
      <c r="F22" s="277">
        <v>4</v>
      </c>
      <c r="G22" s="278">
        <f>SUM(G23:G24)</f>
        <v>0</v>
      </c>
      <c r="H22" s="278">
        <f>SUM(H23:H24)</f>
        <v>0</v>
      </c>
      <c r="I22" s="278">
        <f t="shared" si="0"/>
        <v>0</v>
      </c>
      <c r="J22" s="278">
        <f>SUM(J23:J24)</f>
        <v>0</v>
      </c>
      <c r="K22" s="279" t="s">
        <v>73</v>
      </c>
      <c r="L22" s="1291" t="str">
        <f>PASSIF!C26</f>
        <v>Dettes de location et acquisition</v>
      </c>
      <c r="M22" s="1292">
        <v>16</v>
      </c>
      <c r="N22" s="1293">
        <f>SUM('[1]CLASSE 1'!J205:J207)+'[1]CLASSE 1'!J217+'[1]CLASSE 1'!J218</f>
        <v>0</v>
      </c>
      <c r="O22" s="1293">
        <f>'[1]BALANCE REGROUPE'!J203+'[1]BALANCE REGROUPE'!J204+'[1]BALANCE REGROUPE'!J205+'[1]BALANCE REGROUPE'!J215+'[1]BALANCE REGROUPE'!J216</f>
        <v>0</v>
      </c>
    </row>
    <row r="23" spans="2:15" ht="18" customHeight="1">
      <c r="B23" s="283" t="s">
        <v>42</v>
      </c>
      <c r="C23" s="1602" t="str">
        <f>ACTIF!C29</f>
        <v>Titres de participation</v>
      </c>
      <c r="D23" s="1603"/>
      <c r="E23" s="1604"/>
      <c r="F23" s="284"/>
      <c r="G23" s="285">
        <f>SUM('[1]CLASSE 2'!I286:I291)</f>
        <v>0</v>
      </c>
      <c r="H23" s="285">
        <f>'[1]CLASSE 2'!J547</f>
        <v>0</v>
      </c>
      <c r="I23" s="288">
        <f t="shared" si="0"/>
        <v>0</v>
      </c>
      <c r="J23" s="286">
        <f>SUM('[1]BALANCE REGROUPE'!I541:I546)-'[1]BALANCE REGROUPE'!J802</f>
        <v>0</v>
      </c>
      <c r="K23" s="283" t="s">
        <v>74</v>
      </c>
      <c r="L23" s="1288" t="str">
        <f>PASSIF!C27</f>
        <v>Provisions pour risques et charges</v>
      </c>
      <c r="M23" s="1292">
        <v>16</v>
      </c>
      <c r="N23" s="1286">
        <f>SUM('[1]CLASSE 1'!J237:J241)+'[1]CLASSE 1'!J247+'[1]CLASSE 1'!J248+'[1]CLASSE 1'!J260</f>
        <v>0</v>
      </c>
      <c r="O23" s="1286">
        <f>SUM('[1]BALANCE REGROUPE'!J235:J239)+'[1]BALANCE REGROUPE'!J245+'[1]BALANCE REGROUPE'!J246+'[1]BALANCE REGROUPE'!J258</f>
        <v>0</v>
      </c>
    </row>
    <row r="24" spans="2:15" ht="30.75" customHeight="1">
      <c r="B24" s="283" t="s">
        <v>43</v>
      </c>
      <c r="C24" s="1602" t="str">
        <f>ACTIF!C30</f>
        <v>Autres immobilisations financières</v>
      </c>
      <c r="D24" s="1603"/>
      <c r="E24" s="1604"/>
      <c r="F24" s="284"/>
      <c r="G24" s="285">
        <f>'[1]CLASSE 2'!I303+'[1]CLASSE 2'!I311+'[1]CLASSE 2'!I321+'[1]CLASSE 2'!I337+'[1]CLASSE 2'!I355+'[1]CLASSE 2'!I371+'[1]CLASSE 2'!I377+'[1]CLASSE 2'!I387</f>
        <v>0</v>
      </c>
      <c r="H24" s="285">
        <f>'[1]CLASSE 2'!J563</f>
        <v>0</v>
      </c>
      <c r="I24" s="288">
        <f t="shared" si="0"/>
        <v>0</v>
      </c>
      <c r="J24" s="286">
        <f>'[1]BALANCE REGROUPE'!I558+'[1]BALANCE REGROUPE'!I566+'[1]BALANCE REGROUPE'!I576+'[1]BALANCE REGROUPE'!I592+'[1]BALANCE REGROUPE'!I610+'[1]BALANCE REGROUPE'!I632+'[1]BALANCE REGROUPE'!I642-'[1]BALANCE REGROUPE'!J818+'[1]BALANCE REGROUPE'!I626</f>
        <v>0</v>
      </c>
      <c r="K24" s="296" t="s">
        <v>75</v>
      </c>
      <c r="L24" s="297" t="str">
        <f>PASSIF!C28</f>
        <v>TOTAL DETTES FINANCIERES ET RESSOURCES ASSIMILEES</v>
      </c>
      <c r="M24" s="291"/>
      <c r="N24" s="292">
        <f>SUM(N21:N23)</f>
        <v>0</v>
      </c>
      <c r="O24" s="292">
        <f>SUM(O21:O23)</f>
        <v>0</v>
      </c>
    </row>
    <row r="25" spans="2:15" ht="18" customHeight="1">
      <c r="B25" s="276" t="s">
        <v>44</v>
      </c>
      <c r="C25" s="1605" t="str">
        <f>ACTIF!C31</f>
        <v>TOTAL ACTIF IMMOBILISE</v>
      </c>
      <c r="D25" s="1606"/>
      <c r="E25" s="1607"/>
      <c r="F25" s="277"/>
      <c r="G25" s="278">
        <f>G10+G15+G21+G22</f>
        <v>0</v>
      </c>
      <c r="H25" s="278">
        <f>H10+H15+H21+H22</f>
        <v>0</v>
      </c>
      <c r="I25" s="278">
        <f>G25-H25</f>
        <v>0</v>
      </c>
      <c r="J25" s="278">
        <f>J10+J15+J21+J22</f>
        <v>0</v>
      </c>
      <c r="K25" s="279" t="s">
        <v>76</v>
      </c>
      <c r="L25" s="298" t="str">
        <f>PASSIF!C29</f>
        <v>TOTAL RESSOUCES STABLES</v>
      </c>
      <c r="M25" s="299"/>
      <c r="N25" s="300">
        <f ca="1">N20+N24</f>
        <v>0</v>
      </c>
      <c r="O25" s="301">
        <f ca="1">O20+O24</f>
        <v>0</v>
      </c>
    </row>
    <row r="26" spans="2:15" ht="18" customHeight="1">
      <c r="B26" s="283" t="s">
        <v>45</v>
      </c>
      <c r="C26" s="1608" t="str">
        <f>ACTIF!C32</f>
        <v>ACTIF CIRCULANT HAO</v>
      </c>
      <c r="D26" s="1609"/>
      <c r="E26" s="1610"/>
      <c r="F26" s="284">
        <v>5</v>
      </c>
      <c r="G26" s="294">
        <f>'[1]CLASSE 4'!I447+'[1]CLASSE 4'!I448</f>
        <v>0</v>
      </c>
      <c r="H26" s="294">
        <f>'[1]CLASSE 4'!J476</f>
        <v>0</v>
      </c>
      <c r="I26" s="288">
        <f t="shared" si="0"/>
        <v>0</v>
      </c>
      <c r="J26" s="295">
        <f>'[1]BALANCE REGROUPE'!I1391+'[1]BALANCE REGROUPE'!I1392-'[1]BALANCE REGROUPE'!J1420</f>
        <v>0</v>
      </c>
      <c r="K26" s="283" t="s">
        <v>77</v>
      </c>
      <c r="L26" s="1288" t="str">
        <f>PASSIF!C30</f>
        <v>Dettes circulantes H.A.O</v>
      </c>
      <c r="M26" s="1292">
        <v>5</v>
      </c>
      <c r="N26" s="1286">
        <f>'[1]CLASSE 4'!J421+'[1]CLASSE 4'!J427+'[1]CLASSE 4'!J428</f>
        <v>0</v>
      </c>
      <c r="O26" s="1286">
        <f>'[1]BALANCE REGROUPE'!J1367+'[1]BALANCE REGROUPE'!J1373+'[1]BALANCE REGROUPE'!J1374</f>
        <v>0</v>
      </c>
    </row>
    <row r="27" spans="2:15" ht="18" customHeight="1">
      <c r="B27" s="283" t="s">
        <v>46</v>
      </c>
      <c r="C27" s="1608" t="str">
        <f>ACTIF!C33</f>
        <v>STOCK ET ENCOURS</v>
      </c>
      <c r="D27" s="1609"/>
      <c r="E27" s="1610"/>
      <c r="F27" s="284">
        <v>6</v>
      </c>
      <c r="G27" s="294">
        <f>'[1]CLASSE 3'!I10+'[1]CLASSE 3'!I16+'[1]CLASSE 3'!I22+SUM('[1]CLASSE 3'!I23:I30)+'[1]CLASSE 3'!I40+'[1]CLASSE 3'!I41+'[1]CLASSE 3'!I47+'[1]CLASSE 3'!I53+'[1]CLASSE 3'!I59+'[1]CLASSE 3'!I71+'[1]CLASSE 3'!I77+'[1]CLASSE 3'!I83+'[1]CLASSE 3'!I84+'[1]CLASSE 3'!I85+'[1]CLASSE 3'!I93+'[1]CLASSE 3'!I99+'[1]CLASSE 3'!I107+'[1]CLASSE 3'!I115+SUM('[1]CLASSE 3'!I116:I119)+'[1]CLASSE 3'!I125+'[1]CLASSE 3'!I126+'[1]CLASSE 3'!I65</f>
        <v>0</v>
      </c>
      <c r="H27" s="294">
        <f>SUM('[1]CLASSE 3'!J127:J134)</f>
        <v>0</v>
      </c>
      <c r="I27" s="288">
        <f t="shared" si="0"/>
        <v>0</v>
      </c>
      <c r="J27" s="295">
        <f>'[1]BALANCE REGROUPE'!I825+'[1]BALANCE REGROUPE'!I831+'[1]BALANCE REGROUPE'!I837+SUM('[1]BALANCE REGROUPE'!I838:I845)+'[1]BALANCE REGROUPE'!I855+'[1]BALANCE REGROUPE'!I856+'[1]BALANCE REGROUPE'!I862+'[1]BALANCE REGROUPE'!I868+'[1]BALANCE REGROUPE'!I874+'[1]BALANCE REGROUPE'!I880+'[1]BALANCE REGROUPE'!I886+'[1]BALANCE REGROUPE'!I892+'[1]BALANCE REGROUPE'!I898+'[1]BALANCE REGROUPE'!I899+'[1]BALANCE REGROUPE'!I900+'[1]BALANCE REGROUPE'!I908+'[1]BALANCE REGROUPE'!I914+'[1]BALANCE REGROUPE'!I922+SUM('[1]BALANCE REGROUPE'!I931:I934)+'[1]BALANCE REGROUPE'!I940-(SUM('[1]BALANCE REGROUPE'!J941:J949))</f>
        <v>0</v>
      </c>
      <c r="K27" s="283" t="s">
        <v>78</v>
      </c>
      <c r="L27" s="1288" t="str">
        <f>PASSIF!C31</f>
        <v>Clients, avances reçues</v>
      </c>
      <c r="M27" s="1292">
        <v>7</v>
      </c>
      <c r="N27" s="1286">
        <f>'[1]CLASSE 4'!J121</f>
        <v>0</v>
      </c>
      <c r="O27" s="1286">
        <f>'[1]BALANCE REGROUPE'!J1067</f>
        <v>0</v>
      </c>
    </row>
    <row r="28" spans="2:15" ht="18" customHeight="1">
      <c r="B28" s="276" t="s">
        <v>47</v>
      </c>
      <c r="C28" s="1605" t="str">
        <f>ACTIF!C34</f>
        <v>CREANCES ET EMPLOIS ASSIMILES</v>
      </c>
      <c r="D28" s="1606"/>
      <c r="E28" s="1607"/>
      <c r="F28" s="277"/>
      <c r="G28" s="278">
        <f>G29+G30+G31</f>
        <v>0</v>
      </c>
      <c r="H28" s="278">
        <f>H29+H30+H31</f>
        <v>0</v>
      </c>
      <c r="I28" s="278">
        <f>G28-H28</f>
        <v>0</v>
      </c>
      <c r="J28" s="278">
        <f>J29+J30+J31</f>
        <v>0</v>
      </c>
      <c r="K28" s="279" t="s">
        <v>79</v>
      </c>
      <c r="L28" s="1291" t="str">
        <f>PASSIF!C32</f>
        <v>Fournisseurs d'exploitation</v>
      </c>
      <c r="M28" s="1292">
        <v>17</v>
      </c>
      <c r="N28" s="1293">
        <f>'[1]CLASSE 4'!J14+'[1]CLASSE 4'!J22+'[1]CLASSE 4'!J42+'[1]CLASSE 4'!J32</f>
        <v>0</v>
      </c>
      <c r="O28" s="1293">
        <f>'[1]BALANCE REGROUPE'!J960+'[1]BALANCE REGROUPE'!J968+'[1]BALANCE REGROUPE'!J978+'[1]BALANCE REGROUPE'!J988</f>
        <v>0</v>
      </c>
    </row>
    <row r="29" spans="2:15" ht="21.6" customHeight="1">
      <c r="B29" s="283" t="s">
        <v>48</v>
      </c>
      <c r="C29" s="1602" t="str">
        <f>ACTIF!C35</f>
        <v>Fournisseurs avances versées</v>
      </c>
      <c r="D29" s="1603"/>
      <c r="E29" s="1604"/>
      <c r="F29" s="284">
        <v>17</v>
      </c>
      <c r="G29" s="285">
        <f>'[1]CLASSE 4'!I54</f>
        <v>0</v>
      </c>
      <c r="H29" s="285">
        <f>'[1]CLASSE 4'!J449</f>
        <v>0</v>
      </c>
      <c r="I29" s="288">
        <f t="shared" si="0"/>
        <v>0</v>
      </c>
      <c r="J29" s="286">
        <f>'[1]BALANCE REGROUPE'!I1000-'[1]BALANCE REGROUPE'!J1393</f>
        <v>0</v>
      </c>
      <c r="K29" s="283" t="s">
        <v>80</v>
      </c>
      <c r="L29" s="1288" t="str">
        <f>PASSIF!C33</f>
        <v>Dettes fiscales et sociales</v>
      </c>
      <c r="M29" s="1292">
        <v>18</v>
      </c>
      <c r="N29" s="1286">
        <f>'[1]CLASSE 4'!J130+'[1]CLASSE 4'!J148+'[1]CLASSE 4'!J156+'[1]CLASSE 4'!J162+'[1]CLASSE 4'!J163+'[1]CLASSE 4'!J171+'[1]CLASSE 4'!J183+'[1]CLASSE 4'!J184+'[1]CLASSE 4'!J192+'[1]CLASSE 4'!J194+'[1]CLASSE 4'!J196+'[1]CLASSE 4'!J198+'[1]CLASSE 4'!J203+'[1]CLASSE 4'!J217+'[1]CLASSE 4'!J229+'[1]CLASSE 4'!J231+'[1]CLASSE 4'!J250+'[1]CLASSE 4'!J262+'[1]CLASSE 4'!J264+'[1]CLASSE 4'!J138</f>
        <v>0</v>
      </c>
      <c r="O29" s="1286">
        <f>'[1]BALANCE REGROUPE'!J1076+'[1]BALANCE REGROUPE'!J1084+'[1]BALANCE REGROUPE'!J1094+'[1]BALANCE REGROUPE'!J1102+'[1]BALANCE REGROUPE'!J1108+'[1]BALANCE REGROUPE'!J1109+'[1]BALANCE REGROUPE'!J1117+'[1]BALANCE REGROUPE'!J1129+'[1]BALANCE REGROUPE'!J1130+'[1]BALANCE REGROUPE'!J1138+'[1]BALANCE REGROUPE'!J1148+'[1]BALANCE REGROUPE'!J1149+'[1]BALANCE REGROUPE'!J1163+'[1]BALANCE REGROUPE'!J1175+'[1]BALANCE REGROUPE'!J1177+'[1]BALANCE REGROUPE'!J1196+'[1]BALANCE REGROUPE'!J1208+'[1]BALANCE REGROUPE'!J1214+'[1]BALANCE REGROUPE'!J1216+'[1]BALANCE REGROUPE'!J1218+'[1]BALANCE REGROUPE'!J1220+'[1]BALANCE REGROUPE'!J1230+'[1]BALANCE REGROUPE'!J1235</f>
        <v>0</v>
      </c>
    </row>
    <row r="30" spans="2:15" ht="21.6" customHeight="1">
      <c r="B30" s="283" t="s">
        <v>49</v>
      </c>
      <c r="C30" s="1602" t="str">
        <f>ACTIF!C36</f>
        <v>Clients</v>
      </c>
      <c r="D30" s="1603"/>
      <c r="E30" s="1604"/>
      <c r="F30" s="284">
        <v>7</v>
      </c>
      <c r="G30" s="285">
        <f>'[1]CLASSE 4'!I70+'[1]CLASSE 4'!I82+'[1]CLASSE 4'!I98+'[1]CLASSE 4'!I99+'[1]CLASSE 4'!I105+'[1]CLASSE 4'!I111+'[1]CLASSE 4'!I92</f>
        <v>0</v>
      </c>
      <c r="H30" s="285">
        <f>'[1]CLASSE 4'!J455</f>
        <v>0</v>
      </c>
      <c r="I30" s="288">
        <f t="shared" si="0"/>
        <v>0</v>
      </c>
      <c r="J30" s="286">
        <f>'[1]BALANCE REGROUPE'!I1016+'[1]BALANCE REGROUPE'!I1028+'[1]BALANCE REGROUPE'!I1038+'[1]BALANCE REGROUPE'!I1044+'[1]BALANCE REGROUPE'!I1045+'[1]BALANCE REGROUPE'!I1051+'[1]BALANCE REGROUPE'!I1057-'[1]BALANCE REGROUPE'!J1399</f>
        <v>0</v>
      </c>
      <c r="K30" s="283" t="s">
        <v>81</v>
      </c>
      <c r="L30" s="1288" t="str">
        <f>PASSIF!C34</f>
        <v>Autres dettes</v>
      </c>
      <c r="M30" s="1292">
        <v>19</v>
      </c>
      <c r="N30" s="1286">
        <f>'[1]CLASSE 4'!J302+'[1]CLASSE 4'!J304+'[1]CLASSE 4'!J306+'[1]CLASSE 4'!J310+'[1]CLASSE 4'!J312+'[1]CLASSE 4'!J320+'[1]CLASSE 4'!J326+'[1]CLASSE 4'!J327+'[1]CLASSE 4'!J328+'[1]CLASSE 4'!J333+'[1]CLASSE 4'!J335+'[1]CLASSE 4'!J337+'[1]CLASSE 4'!J339+'[1]CLASSE 4'!J343+'[1]CLASSE 4'!J345+'[1]CLASSE 4'!J357+'[1]CLASSE 4'!J361+'[1]CLASSE 4'!J363+'[1]CLASSE 4'!J369+'[1]CLASSE 4'!J375+'[1]CLASSE 4'!J379+'[1]CLASSE 1'!J231+'[1]CLASSE 4'!J349+'[1]CLASSE 4'!J351+'[1]CLASSE 4'!J287+'[1]CLASSE 4'!J288</f>
        <v>0</v>
      </c>
      <c r="O30" s="1286">
        <f>'[1]BALANCE REGROUPE'!J1234+'[1]BALANCE REGROUPE'!J1233+'[1]BALANCE REGROUPE'!J1240+'[1]BALANCE REGROUPE'!J1260+'[1]BALANCE REGROUPE'!J1266+'[1]BALANCE REGROUPE'!J1272+'[1]BALANCE REGROUPE'!J1273+'[1]BALANCE REGROUPE'!J1274+'[1]BALANCE REGROUPE'!J1275+'[1]BALANCE REGROUPE'!J1279+'[1]BALANCE REGROUPE'!J1281+'[1]BALANCE REGROUPE'!J1283+'[1]BALANCE REGROUPE'!J1285+'[1]BALANCE REGROUPE'!J1289+'[1]BALANCE REGROUPE'!J1291+'[1]BALANCE REGROUPE'!J1301+'[1]BALANCE REGROUPE'!J1303+'[1]BALANCE REGROUPE'!J1305+'[1]BALANCE REGROUPE'!J1307+'[1]BALANCE REGROUPE'!J1309+'[1]BALANCE REGROUPE'!J1317+'[1]BALANCE REGROUPE'!J1321+'[1]BALANCE REGROUPE'!J1325+'[1]BALANCE REGROUPE'!J1295+'[1]BALANCE REGROUPE'!J1297+'[1]BALANCE REGROUPE'!J229</f>
        <v>0</v>
      </c>
    </row>
    <row r="31" spans="2:15" ht="21.6" customHeight="1">
      <c r="B31" s="283" t="s">
        <v>50</v>
      </c>
      <c r="C31" s="1602" t="str">
        <f>ACTIF!C37</f>
        <v>Autres créances</v>
      </c>
      <c r="D31" s="1603"/>
      <c r="E31" s="1604"/>
      <c r="F31" s="284">
        <v>8</v>
      </c>
      <c r="G31" s="285">
        <f>'[1]BILAN paysage'!G31</f>
        <v>0</v>
      </c>
      <c r="H31" s="285">
        <f>'[1]BILAN paysage'!H31</f>
        <v>0</v>
      </c>
      <c r="I31" s="285">
        <f>'[1]BILAN paysage'!I31</f>
        <v>0</v>
      </c>
      <c r="J31" s="285">
        <f>'[1]BILAN paysage'!J31</f>
        <v>0</v>
      </c>
      <c r="K31" s="283" t="s">
        <v>90</v>
      </c>
      <c r="L31" s="1288" t="str">
        <f>PASSIF!C35</f>
        <v>Provisions pour risques à court terme</v>
      </c>
      <c r="M31" s="1292">
        <v>19</v>
      </c>
      <c r="N31" s="1286">
        <f>'[1]CLASSE 4'!J483-'[1]CLASSE 4'!J482+'[1]CLASSE 5'!J139</f>
        <v>0</v>
      </c>
      <c r="O31" s="1286">
        <f>'[1]BALANCE REGROUPE'!J1428-'[1]BALANCE REGROUPE'!J1426+'[1]BALANCE REGROUPE'!J1564</f>
        <v>0</v>
      </c>
    </row>
    <row r="32" spans="2:15" ht="20.45" customHeight="1">
      <c r="B32" s="276" t="s">
        <v>51</v>
      </c>
      <c r="C32" s="1605" t="str">
        <f>ACTIF!C38</f>
        <v>TOTAL ACTIF CIRCULANT</v>
      </c>
      <c r="D32" s="1606"/>
      <c r="E32" s="1607"/>
      <c r="F32" s="277"/>
      <c r="G32" s="278">
        <f>G26+G27+G28</f>
        <v>0</v>
      </c>
      <c r="H32" s="278">
        <f>H26+H27+H28</f>
        <v>0</v>
      </c>
      <c r="I32" s="278">
        <f t="shared" si="0"/>
        <v>0</v>
      </c>
      <c r="J32" s="278">
        <f>J26+J27+J28</f>
        <v>0</v>
      </c>
      <c r="K32" s="279" t="s">
        <v>83</v>
      </c>
      <c r="L32" s="297" t="str">
        <f>PASSIF!C36</f>
        <v>TOTAL PASSIF CIRCULANT</v>
      </c>
      <c r="M32" s="291"/>
      <c r="N32" s="292">
        <f>SUM(N26:N31)</f>
        <v>0</v>
      </c>
      <c r="O32" s="292">
        <f>SUM(O26:O31)</f>
        <v>0</v>
      </c>
    </row>
    <row r="33" spans="2:15" ht="26.45" customHeight="1">
      <c r="B33" s="283" t="s">
        <v>52</v>
      </c>
      <c r="C33" s="1602" t="str">
        <f>ACTIF!C39</f>
        <v>Titres de placement</v>
      </c>
      <c r="D33" s="1603"/>
      <c r="E33" s="1604"/>
      <c r="F33" s="284">
        <v>9</v>
      </c>
      <c r="G33" s="285">
        <f>'[1]CLASSE 5'!I14+'[1]CLASSE 5'!I28+'[1]CLASSE 5'!I40+'[1]CLASSE 5'!I46+'[1]CLASSE 5'!I47+'[1]CLASSE 5'!I55+'[1]CLASSE 5'!I56</f>
        <v>0</v>
      </c>
      <c r="H33" s="285">
        <f>'[1]CLASSE 5'!J134</f>
        <v>0</v>
      </c>
      <c r="I33" s="288">
        <f t="shared" si="0"/>
        <v>0</v>
      </c>
      <c r="J33" s="286">
        <f>'[1]BALANCE REGROUPE'!I1439+'[1]BALANCE REGROUPE'!I1453+'[1]BALANCE REGROUPE'!I1465+'[1]BALANCE REGROUPE'!I1471+'[1]BALANCE REGROUPE'!I1472+'[1]BALANCE REGROUPE'!I1480+'[1]BALANCE REGROUPE'!I1481-'[1]BALANCE REGROUPE'!J1559</f>
        <v>0</v>
      </c>
      <c r="K33" s="283"/>
      <c r="L33" s="1296" t="str">
        <f>PASSIF!C37</f>
        <v>Banques, crédits d'escompte</v>
      </c>
      <c r="M33" s="1297">
        <v>20</v>
      </c>
      <c r="N33" s="1286">
        <f>'[1]CLASSE 5'!J109+'[1]CLASSE 5'!J110</f>
        <v>0</v>
      </c>
      <c r="O33" s="1286">
        <f>'[1]BALANCE REGROUPE'!J1534+'[1]BALANCE REGROUPE'!J1535</f>
        <v>0</v>
      </c>
    </row>
    <row r="34" spans="2:15" ht="26.45" customHeight="1">
      <c r="B34" s="283" t="s">
        <v>53</v>
      </c>
      <c r="C34" s="1602" t="str">
        <f>ACTIF!C40</f>
        <v>Valeurs à encaisser</v>
      </c>
      <c r="D34" s="1603"/>
      <c r="E34" s="1604"/>
      <c r="F34" s="284">
        <v>10</v>
      </c>
      <c r="G34" s="285">
        <f>SUM('[1]CLASSE 5'!I57:I61)+'[1]CLASSE 5'!I73</f>
        <v>0</v>
      </c>
      <c r="H34" s="285">
        <f>'[1]CLASSE 5'!J135</f>
        <v>0</v>
      </c>
      <c r="I34" s="288">
        <f t="shared" si="0"/>
        <v>0</v>
      </c>
      <c r="J34" s="286">
        <f>SUM('[1]BALANCE REGROUPE'!I1481:I1486)+'[1]BALANCE REGROUPE'!I1498-'[1]BALANCE REGROUPE'!J1560</f>
        <v>0</v>
      </c>
      <c r="K34" s="283" t="s">
        <v>84</v>
      </c>
      <c r="L34" s="1611" t="str">
        <f>PASSIF!C38</f>
        <v>Banques, établissements financiers et crédits de trésorerie</v>
      </c>
      <c r="M34" s="1613">
        <v>20</v>
      </c>
      <c r="N34" s="1615">
        <f>'[1]CLASSE 5'!J79+'[1]CLASSE 5'!J108+'[1]CLASSE 5'!J111+'[1]CLASSE 5'!J86+'[1]CLASSE 5'!J75+'[1]CLASSE 5'!J77</f>
        <v>0</v>
      </c>
      <c r="O34" s="1615">
        <f>'[1]BALANCE REGROUPE'!J1504+'[1]BALANCE REGROUPE'!J1511+'[1]BALANCE REGROUPE'!J1533+'[1]BALANCE REGROUPE'!J1536+'[1]BALANCE REGROUPE'!J1500+'[1]BALANCE REGROUPE'!J1502</f>
        <v>0</v>
      </c>
    </row>
    <row r="35" spans="2:15" ht="26.45" customHeight="1">
      <c r="B35" s="283" t="s">
        <v>54</v>
      </c>
      <c r="C35" s="1602" t="str">
        <f>ACTIF!C41</f>
        <v>Banques, chèques postaux, Caisse et assimilés</v>
      </c>
      <c r="D35" s="1603"/>
      <c r="E35" s="1604"/>
      <c r="F35" s="284">
        <v>11</v>
      </c>
      <c r="G35" s="285">
        <f>'[1]CLASSE 5'!I75+'[1]CLASSE 5'!I77+SUM('[1]CLASSE 5'!I81:I84)+'[1]CLASSE 5'!I90+SUM('[1]CLASSE 5'!I91:I107)+'[1]CLASSE 5'!I117+'[1]CLASSE 5'!I123+'[1]CLASSE 5'!I129+'[1]CLASSE 5'!I130+'[1]CLASSE 5'!I131+'[1]CLASSE 5'!I79</f>
        <v>0</v>
      </c>
      <c r="H35" s="285">
        <f>SUM('[1]CLASSE 5'!J136:J138)</f>
        <v>0</v>
      </c>
      <c r="I35" s="288">
        <f t="shared" si="0"/>
        <v>0</v>
      </c>
      <c r="J35" s="286">
        <f>'[1]BALANCE REGROUPE'!I1500+'[1]BALANCE REGROUPE'!I1502+'[1]BALANCE REGROUPE'!I1515+SUM('[1]BALANCE REGROUPE'!I1516:I1533)+SUM('[1]BALANCE REGROUPE'!I1506:I1509)+'[1]BALANCE REGROUPE'!I1542+'[1]BALANCE REGROUPE'!I1548+'[1]BALANCE REGROUPE'!I1554-(SUM('[1]BALANCE REGROUPE'!J1561:J1563))</f>
        <v>0</v>
      </c>
      <c r="K35" s="283" t="s">
        <v>85</v>
      </c>
      <c r="L35" s="1612"/>
      <c r="M35" s="1614"/>
      <c r="N35" s="1615"/>
      <c r="O35" s="1615"/>
    </row>
    <row r="36" spans="2:15" ht="20.45" customHeight="1">
      <c r="B36" s="276" t="s">
        <v>55</v>
      </c>
      <c r="C36" s="1605" t="str">
        <f>ACTIF!C42</f>
        <v>TOTAL TRESORERIE ACTIF</v>
      </c>
      <c r="D36" s="1606"/>
      <c r="E36" s="1607"/>
      <c r="F36" s="277"/>
      <c r="G36" s="278">
        <f>SUM(G33:G35)</f>
        <v>0</v>
      </c>
      <c r="H36" s="278">
        <f>SUM(H33:H35)</f>
        <v>0</v>
      </c>
      <c r="I36" s="278">
        <f t="shared" si="0"/>
        <v>0</v>
      </c>
      <c r="J36" s="278">
        <f>SUM(J33:J35)</f>
        <v>0</v>
      </c>
      <c r="K36" s="279" t="s">
        <v>86</v>
      </c>
      <c r="L36" s="297" t="str">
        <f>PASSIF!C39</f>
        <v>TOTAL TRESORERIE PASSIF</v>
      </c>
      <c r="M36" s="291"/>
      <c r="N36" s="292">
        <f>SUM(N33:N34)</f>
        <v>0</v>
      </c>
      <c r="O36" s="292">
        <f>SUM(O33:O34)</f>
        <v>0</v>
      </c>
    </row>
    <row r="37" spans="2:15" ht="21.6" customHeight="1">
      <c r="B37" s="283" t="s">
        <v>56</v>
      </c>
      <c r="C37" s="1602" t="str">
        <f>ACTIF!C43</f>
        <v>Ecart de conversion Actif</v>
      </c>
      <c r="D37" s="1603"/>
      <c r="E37" s="1604"/>
      <c r="F37" s="284">
        <v>12</v>
      </c>
      <c r="G37" s="285">
        <f>'[1]CLASSE 4'!I393</f>
        <v>0</v>
      </c>
      <c r="H37" s="285"/>
      <c r="I37" s="288">
        <f t="shared" si="0"/>
        <v>0</v>
      </c>
      <c r="J37" s="286">
        <f>'[1]BALANCE REGROUPE'!I1339</f>
        <v>0</v>
      </c>
      <c r="K37" s="283" t="s">
        <v>87</v>
      </c>
      <c r="L37" s="1296" t="str">
        <f>PASSIF!C40</f>
        <v>Ecart de conversion-passif</v>
      </c>
      <c r="M37" s="1298">
        <v>12</v>
      </c>
      <c r="N37" s="1293">
        <f>'[1]CLASSE 4'!J407</f>
        <v>0</v>
      </c>
      <c r="O37" s="1293">
        <f>'[1]BALANCE REGROUPE'!J1353</f>
        <v>0</v>
      </c>
    </row>
    <row r="38" spans="2:15" ht="20.45" customHeight="1">
      <c r="B38" s="276" t="s">
        <v>57</v>
      </c>
      <c r="C38" s="1605" t="s">
        <v>58</v>
      </c>
      <c r="D38" s="1606"/>
      <c r="E38" s="1607"/>
      <c r="F38" s="277"/>
      <c r="G38" s="278">
        <f>G25+G32+G36+G37</f>
        <v>0</v>
      </c>
      <c r="H38" s="278">
        <f>H25+H32+H36+H37</f>
        <v>0</v>
      </c>
      <c r="I38" s="278">
        <f t="shared" si="0"/>
        <v>0</v>
      </c>
      <c r="J38" s="278">
        <f>J25+J32+J36+J37</f>
        <v>0</v>
      </c>
      <c r="K38" s="302" t="s">
        <v>88</v>
      </c>
      <c r="L38" s="303" t="s">
        <v>58</v>
      </c>
      <c r="M38" s="292"/>
      <c r="N38" s="292">
        <f ca="1">N25+N32+N36+N37</f>
        <v>0</v>
      </c>
      <c r="O38" s="278">
        <f ca="1">O25+O32+O36+O37</f>
        <v>0</v>
      </c>
    </row>
    <row r="39" spans="2:15">
      <c r="B39" s="304"/>
      <c r="C39" s="305"/>
      <c r="D39" s="305"/>
      <c r="E39" s="306"/>
      <c r="F39" s="307"/>
      <c r="G39" s="306"/>
      <c r="H39" s="306"/>
      <c r="I39" s="308">
        <f ca="1">+I38-N38</f>
        <v>0</v>
      </c>
      <c r="J39" s="308">
        <f ca="1">+J38-O38</f>
        <v>0</v>
      </c>
      <c r="K39" s="307"/>
      <c r="L39" s="306"/>
      <c r="M39" s="307"/>
      <c r="N39" s="306"/>
      <c r="O39" s="306"/>
    </row>
    <row r="40" spans="2:15">
      <c r="L40" s="310"/>
    </row>
    <row r="42" spans="2:15">
      <c r="J42" s="311"/>
      <c r="L42" s="310"/>
    </row>
  </sheetData>
  <sheetProtection selectLockedCells="1"/>
  <mergeCells count="44">
    <mergeCell ref="C36:E36"/>
    <mergeCell ref="C37:E37"/>
    <mergeCell ref="C38:E38"/>
    <mergeCell ref="C33:E33"/>
    <mergeCell ref="C34:E34"/>
    <mergeCell ref="L34:L35"/>
    <mergeCell ref="M34:M35"/>
    <mergeCell ref="N34:N35"/>
    <mergeCell ref="O34:O35"/>
    <mergeCell ref="C35:E35"/>
    <mergeCell ref="C32:E32"/>
    <mergeCell ref="C21:E21"/>
    <mergeCell ref="C22:E22"/>
    <mergeCell ref="C23:E23"/>
    <mergeCell ref="C24:E24"/>
    <mergeCell ref="C25:E25"/>
    <mergeCell ref="C26:E26"/>
    <mergeCell ref="C27:E27"/>
    <mergeCell ref="C28:E28"/>
    <mergeCell ref="C29:E29"/>
    <mergeCell ref="C30:E30"/>
    <mergeCell ref="C31:E31"/>
    <mergeCell ref="C20:E20"/>
    <mergeCell ref="M7:M9"/>
    <mergeCell ref="N7:N9"/>
    <mergeCell ref="O7:O9"/>
    <mergeCell ref="C10:E10"/>
    <mergeCell ref="C11:E11"/>
    <mergeCell ref="C12:E12"/>
    <mergeCell ref="C13:E13"/>
    <mergeCell ref="C14:E14"/>
    <mergeCell ref="C15:E15"/>
    <mergeCell ref="C18:E18"/>
    <mergeCell ref="C19:E19"/>
    <mergeCell ref="N1:O1"/>
    <mergeCell ref="I5:J5"/>
    <mergeCell ref="B6:O6"/>
    <mergeCell ref="B7:B9"/>
    <mergeCell ref="C7:E9"/>
    <mergeCell ref="F7:F9"/>
    <mergeCell ref="G7:I8"/>
    <mergeCell ref="J7:J8"/>
    <mergeCell ref="K7:K9"/>
    <mergeCell ref="L7:L9"/>
  </mergeCells>
  <conditionalFormatting sqref="N4 F4 H3">
    <cfRule type="expression" dxfId="52" priority="2">
      <formula>#REF!=1</formula>
    </cfRule>
  </conditionalFormatting>
  <conditionalFormatting sqref="E5 H5">
    <cfRule type="expression" dxfId="51" priority="1">
      <formula>#REF!=1</formula>
    </cfRule>
  </conditionalFormatting>
  <dataValidations count="1">
    <dataValidation type="whole" allowBlank="1" showErrorMessage="1" errorTitle="Attention !" error="Valeur numérique attendue" sqref="G11:J14 JC11:JF14 SY11:TB14 ACU11:ACX14 AMQ11:AMT14 AWM11:AWP14 BGI11:BGL14 BQE11:BQH14 CAA11:CAD14 CJW11:CJZ14 CTS11:CTV14 DDO11:DDR14 DNK11:DNN14 DXG11:DXJ14 EHC11:EHF14 EQY11:ERB14 FAU11:FAX14 FKQ11:FKT14 FUM11:FUP14 GEI11:GEL14 GOE11:GOH14 GYA11:GYD14 HHW11:HHZ14 HRS11:HRV14 IBO11:IBR14 ILK11:ILN14 IVG11:IVJ14 JFC11:JFF14 JOY11:JPB14 JYU11:JYX14 KIQ11:KIT14 KSM11:KSP14 LCI11:LCL14 LME11:LMH14 LWA11:LWD14 MFW11:MFZ14 MPS11:MPV14 MZO11:MZR14 NJK11:NJN14 NTG11:NTJ14 ODC11:ODF14 OMY11:ONB14 OWU11:OWX14 PGQ11:PGT14 PQM11:PQP14 QAI11:QAL14 QKE11:QKH14 QUA11:QUD14 RDW11:RDZ14 RNS11:RNV14 RXO11:RXR14 SHK11:SHN14 SRG11:SRJ14 TBC11:TBF14 TKY11:TLB14 TUU11:TUX14 UEQ11:UET14 UOM11:UOP14 UYI11:UYL14 VIE11:VIH14 VSA11:VSD14 WBW11:WBZ14 WLS11:WLV14 WVO11:WVR14 G65547:J65550 JC65547:JF65550 SY65547:TB65550 ACU65547:ACX65550 AMQ65547:AMT65550 AWM65547:AWP65550 BGI65547:BGL65550 BQE65547:BQH65550 CAA65547:CAD65550 CJW65547:CJZ65550 CTS65547:CTV65550 DDO65547:DDR65550 DNK65547:DNN65550 DXG65547:DXJ65550 EHC65547:EHF65550 EQY65547:ERB65550 FAU65547:FAX65550 FKQ65547:FKT65550 FUM65547:FUP65550 GEI65547:GEL65550 GOE65547:GOH65550 GYA65547:GYD65550 HHW65547:HHZ65550 HRS65547:HRV65550 IBO65547:IBR65550 ILK65547:ILN65550 IVG65547:IVJ65550 JFC65547:JFF65550 JOY65547:JPB65550 JYU65547:JYX65550 KIQ65547:KIT65550 KSM65547:KSP65550 LCI65547:LCL65550 LME65547:LMH65550 LWA65547:LWD65550 MFW65547:MFZ65550 MPS65547:MPV65550 MZO65547:MZR65550 NJK65547:NJN65550 NTG65547:NTJ65550 ODC65547:ODF65550 OMY65547:ONB65550 OWU65547:OWX65550 PGQ65547:PGT65550 PQM65547:PQP65550 QAI65547:QAL65550 QKE65547:QKH65550 QUA65547:QUD65550 RDW65547:RDZ65550 RNS65547:RNV65550 RXO65547:RXR65550 SHK65547:SHN65550 SRG65547:SRJ65550 TBC65547:TBF65550 TKY65547:TLB65550 TUU65547:TUX65550 UEQ65547:UET65550 UOM65547:UOP65550 UYI65547:UYL65550 VIE65547:VIH65550 VSA65547:VSD65550 WBW65547:WBZ65550 WLS65547:WLV65550 WVO65547:WVR65550 G131083:J131086 JC131083:JF131086 SY131083:TB131086 ACU131083:ACX131086 AMQ131083:AMT131086 AWM131083:AWP131086 BGI131083:BGL131086 BQE131083:BQH131086 CAA131083:CAD131086 CJW131083:CJZ131086 CTS131083:CTV131086 DDO131083:DDR131086 DNK131083:DNN131086 DXG131083:DXJ131086 EHC131083:EHF131086 EQY131083:ERB131086 FAU131083:FAX131086 FKQ131083:FKT131086 FUM131083:FUP131086 GEI131083:GEL131086 GOE131083:GOH131086 GYA131083:GYD131086 HHW131083:HHZ131086 HRS131083:HRV131086 IBO131083:IBR131086 ILK131083:ILN131086 IVG131083:IVJ131086 JFC131083:JFF131086 JOY131083:JPB131086 JYU131083:JYX131086 KIQ131083:KIT131086 KSM131083:KSP131086 LCI131083:LCL131086 LME131083:LMH131086 LWA131083:LWD131086 MFW131083:MFZ131086 MPS131083:MPV131086 MZO131083:MZR131086 NJK131083:NJN131086 NTG131083:NTJ131086 ODC131083:ODF131086 OMY131083:ONB131086 OWU131083:OWX131086 PGQ131083:PGT131086 PQM131083:PQP131086 QAI131083:QAL131086 QKE131083:QKH131086 QUA131083:QUD131086 RDW131083:RDZ131086 RNS131083:RNV131086 RXO131083:RXR131086 SHK131083:SHN131086 SRG131083:SRJ131086 TBC131083:TBF131086 TKY131083:TLB131086 TUU131083:TUX131086 UEQ131083:UET131086 UOM131083:UOP131086 UYI131083:UYL131086 VIE131083:VIH131086 VSA131083:VSD131086 WBW131083:WBZ131086 WLS131083:WLV131086 WVO131083:WVR131086 G196619:J196622 JC196619:JF196622 SY196619:TB196622 ACU196619:ACX196622 AMQ196619:AMT196622 AWM196619:AWP196622 BGI196619:BGL196622 BQE196619:BQH196622 CAA196619:CAD196622 CJW196619:CJZ196622 CTS196619:CTV196622 DDO196619:DDR196622 DNK196619:DNN196622 DXG196619:DXJ196622 EHC196619:EHF196622 EQY196619:ERB196622 FAU196619:FAX196622 FKQ196619:FKT196622 FUM196619:FUP196622 GEI196619:GEL196622 GOE196619:GOH196622 GYA196619:GYD196622 HHW196619:HHZ196622 HRS196619:HRV196622 IBO196619:IBR196622 ILK196619:ILN196622 IVG196619:IVJ196622 JFC196619:JFF196622 JOY196619:JPB196622 JYU196619:JYX196622 KIQ196619:KIT196622 KSM196619:KSP196622 LCI196619:LCL196622 LME196619:LMH196622 LWA196619:LWD196622 MFW196619:MFZ196622 MPS196619:MPV196622 MZO196619:MZR196622 NJK196619:NJN196622 NTG196619:NTJ196622 ODC196619:ODF196622 OMY196619:ONB196622 OWU196619:OWX196622 PGQ196619:PGT196622 PQM196619:PQP196622 QAI196619:QAL196622 QKE196619:QKH196622 QUA196619:QUD196622 RDW196619:RDZ196622 RNS196619:RNV196622 RXO196619:RXR196622 SHK196619:SHN196622 SRG196619:SRJ196622 TBC196619:TBF196622 TKY196619:TLB196622 TUU196619:TUX196622 UEQ196619:UET196622 UOM196619:UOP196622 UYI196619:UYL196622 VIE196619:VIH196622 VSA196619:VSD196622 WBW196619:WBZ196622 WLS196619:WLV196622 WVO196619:WVR196622 G262155:J262158 JC262155:JF262158 SY262155:TB262158 ACU262155:ACX262158 AMQ262155:AMT262158 AWM262155:AWP262158 BGI262155:BGL262158 BQE262155:BQH262158 CAA262155:CAD262158 CJW262155:CJZ262158 CTS262155:CTV262158 DDO262155:DDR262158 DNK262155:DNN262158 DXG262155:DXJ262158 EHC262155:EHF262158 EQY262155:ERB262158 FAU262155:FAX262158 FKQ262155:FKT262158 FUM262155:FUP262158 GEI262155:GEL262158 GOE262155:GOH262158 GYA262155:GYD262158 HHW262155:HHZ262158 HRS262155:HRV262158 IBO262155:IBR262158 ILK262155:ILN262158 IVG262155:IVJ262158 JFC262155:JFF262158 JOY262155:JPB262158 JYU262155:JYX262158 KIQ262155:KIT262158 KSM262155:KSP262158 LCI262155:LCL262158 LME262155:LMH262158 LWA262155:LWD262158 MFW262155:MFZ262158 MPS262155:MPV262158 MZO262155:MZR262158 NJK262155:NJN262158 NTG262155:NTJ262158 ODC262155:ODF262158 OMY262155:ONB262158 OWU262155:OWX262158 PGQ262155:PGT262158 PQM262155:PQP262158 QAI262155:QAL262158 QKE262155:QKH262158 QUA262155:QUD262158 RDW262155:RDZ262158 RNS262155:RNV262158 RXO262155:RXR262158 SHK262155:SHN262158 SRG262155:SRJ262158 TBC262155:TBF262158 TKY262155:TLB262158 TUU262155:TUX262158 UEQ262155:UET262158 UOM262155:UOP262158 UYI262155:UYL262158 VIE262155:VIH262158 VSA262155:VSD262158 WBW262155:WBZ262158 WLS262155:WLV262158 WVO262155:WVR262158 G327691:J327694 JC327691:JF327694 SY327691:TB327694 ACU327691:ACX327694 AMQ327691:AMT327694 AWM327691:AWP327694 BGI327691:BGL327694 BQE327691:BQH327694 CAA327691:CAD327694 CJW327691:CJZ327694 CTS327691:CTV327694 DDO327691:DDR327694 DNK327691:DNN327694 DXG327691:DXJ327694 EHC327691:EHF327694 EQY327691:ERB327694 FAU327691:FAX327694 FKQ327691:FKT327694 FUM327691:FUP327694 GEI327691:GEL327694 GOE327691:GOH327694 GYA327691:GYD327694 HHW327691:HHZ327694 HRS327691:HRV327694 IBO327691:IBR327694 ILK327691:ILN327694 IVG327691:IVJ327694 JFC327691:JFF327694 JOY327691:JPB327694 JYU327691:JYX327694 KIQ327691:KIT327694 KSM327691:KSP327694 LCI327691:LCL327694 LME327691:LMH327694 LWA327691:LWD327694 MFW327691:MFZ327694 MPS327691:MPV327694 MZO327691:MZR327694 NJK327691:NJN327694 NTG327691:NTJ327694 ODC327691:ODF327694 OMY327691:ONB327694 OWU327691:OWX327694 PGQ327691:PGT327694 PQM327691:PQP327694 QAI327691:QAL327694 QKE327691:QKH327694 QUA327691:QUD327694 RDW327691:RDZ327694 RNS327691:RNV327694 RXO327691:RXR327694 SHK327691:SHN327694 SRG327691:SRJ327694 TBC327691:TBF327694 TKY327691:TLB327694 TUU327691:TUX327694 UEQ327691:UET327694 UOM327691:UOP327694 UYI327691:UYL327694 VIE327691:VIH327694 VSA327691:VSD327694 WBW327691:WBZ327694 WLS327691:WLV327694 WVO327691:WVR327694 G393227:J393230 JC393227:JF393230 SY393227:TB393230 ACU393227:ACX393230 AMQ393227:AMT393230 AWM393227:AWP393230 BGI393227:BGL393230 BQE393227:BQH393230 CAA393227:CAD393230 CJW393227:CJZ393230 CTS393227:CTV393230 DDO393227:DDR393230 DNK393227:DNN393230 DXG393227:DXJ393230 EHC393227:EHF393230 EQY393227:ERB393230 FAU393227:FAX393230 FKQ393227:FKT393230 FUM393227:FUP393230 GEI393227:GEL393230 GOE393227:GOH393230 GYA393227:GYD393230 HHW393227:HHZ393230 HRS393227:HRV393230 IBO393227:IBR393230 ILK393227:ILN393230 IVG393227:IVJ393230 JFC393227:JFF393230 JOY393227:JPB393230 JYU393227:JYX393230 KIQ393227:KIT393230 KSM393227:KSP393230 LCI393227:LCL393230 LME393227:LMH393230 LWA393227:LWD393230 MFW393227:MFZ393230 MPS393227:MPV393230 MZO393227:MZR393230 NJK393227:NJN393230 NTG393227:NTJ393230 ODC393227:ODF393230 OMY393227:ONB393230 OWU393227:OWX393230 PGQ393227:PGT393230 PQM393227:PQP393230 QAI393227:QAL393230 QKE393227:QKH393230 QUA393227:QUD393230 RDW393227:RDZ393230 RNS393227:RNV393230 RXO393227:RXR393230 SHK393227:SHN393230 SRG393227:SRJ393230 TBC393227:TBF393230 TKY393227:TLB393230 TUU393227:TUX393230 UEQ393227:UET393230 UOM393227:UOP393230 UYI393227:UYL393230 VIE393227:VIH393230 VSA393227:VSD393230 WBW393227:WBZ393230 WLS393227:WLV393230 WVO393227:WVR393230 G458763:J458766 JC458763:JF458766 SY458763:TB458766 ACU458763:ACX458766 AMQ458763:AMT458766 AWM458763:AWP458766 BGI458763:BGL458766 BQE458763:BQH458766 CAA458763:CAD458766 CJW458763:CJZ458766 CTS458763:CTV458766 DDO458763:DDR458766 DNK458763:DNN458766 DXG458763:DXJ458766 EHC458763:EHF458766 EQY458763:ERB458766 FAU458763:FAX458766 FKQ458763:FKT458766 FUM458763:FUP458766 GEI458763:GEL458766 GOE458763:GOH458766 GYA458763:GYD458766 HHW458763:HHZ458766 HRS458763:HRV458766 IBO458763:IBR458766 ILK458763:ILN458766 IVG458763:IVJ458766 JFC458763:JFF458766 JOY458763:JPB458766 JYU458763:JYX458766 KIQ458763:KIT458766 KSM458763:KSP458766 LCI458763:LCL458766 LME458763:LMH458766 LWA458763:LWD458766 MFW458763:MFZ458766 MPS458763:MPV458766 MZO458763:MZR458766 NJK458763:NJN458766 NTG458763:NTJ458766 ODC458763:ODF458766 OMY458763:ONB458766 OWU458763:OWX458766 PGQ458763:PGT458766 PQM458763:PQP458766 QAI458763:QAL458766 QKE458763:QKH458766 QUA458763:QUD458766 RDW458763:RDZ458766 RNS458763:RNV458766 RXO458763:RXR458766 SHK458763:SHN458766 SRG458763:SRJ458766 TBC458763:TBF458766 TKY458763:TLB458766 TUU458763:TUX458766 UEQ458763:UET458766 UOM458763:UOP458766 UYI458763:UYL458766 VIE458763:VIH458766 VSA458763:VSD458766 WBW458763:WBZ458766 WLS458763:WLV458766 WVO458763:WVR458766 G524299:J524302 JC524299:JF524302 SY524299:TB524302 ACU524299:ACX524302 AMQ524299:AMT524302 AWM524299:AWP524302 BGI524299:BGL524302 BQE524299:BQH524302 CAA524299:CAD524302 CJW524299:CJZ524302 CTS524299:CTV524302 DDO524299:DDR524302 DNK524299:DNN524302 DXG524299:DXJ524302 EHC524299:EHF524302 EQY524299:ERB524302 FAU524299:FAX524302 FKQ524299:FKT524302 FUM524299:FUP524302 GEI524299:GEL524302 GOE524299:GOH524302 GYA524299:GYD524302 HHW524299:HHZ524302 HRS524299:HRV524302 IBO524299:IBR524302 ILK524299:ILN524302 IVG524299:IVJ524302 JFC524299:JFF524302 JOY524299:JPB524302 JYU524299:JYX524302 KIQ524299:KIT524302 KSM524299:KSP524302 LCI524299:LCL524302 LME524299:LMH524302 LWA524299:LWD524302 MFW524299:MFZ524302 MPS524299:MPV524302 MZO524299:MZR524302 NJK524299:NJN524302 NTG524299:NTJ524302 ODC524299:ODF524302 OMY524299:ONB524302 OWU524299:OWX524302 PGQ524299:PGT524302 PQM524299:PQP524302 QAI524299:QAL524302 QKE524299:QKH524302 QUA524299:QUD524302 RDW524299:RDZ524302 RNS524299:RNV524302 RXO524299:RXR524302 SHK524299:SHN524302 SRG524299:SRJ524302 TBC524299:TBF524302 TKY524299:TLB524302 TUU524299:TUX524302 UEQ524299:UET524302 UOM524299:UOP524302 UYI524299:UYL524302 VIE524299:VIH524302 VSA524299:VSD524302 WBW524299:WBZ524302 WLS524299:WLV524302 WVO524299:WVR524302 G589835:J589838 JC589835:JF589838 SY589835:TB589838 ACU589835:ACX589838 AMQ589835:AMT589838 AWM589835:AWP589838 BGI589835:BGL589838 BQE589835:BQH589838 CAA589835:CAD589838 CJW589835:CJZ589838 CTS589835:CTV589838 DDO589835:DDR589838 DNK589835:DNN589838 DXG589835:DXJ589838 EHC589835:EHF589838 EQY589835:ERB589838 FAU589835:FAX589838 FKQ589835:FKT589838 FUM589835:FUP589838 GEI589835:GEL589838 GOE589835:GOH589838 GYA589835:GYD589838 HHW589835:HHZ589838 HRS589835:HRV589838 IBO589835:IBR589838 ILK589835:ILN589838 IVG589835:IVJ589838 JFC589835:JFF589838 JOY589835:JPB589838 JYU589835:JYX589838 KIQ589835:KIT589838 KSM589835:KSP589838 LCI589835:LCL589838 LME589835:LMH589838 LWA589835:LWD589838 MFW589835:MFZ589838 MPS589835:MPV589838 MZO589835:MZR589838 NJK589835:NJN589838 NTG589835:NTJ589838 ODC589835:ODF589838 OMY589835:ONB589838 OWU589835:OWX589838 PGQ589835:PGT589838 PQM589835:PQP589838 QAI589835:QAL589838 QKE589835:QKH589838 QUA589835:QUD589838 RDW589835:RDZ589838 RNS589835:RNV589838 RXO589835:RXR589838 SHK589835:SHN589838 SRG589835:SRJ589838 TBC589835:TBF589838 TKY589835:TLB589838 TUU589835:TUX589838 UEQ589835:UET589838 UOM589835:UOP589838 UYI589835:UYL589838 VIE589835:VIH589838 VSA589835:VSD589838 WBW589835:WBZ589838 WLS589835:WLV589838 WVO589835:WVR589838 G655371:J655374 JC655371:JF655374 SY655371:TB655374 ACU655371:ACX655374 AMQ655371:AMT655374 AWM655371:AWP655374 BGI655371:BGL655374 BQE655371:BQH655374 CAA655371:CAD655374 CJW655371:CJZ655374 CTS655371:CTV655374 DDO655371:DDR655374 DNK655371:DNN655374 DXG655371:DXJ655374 EHC655371:EHF655374 EQY655371:ERB655374 FAU655371:FAX655374 FKQ655371:FKT655374 FUM655371:FUP655374 GEI655371:GEL655374 GOE655371:GOH655374 GYA655371:GYD655374 HHW655371:HHZ655374 HRS655371:HRV655374 IBO655371:IBR655374 ILK655371:ILN655374 IVG655371:IVJ655374 JFC655371:JFF655374 JOY655371:JPB655374 JYU655371:JYX655374 KIQ655371:KIT655374 KSM655371:KSP655374 LCI655371:LCL655374 LME655371:LMH655374 LWA655371:LWD655374 MFW655371:MFZ655374 MPS655371:MPV655374 MZO655371:MZR655374 NJK655371:NJN655374 NTG655371:NTJ655374 ODC655371:ODF655374 OMY655371:ONB655374 OWU655371:OWX655374 PGQ655371:PGT655374 PQM655371:PQP655374 QAI655371:QAL655374 QKE655371:QKH655374 QUA655371:QUD655374 RDW655371:RDZ655374 RNS655371:RNV655374 RXO655371:RXR655374 SHK655371:SHN655374 SRG655371:SRJ655374 TBC655371:TBF655374 TKY655371:TLB655374 TUU655371:TUX655374 UEQ655371:UET655374 UOM655371:UOP655374 UYI655371:UYL655374 VIE655371:VIH655374 VSA655371:VSD655374 WBW655371:WBZ655374 WLS655371:WLV655374 WVO655371:WVR655374 G720907:J720910 JC720907:JF720910 SY720907:TB720910 ACU720907:ACX720910 AMQ720907:AMT720910 AWM720907:AWP720910 BGI720907:BGL720910 BQE720907:BQH720910 CAA720907:CAD720910 CJW720907:CJZ720910 CTS720907:CTV720910 DDO720907:DDR720910 DNK720907:DNN720910 DXG720907:DXJ720910 EHC720907:EHF720910 EQY720907:ERB720910 FAU720907:FAX720910 FKQ720907:FKT720910 FUM720907:FUP720910 GEI720907:GEL720910 GOE720907:GOH720910 GYA720907:GYD720910 HHW720907:HHZ720910 HRS720907:HRV720910 IBO720907:IBR720910 ILK720907:ILN720910 IVG720907:IVJ720910 JFC720907:JFF720910 JOY720907:JPB720910 JYU720907:JYX720910 KIQ720907:KIT720910 KSM720907:KSP720910 LCI720907:LCL720910 LME720907:LMH720910 LWA720907:LWD720910 MFW720907:MFZ720910 MPS720907:MPV720910 MZO720907:MZR720910 NJK720907:NJN720910 NTG720907:NTJ720910 ODC720907:ODF720910 OMY720907:ONB720910 OWU720907:OWX720910 PGQ720907:PGT720910 PQM720907:PQP720910 QAI720907:QAL720910 QKE720907:QKH720910 QUA720907:QUD720910 RDW720907:RDZ720910 RNS720907:RNV720910 RXO720907:RXR720910 SHK720907:SHN720910 SRG720907:SRJ720910 TBC720907:TBF720910 TKY720907:TLB720910 TUU720907:TUX720910 UEQ720907:UET720910 UOM720907:UOP720910 UYI720907:UYL720910 VIE720907:VIH720910 VSA720907:VSD720910 WBW720907:WBZ720910 WLS720907:WLV720910 WVO720907:WVR720910 G786443:J786446 JC786443:JF786446 SY786443:TB786446 ACU786443:ACX786446 AMQ786443:AMT786446 AWM786443:AWP786446 BGI786443:BGL786446 BQE786443:BQH786446 CAA786443:CAD786446 CJW786443:CJZ786446 CTS786443:CTV786446 DDO786443:DDR786446 DNK786443:DNN786446 DXG786443:DXJ786446 EHC786443:EHF786446 EQY786443:ERB786446 FAU786443:FAX786446 FKQ786443:FKT786446 FUM786443:FUP786446 GEI786443:GEL786446 GOE786443:GOH786446 GYA786443:GYD786446 HHW786443:HHZ786446 HRS786443:HRV786446 IBO786443:IBR786446 ILK786443:ILN786446 IVG786443:IVJ786446 JFC786443:JFF786446 JOY786443:JPB786446 JYU786443:JYX786446 KIQ786443:KIT786446 KSM786443:KSP786446 LCI786443:LCL786446 LME786443:LMH786446 LWA786443:LWD786446 MFW786443:MFZ786446 MPS786443:MPV786446 MZO786443:MZR786446 NJK786443:NJN786446 NTG786443:NTJ786446 ODC786443:ODF786446 OMY786443:ONB786446 OWU786443:OWX786446 PGQ786443:PGT786446 PQM786443:PQP786446 QAI786443:QAL786446 QKE786443:QKH786446 QUA786443:QUD786446 RDW786443:RDZ786446 RNS786443:RNV786446 RXO786443:RXR786446 SHK786443:SHN786446 SRG786443:SRJ786446 TBC786443:TBF786446 TKY786443:TLB786446 TUU786443:TUX786446 UEQ786443:UET786446 UOM786443:UOP786446 UYI786443:UYL786446 VIE786443:VIH786446 VSA786443:VSD786446 WBW786443:WBZ786446 WLS786443:WLV786446 WVO786443:WVR786446 G851979:J851982 JC851979:JF851982 SY851979:TB851982 ACU851979:ACX851982 AMQ851979:AMT851982 AWM851979:AWP851982 BGI851979:BGL851982 BQE851979:BQH851982 CAA851979:CAD851982 CJW851979:CJZ851982 CTS851979:CTV851982 DDO851979:DDR851982 DNK851979:DNN851982 DXG851979:DXJ851982 EHC851979:EHF851982 EQY851979:ERB851982 FAU851979:FAX851982 FKQ851979:FKT851982 FUM851979:FUP851982 GEI851979:GEL851982 GOE851979:GOH851982 GYA851979:GYD851982 HHW851979:HHZ851982 HRS851979:HRV851982 IBO851979:IBR851982 ILK851979:ILN851982 IVG851979:IVJ851982 JFC851979:JFF851982 JOY851979:JPB851982 JYU851979:JYX851982 KIQ851979:KIT851982 KSM851979:KSP851982 LCI851979:LCL851982 LME851979:LMH851982 LWA851979:LWD851982 MFW851979:MFZ851982 MPS851979:MPV851982 MZO851979:MZR851982 NJK851979:NJN851982 NTG851979:NTJ851982 ODC851979:ODF851982 OMY851979:ONB851982 OWU851979:OWX851982 PGQ851979:PGT851982 PQM851979:PQP851982 QAI851979:QAL851982 QKE851979:QKH851982 QUA851979:QUD851982 RDW851979:RDZ851982 RNS851979:RNV851982 RXO851979:RXR851982 SHK851979:SHN851982 SRG851979:SRJ851982 TBC851979:TBF851982 TKY851979:TLB851982 TUU851979:TUX851982 UEQ851979:UET851982 UOM851979:UOP851982 UYI851979:UYL851982 VIE851979:VIH851982 VSA851979:VSD851982 WBW851979:WBZ851982 WLS851979:WLV851982 WVO851979:WVR851982 G917515:J917518 JC917515:JF917518 SY917515:TB917518 ACU917515:ACX917518 AMQ917515:AMT917518 AWM917515:AWP917518 BGI917515:BGL917518 BQE917515:BQH917518 CAA917515:CAD917518 CJW917515:CJZ917518 CTS917515:CTV917518 DDO917515:DDR917518 DNK917515:DNN917518 DXG917515:DXJ917518 EHC917515:EHF917518 EQY917515:ERB917518 FAU917515:FAX917518 FKQ917515:FKT917518 FUM917515:FUP917518 GEI917515:GEL917518 GOE917515:GOH917518 GYA917515:GYD917518 HHW917515:HHZ917518 HRS917515:HRV917518 IBO917515:IBR917518 ILK917515:ILN917518 IVG917515:IVJ917518 JFC917515:JFF917518 JOY917515:JPB917518 JYU917515:JYX917518 KIQ917515:KIT917518 KSM917515:KSP917518 LCI917515:LCL917518 LME917515:LMH917518 LWA917515:LWD917518 MFW917515:MFZ917518 MPS917515:MPV917518 MZO917515:MZR917518 NJK917515:NJN917518 NTG917515:NTJ917518 ODC917515:ODF917518 OMY917515:ONB917518 OWU917515:OWX917518 PGQ917515:PGT917518 PQM917515:PQP917518 QAI917515:QAL917518 QKE917515:QKH917518 QUA917515:QUD917518 RDW917515:RDZ917518 RNS917515:RNV917518 RXO917515:RXR917518 SHK917515:SHN917518 SRG917515:SRJ917518 TBC917515:TBF917518 TKY917515:TLB917518 TUU917515:TUX917518 UEQ917515:UET917518 UOM917515:UOP917518 UYI917515:UYL917518 VIE917515:VIH917518 VSA917515:VSD917518 WBW917515:WBZ917518 WLS917515:WLV917518 WVO917515:WVR917518 G983051:J983054 JC983051:JF983054 SY983051:TB983054 ACU983051:ACX983054 AMQ983051:AMT983054 AWM983051:AWP983054 BGI983051:BGL983054 BQE983051:BQH983054 CAA983051:CAD983054 CJW983051:CJZ983054 CTS983051:CTV983054 DDO983051:DDR983054 DNK983051:DNN983054 DXG983051:DXJ983054 EHC983051:EHF983054 EQY983051:ERB983054 FAU983051:FAX983054 FKQ983051:FKT983054 FUM983051:FUP983054 GEI983051:GEL983054 GOE983051:GOH983054 GYA983051:GYD983054 HHW983051:HHZ983054 HRS983051:HRV983054 IBO983051:IBR983054 ILK983051:ILN983054 IVG983051:IVJ983054 JFC983051:JFF983054 JOY983051:JPB983054 JYU983051:JYX983054 KIQ983051:KIT983054 KSM983051:KSP983054 LCI983051:LCL983054 LME983051:LMH983054 LWA983051:LWD983054 MFW983051:MFZ983054 MPS983051:MPV983054 MZO983051:MZR983054 NJK983051:NJN983054 NTG983051:NTJ983054 ODC983051:ODF983054 OMY983051:ONB983054 OWU983051:OWX983054 PGQ983051:PGT983054 PQM983051:PQP983054 QAI983051:QAL983054 QKE983051:QKH983054 QUA983051:QUD983054 RDW983051:RDZ983054 RNS983051:RNV983054 RXO983051:RXR983054 SHK983051:SHN983054 SRG983051:SRJ983054 TBC983051:TBF983054 TKY983051:TLB983054 TUU983051:TUX983054 UEQ983051:UET983054 UOM983051:UOP983054 UYI983051:UYL983054 VIE983051:VIH983054 VSA983051:VSD983054 WBW983051:WBZ983054 WLS983051:WLV983054 WVO983051:WVR983054" xr:uid="{00000000-0002-0000-0600-000000000000}">
      <formula1>-9999999999999</formula1>
      <formula2>9999999999999</formula2>
    </dataValidation>
  </dataValidations>
  <printOptions horizontalCentered="1"/>
  <pageMargins left="0.31496062992125984" right="0" top="0.74803149606299213" bottom="0" header="0.31496062992125984" footer="0.31496062992125984"/>
  <pageSetup paperSize="9" scale="62" orientation="landscape" r:id="rId1"/>
  <headerFooter>
    <oddHeader>&amp;C&amp;"-,Gras"&amp;14Page &amp;P / &amp;N</oddHeader>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4">
    <pageSetUpPr fitToPage="1"/>
  </sheetPr>
  <dimension ref="B1:M150"/>
  <sheetViews>
    <sheetView showGridLines="0" showZeros="0" topLeftCell="A110" zoomScale="90" zoomScaleNormal="90" zoomScaleSheetLayoutView="100" workbookViewId="0">
      <selection activeCell="J166" sqref="J166"/>
    </sheetView>
  </sheetViews>
  <sheetFormatPr baseColWidth="10" defaultColWidth="11.42578125" defaultRowHeight="15"/>
  <cols>
    <col min="1" max="1" width="7.42578125" style="2" customWidth="1"/>
    <col min="2" max="2" width="4.5703125" style="2" bestFit="1" customWidth="1"/>
    <col min="3" max="3" width="21" style="2" customWidth="1"/>
    <col min="4" max="4" width="16.7109375" style="2" customWidth="1"/>
    <col min="5" max="5" width="26.5703125" style="2" customWidth="1"/>
    <col min="6" max="6" width="3.5703125" style="2" customWidth="1"/>
    <col min="7" max="7" width="4.140625" style="2" customWidth="1"/>
    <col min="8" max="8" width="8.28515625" style="2" customWidth="1"/>
    <col min="9" max="9" width="22.5703125" style="2" customWidth="1"/>
    <col min="10" max="10" width="23.85546875" style="2" customWidth="1"/>
    <col min="11" max="11" width="11.42578125" style="2"/>
    <col min="12" max="12" width="17.5703125" style="2" bestFit="1" customWidth="1"/>
    <col min="13" max="13" width="16.42578125" style="2" bestFit="1" customWidth="1"/>
    <col min="14" max="16384" width="11.42578125" style="2"/>
  </cols>
  <sheetData>
    <row r="1" spans="2:12" ht="21.75" thickBot="1">
      <c r="B1" s="1580"/>
      <c r="C1" s="1580"/>
      <c r="D1" s="1580"/>
      <c r="E1" s="1580"/>
      <c r="F1" s="1580"/>
      <c r="G1" s="1580"/>
      <c r="H1" s="1580"/>
      <c r="I1" s="1580"/>
      <c r="J1" s="1580"/>
    </row>
    <row r="2" spans="2:12" ht="15.75" customHeight="1">
      <c r="B2" s="144"/>
      <c r="C2" s="144"/>
      <c r="D2" s="144"/>
      <c r="E2" s="144"/>
      <c r="F2" s="144"/>
      <c r="G2" s="144"/>
      <c r="H2" s="144"/>
      <c r="I2" s="1541" t="str">
        <f>IF([1]ACCUEIL!B1=1,"NORMAL SYSTEM INCOME STATEMENT
PAGE 1/1","COMPTE DE RESULTAT SYSTEME NORMAL
PAGE 1/1")</f>
        <v>COMPTE DE RESULTAT SYSTEME NORMAL
PAGE 1/1</v>
      </c>
      <c r="J2" s="1542"/>
    </row>
    <row r="3" spans="2:12" ht="24" customHeight="1" thickBot="1">
      <c r="B3" s="144"/>
      <c r="C3" s="144"/>
      <c r="D3" s="144"/>
      <c r="E3" s="312"/>
      <c r="F3" s="144"/>
      <c r="G3" s="144"/>
      <c r="H3" s="144"/>
      <c r="I3" s="1543"/>
      <c r="J3" s="1544"/>
    </row>
    <row r="4" spans="2:12" ht="19.5" customHeight="1">
      <c r="B4" s="43" t="str">
        <f>+'BILAN paysage'!B2</f>
        <v>Désignation entité:</v>
      </c>
      <c r="D4" s="313" t="str">
        <f>PASSIF!D4</f>
        <v/>
      </c>
      <c r="E4" s="314"/>
      <c r="F4" s="314"/>
      <c r="G4" s="314"/>
      <c r="H4" s="314"/>
      <c r="I4" s="314"/>
      <c r="J4" s="314"/>
    </row>
    <row r="5" spans="2:12" ht="21.75" customHeight="1">
      <c r="B5" s="315" t="str">
        <f>+'BILAN paysage'!B3</f>
        <v>Sigle usuel :</v>
      </c>
      <c r="D5" s="313" t="str">
        <f>PASSIF!D5</f>
        <v/>
      </c>
      <c r="E5" s="313"/>
      <c r="F5" s="313"/>
      <c r="G5" s="313"/>
      <c r="H5" s="313"/>
      <c r="I5" s="316"/>
      <c r="J5" s="316"/>
    </row>
    <row r="6" spans="2:12" ht="21.75" customHeight="1">
      <c r="B6" s="43" t="str">
        <f>+'BILAN paysage'!B4</f>
        <v>Adresse:</v>
      </c>
      <c r="D6" s="313">
        <f>PASSIF!D6</f>
        <v>0</v>
      </c>
      <c r="E6" s="313"/>
      <c r="F6" s="313"/>
      <c r="G6" s="313"/>
      <c r="H6" s="313"/>
      <c r="I6" s="317" t="str">
        <f>+'BILAN paysage'!N4</f>
        <v>BP:</v>
      </c>
      <c r="J6" s="313" t="str">
        <f>PASSIF!J6</f>
        <v/>
      </c>
    </row>
    <row r="7" spans="2:12" ht="8.25" customHeight="1">
      <c r="B7" s="43"/>
      <c r="C7" s="43"/>
      <c r="D7" s="43"/>
      <c r="E7" s="43"/>
      <c r="F7" s="43"/>
      <c r="G7" s="144"/>
      <c r="H7" s="144"/>
      <c r="I7" s="144"/>
      <c r="J7" s="144"/>
    </row>
    <row r="8" spans="2:12" ht="18" customHeight="1">
      <c r="B8" s="43" t="str">
        <f>+'BILAN paysage'!B5</f>
        <v>Numéro d'identification:</v>
      </c>
      <c r="D8" s="313" t="str">
        <f>PASSIF!D7</f>
        <v/>
      </c>
      <c r="E8" s="318" t="str">
        <f>+'BILAN paysage'!I5</f>
        <v xml:space="preserve">   Exercice clos le 31 - 12- </v>
      </c>
      <c r="F8" s="1616">
        <f>PASSIF!H7</f>
        <v>2025</v>
      </c>
      <c r="G8" s="1616"/>
      <c r="H8" s="172"/>
      <c r="I8" s="318" t="str">
        <f>+'BILAN paysage'!N5</f>
        <v xml:space="preserve">    Durée (en mois):</v>
      </c>
      <c r="J8" s="313">
        <f>PASSIF!J7</f>
        <v>12</v>
      </c>
      <c r="K8" s="1"/>
    </row>
    <row r="9" spans="2:12" ht="7.5" customHeight="1">
      <c r="B9" s="43"/>
      <c r="C9" s="43"/>
      <c r="D9" s="319"/>
      <c r="E9" s="43"/>
      <c r="F9" s="43"/>
      <c r="G9" s="43"/>
      <c r="H9" s="43"/>
      <c r="I9" s="43"/>
      <c r="J9" s="319"/>
    </row>
    <row r="10" spans="2:12">
      <c r="B10" s="1617" t="str">
        <f>+IF([1]ACCUEIL!B1=1,"INCOME STATEMENT AS AT 31 DECEMBER N","COMPTE DE RESULTAT AU 31-DECEMBRE N")</f>
        <v>COMPTE DE RESULTAT AU 31-DECEMBRE N</v>
      </c>
      <c r="C10" s="1617"/>
      <c r="D10" s="1617"/>
      <c r="E10" s="1617"/>
      <c r="F10" s="1617"/>
      <c r="G10" s="1617"/>
      <c r="H10" s="1617"/>
      <c r="I10" s="1617"/>
      <c r="J10" s="1617"/>
    </row>
    <row r="11" spans="2:12" ht="9.75" customHeight="1">
      <c r="B11" s="320"/>
      <c r="C11" s="320"/>
      <c r="D11" s="320"/>
      <c r="E11" s="320"/>
      <c r="F11" s="320"/>
      <c r="G11" s="320"/>
      <c r="H11" s="320"/>
      <c r="I11" s="320"/>
      <c r="J11" s="320"/>
    </row>
    <row r="12" spans="2:12" ht="18.75" customHeight="1">
      <c r="B12" s="1618" t="s">
        <v>26</v>
      </c>
      <c r="C12" s="1621" t="str">
        <f>IF([1]ACCUEIL!B1=1,"HEADINGS","LIBELLES")</f>
        <v>LIBELLES</v>
      </c>
      <c r="D12" s="1622"/>
      <c r="E12" s="1622"/>
      <c r="F12" s="1622"/>
      <c r="G12" s="1623"/>
      <c r="H12" s="1618" t="s">
        <v>59</v>
      </c>
      <c r="I12" s="1630" t="str">
        <f>+'[1]COMPTE DE RESULTAT'!$I$12:$I$13</f>
        <v>EXERCICE AU 31-12-2025</v>
      </c>
      <c r="J12" s="1630" t="str">
        <f>+'[1]COMPTE DE RESULTAT'!$J$12:$J$13</f>
        <v>EXERCICE AU 31-12-2024</v>
      </c>
    </row>
    <row r="13" spans="2:12" ht="17.25" customHeight="1">
      <c r="B13" s="1619"/>
      <c r="C13" s="1624"/>
      <c r="D13" s="1625"/>
      <c r="E13" s="1625"/>
      <c r="F13" s="1625"/>
      <c r="G13" s="1626"/>
      <c r="H13" s="1619"/>
      <c r="I13" s="1631"/>
      <c r="J13" s="1631"/>
    </row>
    <row r="14" spans="2:12" ht="17.25" customHeight="1">
      <c r="B14" s="1620"/>
      <c r="C14" s="1627"/>
      <c r="D14" s="1628"/>
      <c r="E14" s="1628"/>
      <c r="F14" s="1628"/>
      <c r="G14" s="1629"/>
      <c r="H14" s="1620"/>
      <c r="I14" s="1096" t="s">
        <v>28</v>
      </c>
      <c r="J14" s="1096" t="s">
        <v>28</v>
      </c>
    </row>
    <row r="15" spans="2:12" ht="3" customHeight="1">
      <c r="B15" s="322"/>
      <c r="C15" s="323"/>
      <c r="D15" s="324"/>
      <c r="E15" s="324"/>
      <c r="F15" s="325"/>
      <c r="G15" s="326"/>
      <c r="H15" s="327"/>
      <c r="I15" s="328"/>
      <c r="J15" s="329"/>
    </row>
    <row r="16" spans="2:12">
      <c r="B16" s="330" t="s">
        <v>91</v>
      </c>
      <c r="C16" s="331" t="str">
        <f>IF([1]ACCUEIL!B1=1,"Sales of goods","Ventes de marchandises")</f>
        <v>Ventes de marchandises</v>
      </c>
      <c r="D16" s="222"/>
      <c r="E16" s="222"/>
      <c r="F16" s="332" t="s">
        <v>92</v>
      </c>
      <c r="G16" s="332" t="s">
        <v>93</v>
      </c>
      <c r="H16" s="330">
        <v>21</v>
      </c>
      <c r="I16" s="333">
        <f>'[1]CLASSE 7'!J18</f>
        <v>0</v>
      </c>
      <c r="J16" s="334">
        <f>'[1]CLASSE 7'!F18-'[1]CLASSE 7'!E18</f>
        <v>0</v>
      </c>
      <c r="L16" s="243"/>
    </row>
    <row r="17" spans="2:12" ht="6" customHeight="1">
      <c r="B17" s="335"/>
      <c r="C17" s="336"/>
      <c r="D17" s="337"/>
      <c r="E17" s="337"/>
      <c r="F17" s="85"/>
      <c r="G17" s="85"/>
      <c r="H17" s="338"/>
      <c r="I17" s="339"/>
      <c r="J17" s="340"/>
      <c r="L17" s="243"/>
    </row>
    <row r="18" spans="2:12" ht="4.5" customHeight="1">
      <c r="B18" s="341"/>
      <c r="C18" s="342"/>
      <c r="D18" s="343"/>
      <c r="E18" s="343"/>
      <c r="F18" s="344"/>
      <c r="G18" s="332"/>
      <c r="H18" s="341"/>
      <c r="I18" s="345"/>
      <c r="J18" s="346"/>
      <c r="L18" s="243"/>
    </row>
    <row r="19" spans="2:12">
      <c r="B19" s="347" t="s">
        <v>94</v>
      </c>
      <c r="C19" s="348" t="str">
        <f>IF([1]ACCUEIL!B1=1,"Purchase of goods","Achat de marchandises")</f>
        <v>Achat de marchandises</v>
      </c>
      <c r="D19" s="349"/>
      <c r="E19" s="349"/>
      <c r="F19" s="350"/>
      <c r="G19" s="332" t="s">
        <v>95</v>
      </c>
      <c r="H19" s="330">
        <v>22</v>
      </c>
      <c r="I19" s="351">
        <f>-'[1]CLASSE 6'!I18</f>
        <v>0</v>
      </c>
      <c r="J19" s="352">
        <f>-'[1]CLASSE 6'!E18+'[1]CLASSE 6'!F18</f>
        <v>0</v>
      </c>
      <c r="L19" s="243"/>
    </row>
    <row r="20" spans="2:12" ht="5.25" customHeight="1">
      <c r="B20" s="338"/>
      <c r="C20" s="353"/>
      <c r="D20" s="354"/>
      <c r="E20" s="354"/>
      <c r="F20" s="355"/>
      <c r="G20" s="85"/>
      <c r="H20" s="338"/>
      <c r="I20" s="339"/>
      <c r="J20" s="340"/>
      <c r="L20" s="243"/>
    </row>
    <row r="21" spans="2:12" ht="5.25" customHeight="1">
      <c r="B21" s="347"/>
      <c r="C21" s="348"/>
      <c r="D21" s="349"/>
      <c r="E21" s="349"/>
      <c r="F21" s="350"/>
      <c r="G21" s="332"/>
      <c r="H21" s="330"/>
      <c r="I21" s="351"/>
      <c r="J21" s="352"/>
      <c r="L21" s="243"/>
    </row>
    <row r="22" spans="2:12">
      <c r="B22" s="347" t="s">
        <v>96</v>
      </c>
      <c r="C22" s="348" t="str">
        <f>IF([1]ACCUEIL!B1=1,"Change in inventories of goods","Variation de stocks de marchandises")</f>
        <v>Variation de stocks de marchandises</v>
      </c>
      <c r="D22" s="349"/>
      <c r="E22" s="349"/>
      <c r="F22" s="350"/>
      <c r="G22" s="332" t="s">
        <v>97</v>
      </c>
      <c r="H22" s="330">
        <v>6</v>
      </c>
      <c r="I22" s="351">
        <f>IF('[1]CLASSE 6'!I34=0,'[1]CLASSE 6'!J34,IF('[1]CLASSE 6'!J34=0,-'[1]CLASSE 6'!I34))</f>
        <v>0</v>
      </c>
      <c r="J22" s="352">
        <f>IF('[1]CLASSE 6'!E34=0,'[1]CLASSE 6'!F34,-'[1]CLASSE 6'!E34)</f>
        <v>0</v>
      </c>
      <c r="L22" s="243"/>
    </row>
    <row r="23" spans="2:12" ht="3.75" customHeight="1">
      <c r="B23" s="335"/>
      <c r="C23" s="353"/>
      <c r="D23" s="354"/>
      <c r="E23" s="354"/>
      <c r="F23" s="355"/>
      <c r="G23" s="85"/>
      <c r="H23" s="338"/>
      <c r="I23" s="339"/>
      <c r="J23" s="340"/>
      <c r="L23" s="243"/>
    </row>
    <row r="24" spans="2:12" ht="4.5" customHeight="1">
      <c r="B24" s="347"/>
      <c r="C24" s="348"/>
      <c r="D24" s="349"/>
      <c r="E24" s="349"/>
      <c r="F24" s="350"/>
      <c r="G24" s="332"/>
      <c r="H24" s="330"/>
      <c r="I24" s="351"/>
      <c r="J24" s="352"/>
      <c r="L24" s="243"/>
    </row>
    <row r="25" spans="2:12">
      <c r="B25" s="356" t="s">
        <v>98</v>
      </c>
      <c r="C25" s="331" t="str">
        <f>IF([1]ACCUEIL!B1=1,"         COMMERCIAL MARGIN (SUM TA to RB)","         MARGE COMMERCIALE (SOMME ta à RB )")</f>
        <v xml:space="preserve">         MARGE COMMERCIALE (SOMME ta à RB )</v>
      </c>
      <c r="D25" s="222"/>
      <c r="E25" s="222"/>
      <c r="F25" s="357"/>
      <c r="G25" s="332"/>
      <c r="H25" s="330"/>
      <c r="I25" s="358">
        <f>SUM(I16:I22)</f>
        <v>0</v>
      </c>
      <c r="J25" s="359">
        <f>SUM(J16:J22)</f>
        <v>0</v>
      </c>
      <c r="L25" s="243"/>
    </row>
    <row r="26" spans="2:12" ht="4.5" customHeight="1">
      <c r="B26" s="93"/>
      <c r="C26" s="336"/>
      <c r="D26" s="337"/>
      <c r="E26" s="337"/>
      <c r="F26" s="360"/>
      <c r="G26" s="85"/>
      <c r="H26" s="338"/>
      <c r="I26" s="361"/>
      <c r="J26" s="362"/>
      <c r="L26" s="243"/>
    </row>
    <row r="27" spans="2:12" ht="4.5" customHeight="1">
      <c r="B27" s="356"/>
      <c r="C27" s="331"/>
      <c r="D27" s="222"/>
      <c r="E27" s="222"/>
      <c r="F27" s="357"/>
      <c r="G27" s="332"/>
      <c r="H27" s="330"/>
      <c r="I27" s="358"/>
      <c r="J27" s="359"/>
      <c r="L27" s="243"/>
    </row>
    <row r="28" spans="2:12">
      <c r="B28" s="347" t="s">
        <v>99</v>
      </c>
      <c r="C28" s="348" t="str">
        <f>IF([1]ACCUEIL!B1=1,"Sales of manufactured products","Ventes de produits fabriqués")</f>
        <v>Ventes de produits fabriqués</v>
      </c>
      <c r="D28" s="349"/>
      <c r="E28" s="349"/>
      <c r="F28" s="332" t="s">
        <v>100</v>
      </c>
      <c r="G28" s="332" t="s">
        <v>93</v>
      </c>
      <c r="H28" s="330">
        <v>21</v>
      </c>
      <c r="I28" s="333">
        <f>'[1]CLASSE 7'!J32+'[1]CLASSE 7'!J46+'[1]CLASSE 7'!J60</f>
        <v>0</v>
      </c>
      <c r="J28" s="334">
        <f>'[1]CLASSE 7'!F32+'[1]CLASSE 7'!F46+'[1]CLASSE 7'!F60-'[1]CLASSE 7'!E32-'[1]CLASSE 7'!E46-'[1]CLASSE 7'!E60</f>
        <v>0</v>
      </c>
      <c r="L28" s="243"/>
    </row>
    <row r="29" spans="2:12" ht="5.25" customHeight="1">
      <c r="B29" s="335"/>
      <c r="C29" s="353"/>
      <c r="D29" s="354"/>
      <c r="E29" s="354"/>
      <c r="F29" s="85"/>
      <c r="G29" s="85"/>
      <c r="H29" s="338"/>
      <c r="I29" s="363"/>
      <c r="J29" s="364"/>
      <c r="L29" s="243"/>
    </row>
    <row r="30" spans="2:12" ht="3" customHeight="1">
      <c r="B30" s="347"/>
      <c r="C30" s="348"/>
      <c r="D30" s="349"/>
      <c r="E30" s="349"/>
      <c r="F30" s="332"/>
      <c r="G30" s="332"/>
      <c r="H30" s="330"/>
      <c r="I30" s="333"/>
      <c r="J30" s="334"/>
      <c r="L30" s="243"/>
    </row>
    <row r="31" spans="2:12">
      <c r="B31" s="347" t="s">
        <v>101</v>
      </c>
      <c r="C31" s="348" t="str">
        <f>IF([1]ACCUEIL!B1=1,"Works, services sold","Travaux, services vendus")</f>
        <v>Travaux, services vendus</v>
      </c>
      <c r="D31" s="349"/>
      <c r="E31" s="349"/>
      <c r="F31" s="332" t="s">
        <v>102</v>
      </c>
      <c r="G31" s="332" t="s">
        <v>93</v>
      </c>
      <c r="H31" s="330">
        <v>21</v>
      </c>
      <c r="I31" s="333">
        <f>'[1]CLASSE 7'!J74+'[1]CLASSE 7'!J88</f>
        <v>0</v>
      </c>
      <c r="J31" s="334">
        <f>'[1]CLASSE 7'!F74+'[1]CLASSE 7'!F88-'[1]CLASSE 7'!E74-'[1]CLASSE 7'!E88</f>
        <v>0</v>
      </c>
      <c r="L31" s="243"/>
    </row>
    <row r="32" spans="2:12" ht="4.5" customHeight="1">
      <c r="B32" s="335"/>
      <c r="C32" s="353"/>
      <c r="D32" s="354"/>
      <c r="E32" s="354"/>
      <c r="F32" s="85"/>
      <c r="G32" s="85"/>
      <c r="H32" s="338"/>
      <c r="I32" s="363"/>
      <c r="J32" s="364"/>
      <c r="L32" s="243"/>
    </row>
    <row r="33" spans="2:12" ht="3" customHeight="1">
      <c r="B33" s="347"/>
      <c r="C33" s="348"/>
      <c r="D33" s="349"/>
      <c r="E33" s="349"/>
      <c r="F33" s="332"/>
      <c r="G33" s="332"/>
      <c r="H33" s="330"/>
      <c r="I33" s="333"/>
      <c r="J33" s="334"/>
      <c r="L33" s="243"/>
    </row>
    <row r="34" spans="2:12">
      <c r="B34" s="347" t="s">
        <v>103</v>
      </c>
      <c r="C34" s="348" t="str">
        <f>IF([1]ACCUEIL!B1=1,"Ancillary products","Produits accessoires")</f>
        <v>Produits accessoires</v>
      </c>
      <c r="D34" s="349"/>
      <c r="E34" s="349"/>
      <c r="F34" s="332" t="s">
        <v>104</v>
      </c>
      <c r="G34" s="332" t="s">
        <v>93</v>
      </c>
      <c r="H34" s="330">
        <v>21</v>
      </c>
      <c r="I34" s="333">
        <f>'[1]CLASSE 7'!J106</f>
        <v>0</v>
      </c>
      <c r="J34" s="334">
        <f>'[1]CLASSE 7'!F106-'[1]CLASSE 7'!E106</f>
        <v>0</v>
      </c>
      <c r="L34" s="243"/>
    </row>
    <row r="35" spans="2:12" ht="3.75" customHeight="1">
      <c r="B35" s="335"/>
      <c r="C35" s="353"/>
      <c r="D35" s="354"/>
      <c r="E35" s="354"/>
      <c r="F35" s="85"/>
      <c r="G35" s="85"/>
      <c r="H35" s="338"/>
      <c r="I35" s="339"/>
      <c r="J35" s="340"/>
      <c r="L35" s="243"/>
    </row>
    <row r="36" spans="2:12" ht="4.5" customHeight="1">
      <c r="B36" s="347"/>
      <c r="C36" s="348"/>
      <c r="D36" s="349"/>
      <c r="E36" s="349"/>
      <c r="F36" s="332"/>
      <c r="G36" s="332"/>
      <c r="H36" s="330"/>
      <c r="I36" s="351"/>
      <c r="J36" s="352"/>
      <c r="L36" s="243"/>
    </row>
    <row r="37" spans="2:12">
      <c r="B37" s="356" t="s">
        <v>105</v>
      </c>
      <c r="C37" s="331" t="str">
        <f>IF([1]ACCUEIL!B1=1,"          TURNOVER (A+B+C+D)","          CHIFFRE D'AFFAIRES (A+B+C+D)")</f>
        <v xml:space="preserve">          CHIFFRE D'AFFAIRES (A+B+C+D)</v>
      </c>
      <c r="D37" s="222"/>
      <c r="E37" s="222"/>
      <c r="F37" s="332"/>
      <c r="G37" s="332"/>
      <c r="H37" s="330"/>
      <c r="I37" s="358">
        <f>I16+I28+I34+I31</f>
        <v>0</v>
      </c>
      <c r="J37" s="359">
        <f>J16+J28+J34+J31</f>
        <v>0</v>
      </c>
      <c r="L37" s="243"/>
    </row>
    <row r="38" spans="2:12" ht="3" customHeight="1">
      <c r="B38" s="93"/>
      <c r="C38" s="336"/>
      <c r="D38" s="337"/>
      <c r="E38" s="337"/>
      <c r="F38" s="85"/>
      <c r="G38" s="85"/>
      <c r="H38" s="338"/>
      <c r="I38" s="361"/>
      <c r="J38" s="362"/>
      <c r="L38" s="243"/>
    </row>
    <row r="39" spans="2:12" ht="2.25" customHeight="1">
      <c r="B39" s="356"/>
      <c r="C39" s="331"/>
      <c r="D39" s="222"/>
      <c r="E39" s="222"/>
      <c r="F39" s="332"/>
      <c r="G39" s="332"/>
      <c r="H39" s="330"/>
      <c r="I39" s="358"/>
      <c r="J39" s="359"/>
      <c r="L39" s="243"/>
    </row>
    <row r="40" spans="2:12" ht="17.25" customHeight="1">
      <c r="B40" s="347" t="s">
        <v>106</v>
      </c>
      <c r="C40" s="348" t="str">
        <f>IF([1]ACCUEIL!B1=1,"Stored production (or destocking)","Production stockée (ou déstockage)")</f>
        <v>Production stockée (ou déstockage)</v>
      </c>
      <c r="D40" s="349"/>
      <c r="E40" s="349"/>
      <c r="F40" s="350"/>
      <c r="G40" s="332" t="s">
        <v>97</v>
      </c>
      <c r="H40" s="330">
        <v>6</v>
      </c>
      <c r="I40" s="351">
        <f>'[1]CLASSE 7'!L137</f>
        <v>0</v>
      </c>
      <c r="J40" s="352">
        <f>'[1]CLASSE 7'!L133</f>
        <v>0</v>
      </c>
      <c r="L40" s="243"/>
    </row>
    <row r="41" spans="2:12" ht="2.25" customHeight="1">
      <c r="B41" s="335"/>
      <c r="C41" s="353"/>
      <c r="D41" s="354"/>
      <c r="E41" s="354"/>
      <c r="F41" s="355"/>
      <c r="G41" s="85"/>
      <c r="H41" s="338"/>
      <c r="I41" s="339"/>
      <c r="J41" s="340"/>
      <c r="L41" s="243"/>
    </row>
    <row r="42" spans="2:12" ht="3" customHeight="1">
      <c r="B42" s="347"/>
      <c r="C42" s="348"/>
      <c r="D42" s="349"/>
      <c r="E42" s="349"/>
      <c r="F42" s="350"/>
      <c r="G42" s="332"/>
      <c r="H42" s="330"/>
      <c r="I42" s="351"/>
      <c r="J42" s="352"/>
      <c r="L42" s="243"/>
    </row>
    <row r="43" spans="2:12">
      <c r="B43" s="347" t="s">
        <v>107</v>
      </c>
      <c r="C43" s="348" t="str">
        <f>IF([1]ACCUEIL!B1=1,"Capitalised production","Production immobilisée")</f>
        <v>Production immobilisée</v>
      </c>
      <c r="D43" s="349"/>
      <c r="E43" s="349"/>
      <c r="F43" s="350"/>
      <c r="G43" s="332" t="s">
        <v>93</v>
      </c>
      <c r="H43" s="330">
        <v>21</v>
      </c>
      <c r="I43" s="365">
        <f>'[1]CLASSE 7'!J119+'[1]CLASSE 7'!J125+'[1]CLASSE 7'!J126+'[1]CLASSE 7'!J127</f>
        <v>0</v>
      </c>
      <c r="J43" s="366">
        <f ca="1">'[1]CLASSE 7'!F119+'[1]CLASSE 7'!F125+'[1]CLASSE 7'!F126+'[1]CLASSE 7'!F127</f>
        <v>0</v>
      </c>
      <c r="L43" s="243"/>
    </row>
    <row r="44" spans="2:12" ht="3.75" customHeight="1">
      <c r="B44" s="335"/>
      <c r="C44" s="353"/>
      <c r="D44" s="354"/>
      <c r="E44" s="354"/>
      <c r="F44" s="355"/>
      <c r="G44" s="85"/>
      <c r="H44" s="338"/>
      <c r="I44" s="367"/>
      <c r="J44" s="368"/>
      <c r="L44" s="243"/>
    </row>
    <row r="45" spans="2:12" ht="3" customHeight="1">
      <c r="B45" s="347"/>
      <c r="C45" s="348"/>
      <c r="D45" s="349"/>
      <c r="E45" s="349"/>
      <c r="F45" s="350"/>
      <c r="G45" s="332"/>
      <c r="H45" s="330"/>
      <c r="I45" s="365"/>
      <c r="J45" s="366"/>
      <c r="L45" s="243"/>
    </row>
    <row r="46" spans="2:12">
      <c r="B46" s="347" t="s">
        <v>108</v>
      </c>
      <c r="C46" s="348" t="str">
        <f>IF([1]ACCUEIL!B1=1,"Operating subsidies","Subventions d'exploitation")</f>
        <v>Subventions d'exploitation</v>
      </c>
      <c r="D46" s="349"/>
      <c r="E46" s="349"/>
      <c r="F46" s="350"/>
      <c r="G46" s="332" t="s">
        <v>93</v>
      </c>
      <c r="H46" s="330">
        <v>21</v>
      </c>
      <c r="I46" s="365">
        <f>'[1]CLASSE 7'!J111+'[1]CLASSE 7'!J118</f>
        <v>0</v>
      </c>
      <c r="J46" s="366">
        <f>'[1]CLASSE 7'!F111+'[1]CLASSE 7'!F118-'[1]CLASSE 7'!E111-'[1]CLASSE 7'!E118</f>
        <v>0</v>
      </c>
      <c r="L46" s="243"/>
    </row>
    <row r="47" spans="2:12" ht="3.75" customHeight="1">
      <c r="B47" s="335"/>
      <c r="C47" s="353"/>
      <c r="D47" s="354"/>
      <c r="E47" s="354"/>
      <c r="F47" s="355"/>
      <c r="G47" s="85"/>
      <c r="H47" s="338"/>
      <c r="I47" s="367"/>
      <c r="J47" s="368"/>
      <c r="L47" s="243"/>
    </row>
    <row r="48" spans="2:12" ht="4.5" customHeight="1">
      <c r="B48" s="347"/>
      <c r="C48" s="348"/>
      <c r="D48" s="349"/>
      <c r="E48" s="349"/>
      <c r="F48" s="350"/>
      <c r="G48" s="332"/>
      <c r="H48" s="330"/>
      <c r="I48" s="365"/>
      <c r="J48" s="366"/>
      <c r="L48" s="243"/>
    </row>
    <row r="49" spans="2:12">
      <c r="B49" s="347" t="s">
        <v>109</v>
      </c>
      <c r="C49" s="348" t="str">
        <f>IF([1]ACCUEIL!B1=1,"Other products","Autres produits")</f>
        <v>Autres produits</v>
      </c>
      <c r="D49" s="349"/>
      <c r="E49" s="349"/>
      <c r="F49" s="350"/>
      <c r="G49" s="332" t="s">
        <v>93</v>
      </c>
      <c r="H49" s="330">
        <v>21</v>
      </c>
      <c r="I49" s="365">
        <f>'[1]CLASSE 7'!J147+'[1]CLASSE 7'!J153+'[1]CLASSE 7'!J159+'[1]CLASSE 7'!J160+'[1]CLASSE 7'!J168+'[1]CLASSE 7'!J178</f>
        <v>0</v>
      </c>
      <c r="J49" s="366">
        <f>'[1]CLASSE 7'!F147+'[1]CLASSE 7'!F153+'[1]CLASSE 7'!F159+'[1]CLASSE 7'!F160+'[1]CLASSE 7'!F168+'[1]CLASSE 7'!F178-'[1]CLASSE 7'!E153-'[1]CLASSE 7'!E159-'[1]CLASSE 7'!E168-'[1]CLASSE 7'!E178</f>
        <v>0</v>
      </c>
      <c r="L49" s="243"/>
    </row>
    <row r="50" spans="2:12" ht="4.5" customHeight="1">
      <c r="B50" s="335"/>
      <c r="C50" s="353"/>
      <c r="D50" s="354"/>
      <c r="E50" s="354"/>
      <c r="F50" s="355"/>
      <c r="G50" s="85"/>
      <c r="H50" s="338"/>
      <c r="I50" s="367"/>
      <c r="J50" s="368"/>
      <c r="L50" s="243"/>
    </row>
    <row r="51" spans="2:12" ht="4.5" customHeight="1">
      <c r="B51" s="347"/>
      <c r="C51" s="348"/>
      <c r="D51" s="349"/>
      <c r="E51" s="349"/>
      <c r="F51" s="350"/>
      <c r="G51" s="332"/>
      <c r="H51" s="330"/>
      <c r="I51" s="365"/>
      <c r="J51" s="366"/>
      <c r="L51" s="243"/>
    </row>
    <row r="52" spans="2:12">
      <c r="B52" s="347" t="s">
        <v>110</v>
      </c>
      <c r="C52" s="348" t="str">
        <f>IF([1]ACCUEIL!B1=1,"Transfers of operating expenses","Transferts de charges d'exploitation")</f>
        <v>Transferts de charges d'exploitation</v>
      </c>
      <c r="D52" s="349"/>
      <c r="E52" s="349"/>
      <c r="F52" s="350"/>
      <c r="G52" s="332" t="s">
        <v>93</v>
      </c>
      <c r="H52" s="330">
        <v>12</v>
      </c>
      <c r="I52" s="365">
        <f>'[1]CLASSE 7'!J217</f>
        <v>0</v>
      </c>
      <c r="J52" s="366">
        <f>'[1]CLASSE 7'!F217</f>
        <v>0</v>
      </c>
      <c r="L52" s="243"/>
    </row>
    <row r="53" spans="2:12" ht="3.75" customHeight="1">
      <c r="B53" s="335"/>
      <c r="C53" s="353"/>
      <c r="D53" s="354"/>
      <c r="E53" s="354"/>
      <c r="F53" s="355"/>
      <c r="G53" s="85"/>
      <c r="H53" s="338"/>
      <c r="I53" s="367"/>
      <c r="J53" s="368"/>
      <c r="L53" s="243"/>
    </row>
    <row r="54" spans="2:12" ht="3" customHeight="1">
      <c r="B54" s="347"/>
      <c r="C54" s="348"/>
      <c r="D54" s="349"/>
      <c r="E54" s="349"/>
      <c r="F54" s="350"/>
      <c r="G54" s="332"/>
      <c r="H54" s="330"/>
      <c r="I54" s="351"/>
      <c r="J54" s="352"/>
      <c r="L54" s="243"/>
    </row>
    <row r="55" spans="2:12">
      <c r="B55" s="347" t="s">
        <v>111</v>
      </c>
      <c r="C55" s="348" t="str">
        <f>IF([1]ACCUEIL!B1=1,"Purchases of raw materials and related supplies","Achats de matières premières et fournitures liées")</f>
        <v>Achats de matières premières et fournitures liées</v>
      </c>
      <c r="D55" s="349"/>
      <c r="E55" s="349"/>
      <c r="F55" s="350"/>
      <c r="G55" s="332" t="s">
        <v>95</v>
      </c>
      <c r="H55" s="330">
        <v>22</v>
      </c>
      <c r="I55" s="351">
        <f>-'[1]CLASSE 6'!I32</f>
        <v>0</v>
      </c>
      <c r="J55" s="352">
        <f>-'[1]CLASSE 6'!E32+'[1]CLASSE 6'!F32</f>
        <v>0</v>
      </c>
      <c r="K55" s="256"/>
      <c r="L55" s="243"/>
    </row>
    <row r="56" spans="2:12" ht="4.5" customHeight="1">
      <c r="B56" s="335"/>
      <c r="C56" s="353"/>
      <c r="D56" s="354"/>
      <c r="E56" s="354"/>
      <c r="F56" s="355"/>
      <c r="G56" s="85"/>
      <c r="H56" s="338"/>
      <c r="I56" s="339"/>
      <c r="J56" s="340"/>
      <c r="L56" s="243"/>
    </row>
    <row r="57" spans="2:12" ht="2.25" customHeight="1">
      <c r="B57" s="347"/>
      <c r="C57" s="348"/>
      <c r="D57" s="349"/>
      <c r="E57" s="349"/>
      <c r="F57" s="350"/>
      <c r="G57" s="332"/>
      <c r="H57" s="330"/>
      <c r="I57" s="351"/>
      <c r="J57" s="352"/>
      <c r="L57" s="243"/>
    </row>
    <row r="58" spans="2:12">
      <c r="B58" s="347" t="s">
        <v>112</v>
      </c>
      <c r="C58" s="348" t="str">
        <f>IF([1]ACCUEIL!B1=1,"Change in raw materials and related supplies","Variation de matières premières et fournitures liées")</f>
        <v>Variation de matières premières et fournitures liées</v>
      </c>
      <c r="D58" s="349"/>
      <c r="E58" s="349"/>
      <c r="F58" s="350"/>
      <c r="G58" s="332" t="s">
        <v>97</v>
      </c>
      <c r="H58" s="330">
        <v>6</v>
      </c>
      <c r="I58" s="351">
        <f>IF('[1]CLASSE 6'!I36=0,'[1]CLASSE 6'!J36,-'[1]CLASSE 6'!I36)</f>
        <v>0</v>
      </c>
      <c r="J58" s="352">
        <f>IF('[1]CLASSE 6'!E36=0,'[1]CLASSE 6'!F36,-'[1]CLASSE 6'!E36)</f>
        <v>0</v>
      </c>
      <c r="L58" s="243"/>
    </row>
    <row r="59" spans="2:12" ht="3.75" customHeight="1">
      <c r="B59" s="335"/>
      <c r="C59" s="353"/>
      <c r="D59" s="354"/>
      <c r="E59" s="354"/>
      <c r="F59" s="355"/>
      <c r="G59" s="85"/>
      <c r="H59" s="338"/>
      <c r="I59" s="339"/>
      <c r="J59" s="340"/>
      <c r="L59" s="243"/>
    </row>
    <row r="60" spans="2:12" ht="3.75" customHeight="1">
      <c r="B60" s="347"/>
      <c r="C60" s="348"/>
      <c r="D60" s="349"/>
      <c r="E60" s="349"/>
      <c r="F60" s="350"/>
      <c r="G60" s="332"/>
      <c r="H60" s="330"/>
      <c r="I60" s="351"/>
      <c r="J60" s="352"/>
      <c r="L60" s="243"/>
    </row>
    <row r="61" spans="2:12">
      <c r="B61" s="347" t="s">
        <v>113</v>
      </c>
      <c r="C61" s="348" t="str">
        <f>IF([1]ACCUEIL!B1=1,"Other purchases","Autres achats")</f>
        <v>Autres achats</v>
      </c>
      <c r="D61" s="349"/>
      <c r="E61" s="349"/>
      <c r="F61" s="350"/>
      <c r="G61" s="332" t="s">
        <v>95</v>
      </c>
      <c r="H61" s="330">
        <v>22</v>
      </c>
      <c r="I61" s="351">
        <f>-('[1]CLASSE 6'!I58+'[1]CLASSE 6'!I78+'[1]CLASSE 6'!I90)</f>
        <v>0</v>
      </c>
      <c r="J61" s="352">
        <f>-('[1]CLASSE 6'!E58+'[1]CLASSE 6'!E78+'[1]CLASSE 6'!E90)+'[1]CLASSE 6'!F58+'[1]CLASSE 6'!F78+'[1]CLASSE 6'!F90</f>
        <v>0</v>
      </c>
      <c r="L61" s="243"/>
    </row>
    <row r="62" spans="2:12" ht="3.75" customHeight="1">
      <c r="B62" s="335"/>
      <c r="C62" s="353"/>
      <c r="D62" s="354"/>
      <c r="E62" s="354"/>
      <c r="F62" s="355"/>
      <c r="G62" s="85"/>
      <c r="H62" s="338"/>
      <c r="I62" s="339"/>
      <c r="J62" s="340"/>
      <c r="L62" s="243"/>
    </row>
    <row r="63" spans="2:12" ht="2.25" customHeight="1">
      <c r="B63" s="347"/>
      <c r="C63" s="348"/>
      <c r="D63" s="349"/>
      <c r="E63" s="349"/>
      <c r="F63" s="350"/>
      <c r="G63" s="332"/>
      <c r="H63" s="330"/>
      <c r="I63" s="351"/>
      <c r="J63" s="352"/>
      <c r="L63" s="243"/>
    </row>
    <row r="64" spans="2:12">
      <c r="B64" s="347" t="s">
        <v>114</v>
      </c>
      <c r="C64" s="348" t="str">
        <f>IF([1]ACCUEIL!B1=1,"Change in inventories of other supplies","Variation de stocks d'autres approvisionnements")</f>
        <v>Variation de stocks d'autres approvisionnements</v>
      </c>
      <c r="D64" s="349"/>
      <c r="E64" s="349"/>
      <c r="F64" s="350"/>
      <c r="G64" s="332" t="s">
        <v>97</v>
      </c>
      <c r="H64" s="330">
        <v>6</v>
      </c>
      <c r="I64" s="351">
        <f>IF('[1]CLASSE 6'!I38=0,'[1]CLASSE 6'!J38,-'[1]CLASSE 6'!I38)</f>
        <v>0</v>
      </c>
      <c r="J64" s="352">
        <f>+IF(('[1]CLASSE 6'!E38-'[1]CLASSE 6'!F38)&gt;0,-('[1]CLASSE 6'!E38-'[1]CLASSE 6'!F38),-('[1]CLASSE 6'!E38-'[1]CLASSE 6'!F38))</f>
        <v>0</v>
      </c>
      <c r="L64" s="243"/>
    </row>
    <row r="65" spans="2:12" ht="3" customHeight="1">
      <c r="B65" s="335"/>
      <c r="C65" s="353"/>
      <c r="D65" s="354"/>
      <c r="E65" s="354"/>
      <c r="F65" s="355"/>
      <c r="G65" s="85"/>
      <c r="H65" s="338"/>
      <c r="I65" s="339"/>
      <c r="J65" s="340"/>
      <c r="L65" s="243"/>
    </row>
    <row r="66" spans="2:12" ht="2.25" customHeight="1">
      <c r="B66" s="347"/>
      <c r="C66" s="348"/>
      <c r="D66" s="349"/>
      <c r="E66" s="349"/>
      <c r="F66" s="350"/>
      <c r="G66" s="332"/>
      <c r="H66" s="330"/>
      <c r="I66" s="351"/>
      <c r="J66" s="352"/>
      <c r="L66" s="243"/>
    </row>
    <row r="67" spans="2:12">
      <c r="B67" s="347" t="s">
        <v>115</v>
      </c>
      <c r="C67" s="348" t="str">
        <f>IF([1]ACCUEIL!B1=1,"Transportation","Transports")</f>
        <v>Transports</v>
      </c>
      <c r="D67" s="349"/>
      <c r="E67" s="349"/>
      <c r="F67" s="350"/>
      <c r="G67" s="332" t="s">
        <v>95</v>
      </c>
      <c r="H67" s="330">
        <v>23</v>
      </c>
      <c r="I67" s="351">
        <f>-(SUM('[1]CLASSE 6'!I91:I94)+'[1]CLASSE 6'!I102)</f>
        <v>0</v>
      </c>
      <c r="J67" s="352">
        <f>-(SUM('[1]CLASSE 6'!E91:E94)+'[1]CLASSE 6'!E102)+'[1]CLASSE 6'!F102</f>
        <v>0</v>
      </c>
      <c r="L67" s="243"/>
    </row>
    <row r="68" spans="2:12" ht="3.75" customHeight="1">
      <c r="B68" s="335"/>
      <c r="C68" s="353"/>
      <c r="D68" s="354"/>
      <c r="E68" s="354"/>
      <c r="F68" s="355"/>
      <c r="G68" s="85"/>
      <c r="H68" s="338"/>
      <c r="I68" s="339"/>
      <c r="J68" s="340"/>
      <c r="L68" s="243"/>
    </row>
    <row r="69" spans="2:12" ht="3.75" customHeight="1">
      <c r="B69" s="347"/>
      <c r="C69" s="348"/>
      <c r="D69" s="349"/>
      <c r="E69" s="349"/>
      <c r="F69" s="350"/>
      <c r="G69" s="332"/>
      <c r="H69" s="330"/>
      <c r="I69" s="351"/>
      <c r="J69" s="352"/>
      <c r="L69" s="243"/>
    </row>
    <row r="70" spans="2:12">
      <c r="B70" s="347" t="s">
        <v>116</v>
      </c>
      <c r="C70" s="348" t="str">
        <f>IF([1]ACCUEIL!B1=1,"External services","Services extérieurs")</f>
        <v>Services extérieurs</v>
      </c>
      <c r="D70" s="349"/>
      <c r="E70" s="349"/>
      <c r="F70" s="350"/>
      <c r="G70" s="332" t="s">
        <v>95</v>
      </c>
      <c r="H70" s="330">
        <v>24</v>
      </c>
      <c r="I70" s="351">
        <f>-'[1]CLASSE 6'!K104</f>
        <v>0</v>
      </c>
      <c r="J70" s="352">
        <f>-'[1]CLASSE 6'!K105</f>
        <v>0</v>
      </c>
      <c r="K70" s="256"/>
      <c r="L70" s="243"/>
    </row>
    <row r="71" spans="2:12" ht="3" customHeight="1">
      <c r="B71" s="335"/>
      <c r="C71" s="353"/>
      <c r="D71" s="354"/>
      <c r="E71" s="354"/>
      <c r="F71" s="355"/>
      <c r="G71" s="85"/>
      <c r="H71" s="338"/>
      <c r="I71" s="339"/>
      <c r="J71" s="340"/>
      <c r="L71" s="243"/>
    </row>
    <row r="72" spans="2:12" ht="2.25" customHeight="1">
      <c r="B72" s="347"/>
      <c r="C72" s="348"/>
      <c r="D72" s="349"/>
      <c r="E72" s="349"/>
      <c r="F72" s="350"/>
      <c r="G72" s="332"/>
      <c r="H72" s="330"/>
      <c r="I72" s="351"/>
      <c r="J72" s="352"/>
      <c r="L72" s="243"/>
    </row>
    <row r="73" spans="2:12">
      <c r="B73" s="347" t="s">
        <v>117</v>
      </c>
      <c r="C73" s="348" t="str">
        <f>IF([1]ACCUEIL!B1=1,"Taxes and duties","Impôt et taxes")</f>
        <v>Impôt et taxes</v>
      </c>
      <c r="D73" s="349"/>
      <c r="E73" s="349"/>
      <c r="F73" s="350"/>
      <c r="G73" s="332" t="s">
        <v>95</v>
      </c>
      <c r="H73" s="330">
        <v>25</v>
      </c>
      <c r="I73" s="351">
        <f>-('[1]CLASSE 6'!I277+'[1]CLASSE 6'!I278+'[1]CLASSE 6'!I290+'[1]CLASSE 6'!I302+'[1]CLASSE 6'!I303)</f>
        <v>0</v>
      </c>
      <c r="J73" s="352">
        <f>-('[1]CLASSE 6'!E277+'[1]CLASSE 6'!E278+'[1]CLASSE 6'!E290+'[1]CLASSE 6'!E302+'[1]CLASSE 6'!E303)+'[1]CLASSE 6'!F277+'[1]CLASSE 6'!F290+'[1]CLASSE 6'!F302</f>
        <v>0</v>
      </c>
      <c r="L73" s="243"/>
    </row>
    <row r="74" spans="2:12" ht="3.75" customHeight="1">
      <c r="B74" s="335"/>
      <c r="C74" s="353"/>
      <c r="D74" s="354"/>
      <c r="E74" s="354"/>
      <c r="F74" s="355"/>
      <c r="G74" s="85"/>
      <c r="H74" s="338"/>
      <c r="I74" s="339"/>
      <c r="J74" s="340"/>
      <c r="L74" s="243"/>
    </row>
    <row r="75" spans="2:12" ht="3" customHeight="1">
      <c r="B75" s="347"/>
      <c r="C75" s="348"/>
      <c r="D75" s="349"/>
      <c r="E75" s="349"/>
      <c r="F75" s="350"/>
      <c r="G75" s="332"/>
      <c r="H75" s="330"/>
      <c r="I75" s="351"/>
      <c r="J75" s="352"/>
      <c r="L75" s="243"/>
    </row>
    <row r="76" spans="2:12">
      <c r="B76" s="347" t="s">
        <v>118</v>
      </c>
      <c r="C76" s="348" t="str">
        <f>IF([1]ACCUEIL!B1=1,"Other expenses","Autres charges")</f>
        <v>Autres charges</v>
      </c>
      <c r="D76" s="349"/>
      <c r="E76" s="349"/>
      <c r="F76" s="350"/>
      <c r="G76" s="332" t="s">
        <v>95</v>
      </c>
      <c r="H76" s="330">
        <v>26</v>
      </c>
      <c r="I76" s="351">
        <f>-('[1]CLASSE 6'!I309+'[1]CLASSE 6'!I315+'[1]CLASSE 6'!I321+'[1]CLASSE 6'!I322+'[1]CLASSE 6'!I323+'[1]CLASSE 6'!I333+'[1]CLASSE 6'!I343)</f>
        <v>0</v>
      </c>
      <c r="J76" s="352">
        <f>-('[1]CLASSE 6'!E309+'[1]CLASSE 6'!E315+'[1]CLASSE 6'!E321+'[1]CLASSE 6'!E322+'[1]CLASSE 6'!E323+'[1]CLASSE 6'!E333+'[1]CLASSE 6'!E343)+'[1]CLASSE 6'!F309+'[1]CLASSE 6'!F315+'[1]CLASSE 6'!F321+'[1]CLASSE 6'!F333+'[1]CLASSE 6'!F343</f>
        <v>0</v>
      </c>
      <c r="L76" s="243"/>
    </row>
    <row r="77" spans="2:12" ht="3.75" customHeight="1">
      <c r="B77" s="335"/>
      <c r="C77" s="353"/>
      <c r="D77" s="354"/>
      <c r="E77" s="354"/>
      <c r="F77" s="355"/>
      <c r="G77" s="85"/>
      <c r="H77" s="338"/>
      <c r="I77" s="339"/>
      <c r="J77" s="340"/>
      <c r="L77" s="243"/>
    </row>
    <row r="78" spans="2:12" ht="3" customHeight="1">
      <c r="B78" s="347"/>
      <c r="C78" s="348"/>
      <c r="D78" s="349"/>
      <c r="E78" s="349"/>
      <c r="F78" s="350"/>
      <c r="G78" s="332"/>
      <c r="H78" s="330"/>
      <c r="I78" s="351"/>
      <c r="J78" s="352"/>
      <c r="L78" s="243"/>
    </row>
    <row r="79" spans="2:12">
      <c r="B79" s="356" t="s">
        <v>119</v>
      </c>
      <c r="C79" s="331" t="str">
        <f>IF([1]ACCUEIL!B1=1,"ADDED VALUE (XB+RA+RB)+(SUM TE to RJ)","VALEUR AJOUTEE (XB+RA+RB)+(SOMME TE à RJ)")</f>
        <v>VALEUR AJOUTEE (XB+RA+RB)+(SOMME TE à RJ)</v>
      </c>
      <c r="D79" s="222"/>
      <c r="E79" s="222"/>
      <c r="F79" s="332"/>
      <c r="G79" s="332"/>
      <c r="H79" s="330"/>
      <c r="I79" s="358">
        <f>I25+SUM(I28:I34)+SUM(I40:I76)</f>
        <v>0</v>
      </c>
      <c r="J79" s="359">
        <f ca="1">J25+SUM(J28:J34)+SUM(J40:J76)</f>
        <v>0</v>
      </c>
      <c r="L79" s="243"/>
    </row>
    <row r="80" spans="2:12" ht="4.5" customHeight="1">
      <c r="B80" s="93"/>
      <c r="C80" s="336"/>
      <c r="D80" s="337"/>
      <c r="E80" s="337"/>
      <c r="F80" s="85"/>
      <c r="G80" s="85"/>
      <c r="H80" s="338"/>
      <c r="I80" s="361"/>
      <c r="J80" s="362"/>
      <c r="L80" s="243"/>
    </row>
    <row r="81" spans="2:12" ht="4.5" customHeight="1">
      <c r="B81" s="356"/>
      <c r="C81" s="331"/>
      <c r="D81" s="222"/>
      <c r="E81" s="222"/>
      <c r="F81" s="332"/>
      <c r="G81" s="332"/>
      <c r="H81" s="330"/>
      <c r="I81" s="358"/>
      <c r="J81" s="359"/>
      <c r="L81" s="243"/>
    </row>
    <row r="82" spans="2:12">
      <c r="B82" s="356" t="s">
        <v>120</v>
      </c>
      <c r="C82" s="348" t="str">
        <f>IF([1]ACCUEIL!B1=1,"Personnel expenses","Charges de personnel")</f>
        <v>Charges de personnel</v>
      </c>
      <c r="D82" s="349"/>
      <c r="E82" s="349"/>
      <c r="F82" s="350"/>
      <c r="G82" s="332" t="s">
        <v>95</v>
      </c>
      <c r="H82" s="330">
        <v>27</v>
      </c>
      <c r="I82" s="351">
        <f>-('[1]CLASSE 6'!I427+'[1]CLASSE 6'!I409+'[1]CLASSE 6'!I403+'[1]CLASSE 6'!I397+'[1]CLASSE 6'!I391+'[1]CLASSE 6'!I379+'[1]CLASSE 6'!I361)</f>
        <v>0</v>
      </c>
      <c r="J82" s="352">
        <f>-('[1]CLASSE 6'!E427+'[1]CLASSE 6'!E409+'[1]CLASSE 6'!E403+'[1]CLASSE 6'!E397+'[1]CLASSE 6'!E391+'[1]CLASSE 6'!E379+'[1]CLASSE 6'!E361)+'[1]CLASSE 6'!F361+'[1]CLASSE 6'!F379+'[1]CLASSE 6'!F391+'[1]CLASSE 6'!F397+'[1]CLASSE 6'!F403+'[1]CLASSE 6'!F409+'[1]CLASSE 6'!F427</f>
        <v>0</v>
      </c>
      <c r="L82" s="243"/>
    </row>
    <row r="83" spans="2:12" ht="3.75" customHeight="1">
      <c r="B83" s="93"/>
      <c r="C83" s="353"/>
      <c r="D83" s="354"/>
      <c r="E83" s="354"/>
      <c r="F83" s="355"/>
      <c r="G83" s="85"/>
      <c r="H83" s="338"/>
      <c r="I83" s="339"/>
      <c r="J83" s="340"/>
      <c r="L83" s="243"/>
    </row>
    <row r="84" spans="2:12" ht="3.75" customHeight="1">
      <c r="B84" s="356"/>
      <c r="C84" s="348"/>
      <c r="D84" s="349"/>
      <c r="E84" s="349"/>
      <c r="F84" s="350"/>
      <c r="G84" s="332"/>
      <c r="H84" s="330"/>
      <c r="I84" s="351"/>
      <c r="J84" s="352"/>
      <c r="L84" s="243"/>
    </row>
    <row r="85" spans="2:12">
      <c r="B85" s="347" t="s">
        <v>121</v>
      </c>
      <c r="C85" s="331" t="str">
        <f>IF([1]ACCUEIL!B1=1,"GROSS OPERATING SURPLUS (XC+RK)","EXCEDENT BRUT D'EXPLOITAION (XC+RK)")</f>
        <v>EXCEDENT BRUT D'EXPLOITAION (XC+RK)</v>
      </c>
      <c r="D85" s="222"/>
      <c r="E85" s="222"/>
      <c r="F85" s="332"/>
      <c r="G85" s="332"/>
      <c r="H85" s="330"/>
      <c r="I85" s="358">
        <f>I79+I82</f>
        <v>0</v>
      </c>
      <c r="J85" s="359">
        <f ca="1">J79+J82</f>
        <v>0</v>
      </c>
      <c r="L85" s="243"/>
    </row>
    <row r="86" spans="2:12" ht="3" customHeight="1">
      <c r="B86" s="335"/>
      <c r="C86" s="336"/>
      <c r="D86" s="337"/>
      <c r="E86" s="337"/>
      <c r="F86" s="85"/>
      <c r="G86" s="85"/>
      <c r="H86" s="338"/>
      <c r="I86" s="361"/>
      <c r="J86" s="362"/>
      <c r="L86" s="243"/>
    </row>
    <row r="87" spans="2:12" ht="3.75" customHeight="1">
      <c r="B87" s="347"/>
      <c r="C87" s="331"/>
      <c r="D87" s="222"/>
      <c r="E87" s="222"/>
      <c r="F87" s="332"/>
      <c r="G87" s="332"/>
      <c r="H87" s="330"/>
      <c r="I87" s="358"/>
      <c r="J87" s="359"/>
      <c r="L87" s="243"/>
    </row>
    <row r="88" spans="2:12">
      <c r="B88" s="347" t="s">
        <v>122</v>
      </c>
      <c r="C88" s="348" t="str">
        <f>IF([1]ACCUEIL!B1=1,"Reversals of depreciation, provisions and impairment","Reprises d'amortissements, provisions et dépréciations")</f>
        <v>Reprises d'amortissements, provisions et dépréciations</v>
      </c>
      <c r="D88" s="349"/>
      <c r="E88" s="349"/>
      <c r="F88" s="350"/>
      <c r="G88" s="332" t="s">
        <v>93</v>
      </c>
      <c r="H88" s="330">
        <v>28</v>
      </c>
      <c r="I88" s="333">
        <f>'[1]CLASSE 7'!J226+'[1]CLASSE 7'!J233+'[1]CLASSE 7'!J234</f>
        <v>0</v>
      </c>
      <c r="J88" s="334">
        <f>'[1]CLASSE 7'!F226+'[1]CLASSE 7'!F233+'[1]CLASSE 7'!F234-'[1]CLASSE 7'!E226</f>
        <v>0</v>
      </c>
      <c r="L88" s="243"/>
    </row>
    <row r="89" spans="2:12" ht="4.5" customHeight="1">
      <c r="B89" s="335"/>
      <c r="C89" s="353"/>
      <c r="D89" s="354"/>
      <c r="E89" s="354"/>
      <c r="F89" s="355"/>
      <c r="G89" s="85"/>
      <c r="H89" s="338"/>
      <c r="I89" s="339"/>
      <c r="J89" s="340"/>
      <c r="L89" s="243"/>
    </row>
    <row r="90" spans="2:12" ht="4.5" customHeight="1">
      <c r="B90" s="347"/>
      <c r="C90" s="348"/>
      <c r="D90" s="349"/>
      <c r="E90" s="349"/>
      <c r="F90" s="350"/>
      <c r="G90" s="332"/>
      <c r="H90" s="330"/>
      <c r="I90" s="351"/>
      <c r="J90" s="352"/>
      <c r="L90" s="243"/>
    </row>
    <row r="91" spans="2:12">
      <c r="B91" s="347" t="s">
        <v>123</v>
      </c>
      <c r="C91" s="348" t="str">
        <f>IF([1]ACCUEIL!B1=1,"Depreciation, amortization, provisions and impairment","Dotations aux amortissements, aux provisions et dépréciations")</f>
        <v>Dotations aux amortissements, aux provisions et dépréciations</v>
      </c>
      <c r="D91" s="349"/>
      <c r="E91" s="349"/>
      <c r="F91" s="350"/>
      <c r="G91" s="332" t="s">
        <v>95</v>
      </c>
      <c r="H91" s="330" t="s">
        <v>124</v>
      </c>
      <c r="I91" s="351">
        <f>-('[1]CLASSE 6'!I492+'[1]CLASSE 6'!I500)</f>
        <v>0</v>
      </c>
      <c r="J91" s="352">
        <f>-('[1]CLASSE 6'!E492+'[1]CLASSE 6'!E500)+'[1]CLASSE 6'!F492+'[1]CLASSE 6'!F500</f>
        <v>0</v>
      </c>
      <c r="L91" s="243"/>
    </row>
    <row r="92" spans="2:12" ht="3" customHeight="1">
      <c r="B92" s="335"/>
      <c r="C92" s="353"/>
      <c r="D92" s="354"/>
      <c r="E92" s="354"/>
      <c r="F92" s="355"/>
      <c r="G92" s="85"/>
      <c r="H92" s="338"/>
      <c r="I92" s="339"/>
      <c r="J92" s="340"/>
      <c r="L92" s="243"/>
    </row>
    <row r="93" spans="2:12" ht="3.75" customHeight="1">
      <c r="B93" s="347"/>
      <c r="C93" s="348"/>
      <c r="D93" s="349"/>
      <c r="E93" s="349"/>
      <c r="F93" s="350"/>
      <c r="G93" s="332"/>
      <c r="H93" s="330"/>
      <c r="I93" s="351"/>
      <c r="J93" s="352"/>
      <c r="L93" s="243"/>
    </row>
    <row r="94" spans="2:12">
      <c r="B94" s="356" t="s">
        <v>125</v>
      </c>
      <c r="C94" s="331" t="str">
        <f>IF([1]ACCUEIL!B1=1,"         OPERATING RESULT (XD+TJ+RL)","         RESULTAT D'EXPLOITATION (XD+TJ+RL)")</f>
        <v xml:space="preserve">         RESULTAT D'EXPLOITATION (XD+TJ+RL)</v>
      </c>
      <c r="D94" s="222"/>
      <c r="E94" s="222"/>
      <c r="F94" s="332"/>
      <c r="G94" s="332"/>
      <c r="H94" s="330"/>
      <c r="I94" s="358">
        <f>I85+I88+I91</f>
        <v>0</v>
      </c>
      <c r="J94" s="359">
        <f ca="1">J85+J88+J91</f>
        <v>0</v>
      </c>
      <c r="L94" s="243"/>
    </row>
    <row r="95" spans="2:12" ht="3" customHeight="1">
      <c r="B95" s="93"/>
      <c r="C95" s="336"/>
      <c r="D95" s="337"/>
      <c r="E95" s="337"/>
      <c r="F95" s="85"/>
      <c r="G95" s="85"/>
      <c r="H95" s="338"/>
      <c r="I95" s="361"/>
      <c r="J95" s="362"/>
      <c r="L95" s="243"/>
    </row>
    <row r="96" spans="2:12" ht="2.25" customHeight="1">
      <c r="B96" s="356"/>
      <c r="C96" s="331"/>
      <c r="D96" s="222"/>
      <c r="E96" s="222"/>
      <c r="F96" s="332"/>
      <c r="G96" s="332"/>
      <c r="H96" s="330"/>
      <c r="I96" s="358"/>
      <c r="J96" s="359"/>
      <c r="L96" s="243"/>
    </row>
    <row r="97" spans="2:12" ht="4.5" customHeight="1">
      <c r="B97" s="356"/>
      <c r="C97" s="331"/>
      <c r="D97" s="222"/>
      <c r="E97" s="222"/>
      <c r="F97" s="332"/>
      <c r="G97" s="332"/>
      <c r="H97" s="330"/>
      <c r="I97" s="358"/>
      <c r="J97" s="359"/>
      <c r="L97" s="243"/>
    </row>
    <row r="98" spans="2:12">
      <c r="B98" s="347" t="s">
        <v>126</v>
      </c>
      <c r="C98" s="348" t="str">
        <f>IF([1]ACCUEIL!B1=1,"Financial and similar income","Revenus financiers et assimiles")</f>
        <v>Revenus financiers et assimiles</v>
      </c>
      <c r="D98" s="349"/>
      <c r="E98" s="349"/>
      <c r="F98" s="350"/>
      <c r="G98" s="332" t="s">
        <v>93</v>
      </c>
      <c r="H98" s="330">
        <v>29</v>
      </c>
      <c r="I98" s="333">
        <f>'[1]CLASSE 7'!J184+'[1]CLASSE 7'!J190+'[1]CLASSE 7'!J191+'[1]CLASSE 7'!J197+'[1]CLASSE 7'!J198+'[1]CLASSE 7'!J199+'[1]CLASSE 7'!J200+'[1]CLASSE 7'!J208+'[1]CLASSE 7'!J216</f>
        <v>0</v>
      </c>
      <c r="J98" s="334">
        <f>'[1]CLASSE 7'!F184+'[1]CLASSE 7'!F190+'[1]CLASSE 7'!F191+'[1]CLASSE 7'!F197+'[1]CLASSE 7'!F198+'[1]CLASSE 7'!F199+'[1]CLASSE 7'!F200+'[1]CLASSE 7'!F208+'[1]CLASSE 7'!F216-('[1]CLASSE 7'!E184+'[1]CLASSE 7'!E190+'[1]CLASSE 7'!E197+'[1]CLASSE 7'!E208+'[1]CLASSE 7'!E216+'[1]CLASSE 7'!E198+'[1]CLASSE 7'!E199+'[1]CLASSE 7'!E200)</f>
        <v>0</v>
      </c>
      <c r="L98" s="243"/>
    </row>
    <row r="99" spans="2:12" ht="2.25" customHeight="1">
      <c r="B99" s="335"/>
      <c r="C99" s="353"/>
      <c r="D99" s="354"/>
      <c r="E99" s="354"/>
      <c r="F99" s="355"/>
      <c r="G99" s="85"/>
      <c r="H99" s="338"/>
      <c r="I99" s="363"/>
      <c r="J99" s="364"/>
      <c r="L99" s="243"/>
    </row>
    <row r="100" spans="2:12" ht="3" customHeight="1">
      <c r="B100" s="347"/>
      <c r="C100" s="348"/>
      <c r="D100" s="349"/>
      <c r="E100" s="349"/>
      <c r="F100" s="350"/>
      <c r="G100" s="332"/>
      <c r="H100" s="330"/>
      <c r="I100" s="333"/>
      <c r="J100" s="334"/>
      <c r="L100" s="243"/>
    </row>
    <row r="101" spans="2:12">
      <c r="B101" s="347" t="s">
        <v>127</v>
      </c>
      <c r="C101" s="348" t="str">
        <f>IF([1]ACCUEIL!B1=1,"Reversals of provisions and financial depreciation","Reprises de provisions et dépréciations financières")</f>
        <v>Reprises de provisions et dépréciations financières</v>
      </c>
      <c r="D101" s="349"/>
      <c r="E101" s="349"/>
      <c r="F101" s="350"/>
      <c r="G101" s="332" t="s">
        <v>93</v>
      </c>
      <c r="H101" s="330">
        <v>28</v>
      </c>
      <c r="I101" s="333">
        <f>'[1]CLASSE 7'!J232</f>
        <v>0</v>
      </c>
      <c r="J101" s="334">
        <f>'[1]CLASSE 7'!F232-'[1]CLASSE 7'!E232</f>
        <v>0</v>
      </c>
      <c r="L101" s="243"/>
    </row>
    <row r="102" spans="2:12" ht="4.5" customHeight="1">
      <c r="B102" s="335"/>
      <c r="C102" s="353"/>
      <c r="D102" s="354"/>
      <c r="E102" s="354"/>
      <c r="F102" s="355"/>
      <c r="G102" s="85"/>
      <c r="H102" s="338"/>
      <c r="I102" s="363"/>
      <c r="J102" s="364"/>
      <c r="L102" s="243"/>
    </row>
    <row r="103" spans="2:12" ht="4.5" customHeight="1">
      <c r="B103" s="347"/>
      <c r="C103" s="348"/>
      <c r="D103" s="349"/>
      <c r="E103" s="349"/>
      <c r="F103" s="350"/>
      <c r="G103" s="332"/>
      <c r="H103" s="330"/>
      <c r="I103" s="333"/>
      <c r="J103" s="334"/>
      <c r="L103" s="243"/>
    </row>
    <row r="104" spans="2:12">
      <c r="B104" s="347" t="s">
        <v>128</v>
      </c>
      <c r="C104" s="348" t="str">
        <f>IF([1]ACCUEIL!B1=1,"Transfer of financial expenses","Transfert de charges financières")</f>
        <v>Transfert de charges financières</v>
      </c>
      <c r="D104" s="349"/>
      <c r="E104" s="349"/>
      <c r="F104" s="350"/>
      <c r="G104" s="332" t="s">
        <v>93</v>
      </c>
      <c r="H104" s="330">
        <v>12</v>
      </c>
      <c r="I104" s="333">
        <f>'[1]CLASSE 7'!J218</f>
        <v>0</v>
      </c>
      <c r="J104" s="334">
        <f>'[1]CLASSE 7'!F218</f>
        <v>0</v>
      </c>
      <c r="L104" s="243"/>
    </row>
    <row r="105" spans="2:12" ht="3.75" customHeight="1">
      <c r="B105" s="335"/>
      <c r="C105" s="353"/>
      <c r="D105" s="354"/>
      <c r="E105" s="354"/>
      <c r="F105" s="355"/>
      <c r="G105" s="85"/>
      <c r="H105" s="338"/>
      <c r="I105" s="339"/>
      <c r="J105" s="340"/>
      <c r="L105" s="243"/>
    </row>
    <row r="106" spans="2:12" ht="3.75" customHeight="1">
      <c r="B106" s="347"/>
      <c r="C106" s="348"/>
      <c r="D106" s="349"/>
      <c r="E106" s="349"/>
      <c r="F106" s="350"/>
      <c r="G106" s="332"/>
      <c r="H106" s="330"/>
      <c r="I106" s="351"/>
      <c r="J106" s="352"/>
      <c r="L106" s="243"/>
    </row>
    <row r="107" spans="2:12" ht="17.25" customHeight="1">
      <c r="B107" s="347" t="s">
        <v>129</v>
      </c>
      <c r="C107" s="348" t="str">
        <f>IF([1]ACCUEIL!B1=1,"Financial expenses and similar expenses","Frais financiers et charges assimilées")</f>
        <v>Frais financiers et charges assimilées</v>
      </c>
      <c r="D107" s="349"/>
      <c r="E107" s="349"/>
      <c r="F107" s="350"/>
      <c r="G107" s="332" t="s">
        <v>95</v>
      </c>
      <c r="H107" s="330">
        <v>29</v>
      </c>
      <c r="I107" s="351">
        <f>-('[1]CLASSE 6'!I437+'[1]CLASSE 6'!I447+'[1]CLASSE 6'!I448+'[1]CLASSE 6'!I462+'[1]CLASSE 6'!I463+'[1]CLASSE 6'!I464+'[1]CLASSE 6'!I470+'[1]CLASSE 6'!I478+'[1]CLASSE 6'!I486)</f>
        <v>0</v>
      </c>
      <c r="J107" s="352">
        <f>-('[1]CLASSE 6'!E437+'[1]CLASSE 6'!E447+'[1]CLASSE 6'!E448+'[1]CLASSE 6'!E462+'[1]CLASSE 6'!E463+'[1]CLASSE 6'!E464+'[1]CLASSE 6'!E470+'[1]CLASSE 6'!E478+'[1]CLASSE 6'!E486)+'[1]CLASSE 6'!F437+'[1]CLASSE 6'!F447+'[1]CLASSE 6'!F462+'[1]CLASSE 6'!F470+'[1]CLASSE 6'!F478+'[1]CLASSE 6'!F486</f>
        <v>0</v>
      </c>
      <c r="L107" s="243"/>
    </row>
    <row r="108" spans="2:12" ht="3.75" customHeight="1">
      <c r="B108" s="335"/>
      <c r="C108" s="353"/>
      <c r="D108" s="354"/>
      <c r="E108" s="354"/>
      <c r="F108" s="355"/>
      <c r="G108" s="85"/>
      <c r="H108" s="338"/>
      <c r="I108" s="339"/>
      <c r="J108" s="340"/>
      <c r="L108" s="243"/>
    </row>
    <row r="109" spans="2:12" ht="2.25" customHeight="1">
      <c r="B109" s="347"/>
      <c r="C109" s="348"/>
      <c r="D109" s="349"/>
      <c r="E109" s="349"/>
      <c r="F109" s="350"/>
      <c r="G109" s="332"/>
      <c r="H109" s="330"/>
      <c r="I109" s="351"/>
      <c r="J109" s="352"/>
      <c r="L109" s="243"/>
    </row>
    <row r="110" spans="2:12">
      <c r="B110" s="347" t="s">
        <v>130</v>
      </c>
      <c r="C110" s="348" t="str">
        <f>IF([1]ACCUEIL!B1=1,"Charges to provisions and financial depreciation","Dotations aux provisions et aux dépréciations financières")</f>
        <v>Dotations aux provisions et aux dépréciations financières</v>
      </c>
      <c r="D110" s="349"/>
      <c r="E110" s="349"/>
      <c r="F110" s="350"/>
      <c r="G110" s="332" t="s">
        <v>95</v>
      </c>
      <c r="H110" s="330" t="s">
        <v>124</v>
      </c>
      <c r="I110" s="351">
        <f>-'[1]CLASSE 6'!I506</f>
        <v>0</v>
      </c>
      <c r="J110" s="352">
        <f>-'[1]CLASSE 6'!E506+'[1]CLASSE 6'!F506</f>
        <v>0</v>
      </c>
      <c r="L110" s="243"/>
    </row>
    <row r="111" spans="2:12" ht="4.5" customHeight="1">
      <c r="B111" s="335"/>
      <c r="C111" s="353"/>
      <c r="D111" s="354"/>
      <c r="E111" s="354"/>
      <c r="F111" s="355"/>
      <c r="G111" s="85"/>
      <c r="H111" s="338"/>
      <c r="I111" s="339"/>
      <c r="J111" s="340"/>
      <c r="L111" s="243"/>
    </row>
    <row r="112" spans="2:12" ht="4.5" customHeight="1">
      <c r="B112" s="347"/>
      <c r="C112" s="348"/>
      <c r="D112" s="349"/>
      <c r="E112" s="349"/>
      <c r="F112" s="350"/>
      <c r="G112" s="332"/>
      <c r="H112" s="330"/>
      <c r="I112" s="351"/>
      <c r="J112" s="352"/>
      <c r="L112" s="243"/>
    </row>
    <row r="113" spans="2:12">
      <c r="B113" s="356" t="s">
        <v>131</v>
      </c>
      <c r="C113" s="331" t="str">
        <f>IF([1]ACCUEIL!B1=1,"    FINANCIAL RESULT (TK to RN SUM)","    RESULTAT FINANCIER (SOMME TK à RN)")</f>
        <v xml:space="preserve">    RESULTAT FINANCIER (SOMME TK à RN)</v>
      </c>
      <c r="D113" s="222"/>
      <c r="E113" s="222"/>
      <c r="F113" s="332"/>
      <c r="G113" s="332"/>
      <c r="H113" s="330"/>
      <c r="I113" s="358">
        <f>SUM(I98:I110)</f>
        <v>0</v>
      </c>
      <c r="J113" s="359">
        <f>SUM(J98:J110)</f>
        <v>0</v>
      </c>
      <c r="L113" s="243"/>
    </row>
    <row r="114" spans="2:12" ht="3.75" customHeight="1">
      <c r="B114" s="93"/>
      <c r="C114" s="336"/>
      <c r="D114" s="337"/>
      <c r="E114" s="337"/>
      <c r="F114" s="85"/>
      <c r="G114" s="85"/>
      <c r="H114" s="338"/>
      <c r="I114" s="361"/>
      <c r="J114" s="362"/>
      <c r="L114" s="243"/>
    </row>
    <row r="115" spans="2:12" ht="3.75" customHeight="1">
      <c r="B115" s="356"/>
      <c r="C115" s="331"/>
      <c r="D115" s="222"/>
      <c r="E115" s="222"/>
      <c r="F115" s="332"/>
      <c r="G115" s="332"/>
      <c r="H115" s="330"/>
      <c r="I115" s="358"/>
      <c r="J115" s="359"/>
      <c r="L115" s="243"/>
    </row>
    <row r="116" spans="2:12">
      <c r="B116" s="356" t="s">
        <v>132</v>
      </c>
      <c r="C116" s="331" t="str">
        <f>IF([1]ACCUEIL!B1=1,"     INCOME FROM ORDINARY ACTIVITIES ( XE+ XF)","     RESULTAT DES ACTIVITES ORDINAIRES ( XE+ XF)")</f>
        <v xml:space="preserve">     RESULTAT DES ACTIVITES ORDINAIRES ( XE+ XF)</v>
      </c>
      <c r="D116" s="222"/>
      <c r="E116" s="222"/>
      <c r="F116" s="369"/>
      <c r="G116" s="332"/>
      <c r="H116" s="330"/>
      <c r="I116" s="358">
        <f>I94+I113</f>
        <v>0</v>
      </c>
      <c r="J116" s="359">
        <f ca="1">J94+J113</f>
        <v>0</v>
      </c>
      <c r="L116" s="243"/>
    </row>
    <row r="117" spans="2:12" ht="3.75" customHeight="1">
      <c r="B117" s="93"/>
      <c r="C117" s="336"/>
      <c r="D117" s="337"/>
      <c r="E117" s="337"/>
      <c r="F117" s="370"/>
      <c r="G117" s="85"/>
      <c r="H117" s="338"/>
      <c r="I117" s="361"/>
      <c r="J117" s="362"/>
      <c r="L117" s="243"/>
    </row>
    <row r="118" spans="2:12" ht="3.75" customHeight="1">
      <c r="B118" s="356"/>
      <c r="C118" s="331"/>
      <c r="D118" s="222"/>
      <c r="E118" s="222"/>
      <c r="F118" s="369"/>
      <c r="G118" s="332"/>
      <c r="H118" s="330"/>
      <c r="I118" s="358"/>
      <c r="J118" s="359"/>
      <c r="L118" s="243"/>
    </row>
    <row r="119" spans="2:12">
      <c r="B119" s="347" t="s">
        <v>133</v>
      </c>
      <c r="C119" s="348" t="str">
        <f>IF([1]ACCUEIL!B1=1,"Proceeds from the sale of fixed assets","Produits des cessions d'immobilisations")</f>
        <v>Produits des cessions d'immobilisations</v>
      </c>
      <c r="D119" s="349"/>
      <c r="E119" s="349"/>
      <c r="F119" s="350"/>
      <c r="G119" s="332" t="s">
        <v>93</v>
      </c>
      <c r="H119" s="330" t="s">
        <v>134</v>
      </c>
      <c r="I119" s="333">
        <f ca="1">'[1]CLASSE 8'!J8+'[1]CLASSE 8'!J9+'[1]CLASSE 8'!J10</f>
        <v>0</v>
      </c>
      <c r="J119" s="334">
        <f>'[1]CLASSE 8'!F8+'[1]CLASSE 8'!F9+'[1]CLASSE 8'!F10</f>
        <v>0</v>
      </c>
      <c r="L119" s="243"/>
    </row>
    <row r="120" spans="2:12" ht="3.75" customHeight="1">
      <c r="B120" s="335"/>
      <c r="C120" s="353"/>
      <c r="D120" s="354"/>
      <c r="E120" s="354"/>
      <c r="F120" s="355"/>
      <c r="G120" s="85"/>
      <c r="H120" s="338"/>
      <c r="I120" s="363"/>
      <c r="J120" s="364"/>
      <c r="L120" s="243"/>
    </row>
    <row r="121" spans="2:12" ht="3.75" customHeight="1">
      <c r="B121" s="347"/>
      <c r="C121" s="348"/>
      <c r="D121" s="349"/>
      <c r="E121" s="349"/>
      <c r="F121" s="350"/>
      <c r="G121" s="332"/>
      <c r="H121" s="330"/>
      <c r="I121" s="333"/>
      <c r="J121" s="334"/>
      <c r="L121" s="243"/>
    </row>
    <row r="122" spans="2:12">
      <c r="B122" s="347" t="s">
        <v>135</v>
      </c>
      <c r="C122" s="348" t="str">
        <f>IF([1]ACCUEIL!B1=1,"Other Products EOA ","Autres Produits HAO")</f>
        <v>Autres Produits HAO</v>
      </c>
      <c r="D122" s="349"/>
      <c r="E122" s="349"/>
      <c r="F122" s="350"/>
      <c r="G122" s="332" t="s">
        <v>93</v>
      </c>
      <c r="H122" s="330">
        <v>30</v>
      </c>
      <c r="I122" s="333">
        <f>SUM('[1]CLASSE 8'!J18:J25)+SUM('[1]CLASSE 8'!J31:J35)+SUM('[1]CLASSE 8'!J39:J42)</f>
        <v>0</v>
      </c>
      <c r="J122" s="334">
        <f>SUM('[1]CLASSE 8'!F18:F25)+SUM('[1]CLASSE 8'!F31:F35)+SUM('[1]CLASSE 8'!F39:F42)-(SUM('[1]CLASSE 8'!E18:E25)+SUM('[1]CLASSE 8'!E31:E35)+SUM('[1]CLASSE 8'!E39:E42))</f>
        <v>0</v>
      </c>
      <c r="L122" s="243"/>
    </row>
    <row r="123" spans="2:12" ht="2.25" customHeight="1">
      <c r="B123" s="335"/>
      <c r="C123" s="353"/>
      <c r="D123" s="354"/>
      <c r="E123" s="354"/>
      <c r="F123" s="355"/>
      <c r="G123" s="85"/>
      <c r="H123" s="338"/>
      <c r="I123" s="339"/>
      <c r="J123" s="340"/>
      <c r="L123" s="243"/>
    </row>
    <row r="124" spans="2:12" ht="1.5" customHeight="1">
      <c r="B124" s="347"/>
      <c r="C124" s="348"/>
      <c r="D124" s="349"/>
      <c r="E124" s="349"/>
      <c r="F124" s="350"/>
      <c r="G124" s="332"/>
      <c r="H124" s="330"/>
      <c r="I124" s="351"/>
      <c r="J124" s="352"/>
      <c r="L124" s="243"/>
    </row>
    <row r="125" spans="2:12">
      <c r="B125" s="347" t="s">
        <v>136</v>
      </c>
      <c r="C125" s="348" t="str">
        <f>IF([1]ACCUEIL!B1=1,"Carrying amounts of disposals of fixed assets","Valeurs comptables des cessions d'immobilisations")</f>
        <v>Valeurs comptables des cessions d'immobilisations</v>
      </c>
      <c r="D125" s="349"/>
      <c r="E125" s="349"/>
      <c r="F125" s="350"/>
      <c r="G125" s="332" t="s">
        <v>95</v>
      </c>
      <c r="H125" s="330" t="s">
        <v>134</v>
      </c>
      <c r="I125" s="351">
        <f ca="1">-('[1]CLASSE 8'!I5+'[1]CLASSE 8'!I6+'[1]CLASSE 8'!I7)</f>
        <v>0</v>
      </c>
      <c r="J125" s="352">
        <f>-('[1]CLASSE 8'!E5+'[1]CLASSE 8'!E6+'[1]CLASSE 8'!E7)</f>
        <v>0</v>
      </c>
      <c r="L125" s="243"/>
    </row>
    <row r="126" spans="2:12" ht="4.5" customHeight="1">
      <c r="B126" s="335"/>
      <c r="C126" s="353"/>
      <c r="D126" s="354"/>
      <c r="E126" s="354"/>
      <c r="F126" s="355"/>
      <c r="G126" s="85"/>
      <c r="H126" s="338"/>
      <c r="I126" s="339"/>
      <c r="J126" s="340"/>
      <c r="L126" s="243"/>
    </row>
    <row r="127" spans="2:12" ht="4.5" customHeight="1">
      <c r="B127" s="347"/>
      <c r="C127" s="348"/>
      <c r="D127" s="349"/>
      <c r="E127" s="349"/>
      <c r="F127" s="350"/>
      <c r="G127" s="332"/>
      <c r="H127" s="330"/>
      <c r="I127" s="351"/>
      <c r="J127" s="352"/>
      <c r="L127" s="243"/>
    </row>
    <row r="128" spans="2:12">
      <c r="B128" s="347" t="s">
        <v>137</v>
      </c>
      <c r="C128" s="348" t="str">
        <f>IF([1]ACCUEIL!B1=1," Other expenses excluding ordinary activities"," Autres Charges HAO")</f>
        <v xml:space="preserve"> Autres Charges HAO</v>
      </c>
      <c r="D128" s="349"/>
      <c r="E128" s="349"/>
      <c r="F128" s="350"/>
      <c r="G128" s="332" t="s">
        <v>95</v>
      </c>
      <c r="H128" s="330">
        <v>30</v>
      </c>
      <c r="I128" s="351">
        <f>-(SUM('[1]CLASSE 8'!I11:I17)+SUM('[1]CLASSE 8'!I26:I30))</f>
        <v>0</v>
      </c>
      <c r="J128" s="352">
        <f>-(SUM('[1]CLASSE 8'!E11:E17)+SUM('[1]CLASSE 8'!E26:E30))+((SUM('[1]CLASSE 8'!F11:F17)+SUM('[1]CLASSE 8'!F26:F30)))</f>
        <v>0</v>
      </c>
      <c r="L128" s="243"/>
    </row>
    <row r="129" spans="2:13" ht="3.75" customHeight="1">
      <c r="B129" s="335"/>
      <c r="C129" s="353"/>
      <c r="D129" s="354"/>
      <c r="E129" s="354"/>
      <c r="F129" s="355"/>
      <c r="G129" s="85"/>
      <c r="H129" s="338"/>
      <c r="I129" s="339"/>
      <c r="J129" s="340"/>
      <c r="L129" s="243"/>
    </row>
    <row r="130" spans="2:13" ht="3.75" customHeight="1">
      <c r="B130" s="347"/>
      <c r="C130" s="348"/>
      <c r="D130" s="349"/>
      <c r="E130" s="349"/>
      <c r="F130" s="350"/>
      <c r="G130" s="332"/>
      <c r="H130" s="330"/>
      <c r="I130" s="351"/>
      <c r="J130" s="352"/>
      <c r="L130" s="243"/>
    </row>
    <row r="131" spans="2:13">
      <c r="B131" s="347" t="s">
        <v>138</v>
      </c>
      <c r="C131" s="331" t="str">
        <f>IF([1]ACCUEIL!B1=1,"       OUTCOME EXCLUDING ORDINARY ACTIVITIES (TN to PR SUM)","       RESULTAT HORS ACTIVITES ORDINAIRES (SOMME TN à RP)")</f>
        <v xml:space="preserve">       RESULTAT HORS ACTIVITES ORDINAIRES (SOMME TN à RP)</v>
      </c>
      <c r="D131" s="222"/>
      <c r="E131" s="222"/>
      <c r="F131" s="332"/>
      <c r="G131" s="332"/>
      <c r="H131" s="330"/>
      <c r="I131" s="358">
        <f ca="1">SUM(I119:I128)</f>
        <v>0</v>
      </c>
      <c r="J131" s="359">
        <f>SUM(J119:J128)</f>
        <v>0</v>
      </c>
      <c r="L131" s="243"/>
    </row>
    <row r="132" spans="2:13" ht="3.75" customHeight="1">
      <c r="B132" s="335"/>
      <c r="C132" s="336"/>
      <c r="D132" s="337"/>
      <c r="E132" s="337"/>
      <c r="F132" s="85"/>
      <c r="G132" s="85"/>
      <c r="H132" s="338"/>
      <c r="I132" s="361"/>
      <c r="J132" s="362"/>
      <c r="L132" s="243"/>
    </row>
    <row r="133" spans="2:13" ht="3.75" customHeight="1">
      <c r="B133" s="347"/>
      <c r="C133" s="331"/>
      <c r="D133" s="222"/>
      <c r="E133" s="222"/>
      <c r="F133" s="332"/>
      <c r="G133" s="332"/>
      <c r="H133" s="330"/>
      <c r="I133" s="358"/>
      <c r="J133" s="359"/>
      <c r="L133" s="243"/>
    </row>
    <row r="134" spans="2:13">
      <c r="B134" s="347" t="s">
        <v>139</v>
      </c>
      <c r="C134" s="348" t="str">
        <f>IF([1]ACCUEIL!B1=1,"Employee participation","Participation des travailleurs")</f>
        <v>Participation des travailleurs</v>
      </c>
      <c r="D134" s="349"/>
      <c r="E134" s="349"/>
      <c r="F134" s="350"/>
      <c r="G134" s="332" t="s">
        <v>95</v>
      </c>
      <c r="H134" s="330">
        <v>30</v>
      </c>
      <c r="I134" s="351">
        <f>-(SUM('[1]CLASSE 8'!I36:I38))</f>
        <v>0</v>
      </c>
      <c r="J134" s="352">
        <f>-(SUM('[1]CLASSE 8'!E36:E38))+((SUM('[1]CLASSE 8'!F36:F38)))</f>
        <v>0</v>
      </c>
      <c r="L134" s="243"/>
    </row>
    <row r="135" spans="2:13" ht="4.5" customHeight="1">
      <c r="B135" s="335"/>
      <c r="C135" s="353"/>
      <c r="D135" s="354"/>
      <c r="E135" s="354"/>
      <c r="F135" s="355"/>
      <c r="G135" s="85"/>
      <c r="H135" s="338"/>
      <c r="I135" s="339"/>
      <c r="J135" s="340"/>
      <c r="L135" s="243"/>
    </row>
    <row r="136" spans="2:13" ht="4.5" customHeight="1">
      <c r="B136" s="347"/>
      <c r="C136" s="348"/>
      <c r="D136" s="349"/>
      <c r="E136" s="349"/>
      <c r="F136" s="350"/>
      <c r="G136" s="332"/>
      <c r="H136" s="330"/>
      <c r="I136" s="351"/>
      <c r="J136" s="352"/>
      <c r="L136" s="243"/>
    </row>
    <row r="137" spans="2:13">
      <c r="B137" s="347" t="s">
        <v>140</v>
      </c>
      <c r="C137" s="348" t="str">
        <f>IF([1]ACCUEIL!B1=1,"Income tax expense","Impôt sur le résultat")</f>
        <v>Impôt sur le résultat</v>
      </c>
      <c r="D137" s="349"/>
      <c r="E137" s="349"/>
      <c r="F137" s="350"/>
      <c r="G137" s="332" t="s">
        <v>95</v>
      </c>
      <c r="H137" s="330"/>
      <c r="I137" s="351">
        <f>-('[1]CLASSE 8'!I50+'[1]CLASSE 8'!I51+'[1]CLASSE 8'!I52-'[1]CLASSE 8'!J58)</f>
        <v>0</v>
      </c>
      <c r="J137" s="352">
        <f>-('[1]CLASSE 8'!E50+'[1]CLASSE 8'!E51+'[1]CLASSE 8'!E52-'[1]CLASSE 8'!F58)</f>
        <v>0</v>
      </c>
      <c r="L137" s="243"/>
    </row>
    <row r="138" spans="2:13" ht="3.75" customHeight="1">
      <c r="B138" s="335"/>
      <c r="C138" s="353"/>
      <c r="D138" s="354"/>
      <c r="E138" s="354"/>
      <c r="F138" s="355"/>
      <c r="G138" s="85"/>
      <c r="H138" s="338"/>
      <c r="I138" s="339"/>
      <c r="J138" s="340"/>
      <c r="L138" s="243"/>
    </row>
    <row r="139" spans="2:13" ht="3.75" customHeight="1">
      <c r="B139" s="347"/>
      <c r="C139" s="348"/>
      <c r="D139" s="349"/>
      <c r="E139" s="349"/>
      <c r="F139" s="350"/>
      <c r="G139" s="332"/>
      <c r="H139" s="330"/>
      <c r="I139" s="351"/>
      <c r="J139" s="352"/>
      <c r="L139" s="243"/>
    </row>
    <row r="140" spans="2:13">
      <c r="B140" s="347" t="s">
        <v>141</v>
      </c>
      <c r="C140" s="331" t="str">
        <f>IF([1]ACCUEIL!B1=1,"                    RESULT (NET XG +XH + RQ + RS)","                    RESULTAT (NET XG +XH + RQ + RS)")</f>
        <v xml:space="preserve">                    RESULTAT (NET XG +XH + RQ + RS)</v>
      </c>
      <c r="D140" s="222"/>
      <c r="E140" s="222"/>
      <c r="F140" s="332"/>
      <c r="G140" s="332"/>
      <c r="H140" s="330"/>
      <c r="I140" s="359">
        <f ca="1">I116+I131+I134+I137</f>
        <v>0</v>
      </c>
      <c r="J140" s="359">
        <f ca="1">J116+J131+J134+J137</f>
        <v>0</v>
      </c>
      <c r="K140" s="371"/>
      <c r="L140" s="243"/>
      <c r="M140" s="220"/>
    </row>
    <row r="141" spans="2:13" ht="4.5" customHeight="1">
      <c r="B141" s="335"/>
      <c r="C141" s="336"/>
      <c r="D141" s="337"/>
      <c r="E141" s="337"/>
      <c r="F141" s="85"/>
      <c r="G141" s="85"/>
      <c r="H141" s="338"/>
      <c r="I141" s="372"/>
      <c r="J141" s="372"/>
      <c r="K141" s="371"/>
      <c r="L141" s="243"/>
    </row>
    <row r="142" spans="2:13">
      <c r="K142" s="371"/>
      <c r="L142" s="220"/>
    </row>
    <row r="143" spans="2:13">
      <c r="I143" s="256"/>
      <c r="J143" s="220">
        <f ca="1">PASSIF!I21-I140</f>
        <v>0</v>
      </c>
      <c r="K143" s="371"/>
    </row>
    <row r="144" spans="2:13">
      <c r="J144" s="220"/>
    </row>
    <row r="150" spans="10:10">
      <c r="J150" s="256"/>
    </row>
  </sheetData>
  <sheetProtection selectLockedCells="1" selectUnlockedCells="1"/>
  <mergeCells count="9">
    <mergeCell ref="B1:J1"/>
    <mergeCell ref="I2:J3"/>
    <mergeCell ref="F8:G8"/>
    <mergeCell ref="B10:J10"/>
    <mergeCell ref="B12:B14"/>
    <mergeCell ref="C12:G14"/>
    <mergeCell ref="H12:H14"/>
    <mergeCell ref="I12:I13"/>
    <mergeCell ref="J12:J13"/>
  </mergeCells>
  <conditionalFormatting sqref="I6">
    <cfRule type="expression" dxfId="50" priority="1">
      <formula>#REF!=1</formula>
    </cfRule>
  </conditionalFormatting>
  <printOptions horizontalCentered="1"/>
  <pageMargins left="0.78740157480314965" right="0" top="0.39370078740157483" bottom="0.19685039370078741" header="0.15748031496062992" footer="0.19685039370078741"/>
  <pageSetup paperSize="9" scale="70" orientation="portrait" r:id="rId1"/>
  <headerFooter>
    <oddHeader>&amp;L&amp;"Arial,Gras"&amp;12
&amp;C&amp;"-,Gras"&amp;14Page &amp;P / &amp;N</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5">
    <pageSetUpPr fitToPage="1"/>
  </sheetPr>
  <dimension ref="A1:L108"/>
  <sheetViews>
    <sheetView showGridLines="0" showRowColHeaders="0" showZeros="0" topLeftCell="B78" zoomScale="80" zoomScaleNormal="80" zoomScaleSheetLayoutView="100" workbookViewId="0">
      <selection activeCell="K29" sqref="K29"/>
    </sheetView>
  </sheetViews>
  <sheetFormatPr baseColWidth="10" defaultColWidth="11.42578125" defaultRowHeight="15"/>
  <cols>
    <col min="1" max="1" width="18.7109375" style="2" customWidth="1"/>
    <col min="2" max="2" width="4.42578125" style="2" bestFit="1" customWidth="1"/>
    <col min="3" max="3" width="26.28515625" style="2" customWidth="1"/>
    <col min="4" max="4" width="27" style="2" customWidth="1"/>
    <col min="5" max="5" width="39.85546875" style="2" customWidth="1"/>
    <col min="6" max="6" width="5.5703125" style="2" customWidth="1"/>
    <col min="7" max="7" width="6" style="2" customWidth="1"/>
    <col min="8" max="8" width="21.5703125" style="2" customWidth="1"/>
    <col min="9" max="9" width="21" style="2" customWidth="1"/>
    <col min="10" max="10" width="12.28515625" style="2" bestFit="1" customWidth="1"/>
    <col min="11" max="11" width="19.7109375" style="2" bestFit="1" customWidth="1"/>
    <col min="12" max="16384" width="11.42578125" style="2"/>
  </cols>
  <sheetData>
    <row r="1" spans="1:12" ht="15.75" thickBot="1">
      <c r="A1" s="1">
        <f>IF('[1]BALANCE N'!A3&gt;0,1,0)</f>
        <v>0</v>
      </c>
      <c r="B1" s="1407"/>
      <c r="C1" s="1407"/>
      <c r="D1" s="1407"/>
      <c r="E1" s="1407"/>
      <c r="F1" s="1407"/>
      <c r="G1" s="1407"/>
      <c r="H1" s="1407"/>
      <c r="I1" s="1407"/>
    </row>
    <row r="2" spans="1:12" ht="19.5" customHeight="1">
      <c r="B2" s="144"/>
      <c r="C2" s="144"/>
      <c r="D2" s="144"/>
      <c r="E2" s="144"/>
      <c r="F2" s="144"/>
      <c r="G2" s="144"/>
      <c r="H2" s="1541" t="str">
        <f>IF([1]ACCUEIL!B1=1,"NORMAL SYSTEM CASH FLOW CHART PAGE 1/1","TABLEAU DE FLUX DE TRESORERIE SYSTEME NORMAL PAGE 1/1")</f>
        <v>TABLEAU DE FLUX DE TRESORERIE SYSTEME NORMAL PAGE 1/1</v>
      </c>
      <c r="I2" s="1542"/>
    </row>
    <row r="3" spans="1:12" ht="27.75" customHeight="1" thickBot="1">
      <c r="B3" s="144"/>
      <c r="C3" s="144"/>
      <c r="D3" s="144"/>
      <c r="E3" s="312"/>
      <c r="F3" s="144"/>
      <c r="G3" s="144"/>
      <c r="H3" s="1543"/>
      <c r="I3" s="1544"/>
    </row>
    <row r="4" spans="1:12">
      <c r="B4" s="43" t="str">
        <f>+'COMPTE DE RESULTAT'!B4</f>
        <v>Désignation entité:</v>
      </c>
      <c r="D4" s="373" t="str">
        <f>'COMPTE DE RESULTAT'!D4</f>
        <v/>
      </c>
      <c r="E4" s="319"/>
      <c r="F4" s="144"/>
      <c r="G4" s="43"/>
      <c r="H4" s="43"/>
      <c r="I4" s="374"/>
      <c r="L4" s="235"/>
    </row>
    <row r="5" spans="1:12">
      <c r="B5" s="315" t="str">
        <f>+'COMPTE DE RESULTAT'!B5</f>
        <v>Sigle usuel :</v>
      </c>
      <c r="D5" s="375" t="str">
        <f>'COMPTE DE RESULTAT'!D5</f>
        <v/>
      </c>
      <c r="E5" s="376"/>
      <c r="F5" s="376"/>
      <c r="G5" s="375"/>
      <c r="H5" s="377"/>
      <c r="I5" s="377"/>
      <c r="L5" s="235"/>
    </row>
    <row r="6" spans="1:12">
      <c r="B6" s="43" t="str">
        <f>+'COMPTE DE RESULTAT'!B6</f>
        <v>Adresse:</v>
      </c>
      <c r="D6" s="373">
        <f>'COMPTE DE RESULTAT'!D6</f>
        <v>0</v>
      </c>
      <c r="E6" s="378"/>
      <c r="F6" s="375"/>
      <c r="G6" s="379"/>
      <c r="H6" s="317" t="str">
        <f>+'COMPTE DE RESULTAT'!I6</f>
        <v>BP:</v>
      </c>
      <c r="I6" s="380" t="str">
        <f>'COMPTE DE RESULTAT'!J6</f>
        <v/>
      </c>
      <c r="L6" s="235"/>
    </row>
    <row r="7" spans="1:12">
      <c r="B7" s="43" t="str">
        <f>+'COMPTE DE RESULTAT'!B8</f>
        <v>Numéro d'identification:</v>
      </c>
      <c r="D7" s="380" t="str">
        <f>'COMPTE DE RESULTAT'!D8</f>
        <v/>
      </c>
      <c r="E7" s="318" t="str">
        <f>+'COMPTE DE RESULTAT'!E8</f>
        <v xml:space="preserve">   Exercice clos le 31 - 12- </v>
      </c>
      <c r="F7" s="319">
        <f>'COMPTE DE RESULTAT'!F8</f>
        <v>2025</v>
      </c>
      <c r="G7" s="144"/>
      <c r="H7" s="318" t="str">
        <f>+'COMPTE DE RESULTAT'!I8</f>
        <v xml:space="preserve">    Durée (en mois):</v>
      </c>
      <c r="I7" s="319">
        <f>'COMPTE DE RESULTAT'!J8</f>
        <v>12</v>
      </c>
      <c r="J7" s="1"/>
      <c r="L7" s="235"/>
    </row>
    <row r="8" spans="1:12">
      <c r="B8" s="144"/>
      <c r="C8" s="144"/>
      <c r="D8" s="381"/>
      <c r="E8" s="144"/>
      <c r="F8" s="381"/>
      <c r="G8" s="381"/>
      <c r="H8" s="144"/>
      <c r="I8" s="381"/>
      <c r="L8" s="235"/>
    </row>
    <row r="9" spans="1:12">
      <c r="B9" s="1617" t="str">
        <f>+IF([1]ACCUEIL!B1=1,"CASH FLOW STATEMENT","TABLEAU DE FLUX DE TRESORERIE")</f>
        <v>TABLEAU DE FLUX DE TRESORERIE</v>
      </c>
      <c r="C9" s="1617"/>
      <c r="D9" s="1617"/>
      <c r="E9" s="1617"/>
      <c r="F9" s="1617"/>
      <c r="G9" s="1617"/>
      <c r="H9" s="1617"/>
      <c r="I9" s="1617"/>
    </row>
    <row r="10" spans="1:12">
      <c r="B10" s="144"/>
      <c r="C10" s="144"/>
      <c r="D10" s="144"/>
      <c r="E10" s="312"/>
      <c r="F10" s="144"/>
      <c r="G10" s="144"/>
      <c r="H10" s="144"/>
      <c r="I10" s="144"/>
    </row>
    <row r="11" spans="1:12">
      <c r="B11" s="1563" t="s">
        <v>26</v>
      </c>
      <c r="C11" s="1566" t="str">
        <f>'COMPTE DE RESULTAT'!C12</f>
        <v>LIBELLES</v>
      </c>
      <c r="D11" s="1567"/>
      <c r="E11" s="1567"/>
      <c r="F11" s="1568"/>
      <c r="G11" s="1563" t="s">
        <v>59</v>
      </c>
      <c r="H11" s="1563" t="str">
        <f>+'[1]TABLEAU DE FLUX DE TRESORERIE'!$H$11:$H$12</f>
        <v>EXERCICE 2025</v>
      </c>
      <c r="I11" s="1563" t="str">
        <f>+'[1]TABLEAU DE FLUX DE TRESORERIE'!$I$11:$I$12</f>
        <v>EXERCICE 2024</v>
      </c>
    </row>
    <row r="12" spans="1:12" ht="8.25" customHeight="1">
      <c r="B12" s="1565"/>
      <c r="C12" s="1572"/>
      <c r="D12" s="1573"/>
      <c r="E12" s="1573"/>
      <c r="F12" s="1574"/>
      <c r="G12" s="1565"/>
      <c r="H12" s="1565"/>
      <c r="I12" s="1565"/>
    </row>
    <row r="13" spans="1:12" ht="8.25" customHeight="1">
      <c r="B13" s="382"/>
      <c r="C13" s="356"/>
      <c r="D13" s="198"/>
      <c r="E13" s="198"/>
      <c r="F13" s="383"/>
      <c r="G13" s="330"/>
      <c r="H13" s="330"/>
      <c r="I13" s="330"/>
    </row>
    <row r="14" spans="1:12" ht="21" customHeight="1">
      <c r="B14" s="382" t="s">
        <v>1</v>
      </c>
      <c r="C14" s="331" t="str">
        <f>+IF([1]ACCUEIL!B1=1,"NET CASH AT 1 JANUARY (CASH ASSETS N-1 - CASH LIABILITIES N-1)","TRESORERIE NETTE AU 1ER JANVIER (TRESORERIE ACTIF N-1 -TRESORERIE PASSIF N-1)")</f>
        <v>TRESORERIE NETTE AU 1ER JANVIER (TRESORERIE ACTIF N-1 -TRESORERIE PASSIF N-1)</v>
      </c>
      <c r="D14" s="222"/>
      <c r="E14" s="222"/>
      <c r="F14" s="384" t="s">
        <v>92</v>
      </c>
      <c r="G14" s="369"/>
      <c r="H14" s="359">
        <f>'[1]CLASSE 5'!E142-'[1]CLASSE 5'!F142+'[1]CLASSE 4'!J353+'[1]CLASSE 4'!I353-'[1]CLASSE 4'!F353-'[1]CLASSE 4'!E353</f>
        <v>0</v>
      </c>
      <c r="I14" s="359">
        <f>'[1]BALANCE REGROUPE'!E1567-'[1]BALANCE REGROUPE'!F1567+'[1]BALANCE REGROUPE'!I1299+'[1]BALANCE REGROUPE'!J1299-'[1]BALANCE REGROUPE'!E1299-'[1]BALANCE REGROUPE'!F1299</f>
        <v>0</v>
      </c>
      <c r="J14" s="220"/>
    </row>
    <row r="15" spans="1:12" ht="7.5" customHeight="1">
      <c r="B15" s="385"/>
      <c r="C15" s="353"/>
      <c r="D15" s="386"/>
      <c r="E15" s="386"/>
      <c r="F15" s="387"/>
      <c r="G15" s="355"/>
      <c r="H15" s="340"/>
      <c r="I15" s="340"/>
      <c r="J15" s="220"/>
    </row>
    <row r="16" spans="1:12" ht="7.5" customHeight="1">
      <c r="B16" s="382"/>
      <c r="C16" s="348"/>
      <c r="D16" s="388"/>
      <c r="E16" s="388"/>
      <c r="F16" s="389"/>
      <c r="G16" s="350"/>
      <c r="H16" s="352"/>
      <c r="I16" s="352"/>
      <c r="J16" s="220"/>
    </row>
    <row r="17" spans="2:10" ht="21" customHeight="1">
      <c r="B17" s="382"/>
      <c r="C17" s="331" t="str">
        <f>IF([1]ACCUEIL!B1=1,"CASH FLOW FROM OPERATING ACTIVITIES","FLUX DE TRESORERIE PROVENANT DES ACTIVITES OPERATIONNELLES")</f>
        <v>FLUX DE TRESORERIE PROVENANT DES ACTIVITES OPERATIONNELLES</v>
      </c>
      <c r="D17" s="222"/>
      <c r="E17" s="222"/>
      <c r="F17" s="383"/>
      <c r="G17" s="369"/>
      <c r="H17" s="359"/>
      <c r="I17" s="359"/>
      <c r="J17" s="220"/>
    </row>
    <row r="18" spans="2:10" ht="7.5" customHeight="1">
      <c r="B18" s="385"/>
      <c r="C18" s="336"/>
      <c r="D18" s="337"/>
      <c r="E18" s="337"/>
      <c r="F18" s="387"/>
      <c r="G18" s="355"/>
      <c r="H18" s="340"/>
      <c r="I18" s="340"/>
      <c r="J18" s="220"/>
    </row>
    <row r="19" spans="2:10" ht="7.5" customHeight="1">
      <c r="B19" s="382"/>
      <c r="C19" s="331"/>
      <c r="D19" s="222"/>
      <c r="E19" s="222"/>
      <c r="F19" s="389"/>
      <c r="G19" s="350"/>
      <c r="H19" s="352"/>
      <c r="I19" s="352"/>
      <c r="J19" s="220"/>
    </row>
    <row r="20" spans="2:10" ht="21" customHeight="1">
      <c r="B20" s="382" t="s">
        <v>142</v>
      </c>
      <c r="C20" s="331" t="str">
        <f>IF([1]ACCUEIL!B1=1,"TOTAL SELF-FINANCING CAPACITY (TSFC)","CAPACITE D'AUTOFINANCEMENT GLOBALE (CAFG)")</f>
        <v>CAPACITE D'AUTOFINANCEMENT GLOBALE (CAFG)</v>
      </c>
      <c r="D20" s="222"/>
      <c r="E20" s="222"/>
      <c r="F20" s="383"/>
      <c r="G20" s="369"/>
      <c r="H20" s="359">
        <f ca="1">[1]Feuil3!D14</f>
        <v>0</v>
      </c>
      <c r="I20" s="359">
        <f ca="1">[1]Feuil3!E14</f>
        <v>0</v>
      </c>
      <c r="J20" s="220"/>
    </row>
    <row r="21" spans="2:10" ht="8.25" customHeight="1">
      <c r="B21" s="385"/>
      <c r="C21" s="336"/>
      <c r="D21" s="337"/>
      <c r="E21" s="337"/>
      <c r="F21" s="390"/>
      <c r="G21" s="370"/>
      <c r="H21" s="362"/>
      <c r="I21" s="362"/>
      <c r="J21" s="220"/>
    </row>
    <row r="22" spans="2:10" ht="8.25" customHeight="1">
      <c r="B22" s="382"/>
      <c r="C22" s="331"/>
      <c r="D22" s="222"/>
      <c r="E22" s="222"/>
      <c r="F22" s="383"/>
      <c r="G22" s="369"/>
      <c r="H22" s="359"/>
      <c r="I22" s="359"/>
      <c r="J22" s="220"/>
    </row>
    <row r="23" spans="2:10" ht="19.5" customHeight="1">
      <c r="B23" s="382" t="s">
        <v>143</v>
      </c>
      <c r="C23" s="348" t="str">
        <f>IF([1]ACCUEIL!B1=1," - CHANGE IN CURRENT ASSETS EOA"," - VARIATION D'ACTIFS CIRCULANTS HAO")</f>
        <v xml:space="preserve"> - VARIATION D'ACTIFS CIRCULANTS HAO</v>
      </c>
      <c r="D23" s="349"/>
      <c r="E23" s="349"/>
      <c r="F23" s="389"/>
      <c r="G23" s="350"/>
      <c r="H23" s="352">
        <f>-[1]Feuil2!E4</f>
        <v>0</v>
      </c>
      <c r="I23" s="352">
        <f>-[1]Feuil2!I4</f>
        <v>0</v>
      </c>
      <c r="J23" s="220"/>
    </row>
    <row r="24" spans="2:10" ht="8.25" customHeight="1">
      <c r="B24" s="385"/>
      <c r="C24" s="353"/>
      <c r="D24" s="354"/>
      <c r="E24" s="354"/>
      <c r="F24" s="387"/>
      <c r="G24" s="355"/>
      <c r="H24" s="340"/>
      <c r="I24" s="340"/>
      <c r="J24" s="220"/>
    </row>
    <row r="25" spans="2:10" ht="8.25" customHeight="1">
      <c r="B25" s="382"/>
      <c r="C25" s="348"/>
      <c r="D25" s="349"/>
      <c r="E25" s="349"/>
      <c r="F25" s="389"/>
      <c r="G25" s="350"/>
      <c r="H25" s="352"/>
      <c r="I25" s="352"/>
      <c r="J25" s="220"/>
    </row>
    <row r="26" spans="2:10" ht="19.5" customHeight="1">
      <c r="B26" s="382" t="s">
        <v>144</v>
      </c>
      <c r="C26" s="348" t="str">
        <f>IF([1]ACCUEIL!B1=1," - STOCK VARIATIONS"," - VARIATION DES STOCKS")</f>
        <v xml:space="preserve"> - VARIATION DES STOCKS</v>
      </c>
      <c r="D26" s="349"/>
      <c r="E26" s="349"/>
      <c r="F26" s="389"/>
      <c r="G26" s="350"/>
      <c r="H26" s="352">
        <f>-[1]Feuil2!E5</f>
        <v>0</v>
      </c>
      <c r="I26" s="352">
        <f>-[1]Feuil2!I5</f>
        <v>0</v>
      </c>
      <c r="J26" s="220"/>
    </row>
    <row r="27" spans="2:10" ht="7.5" customHeight="1">
      <c r="B27" s="385"/>
      <c r="C27" s="353"/>
      <c r="D27" s="354"/>
      <c r="E27" s="354"/>
      <c r="F27" s="387"/>
      <c r="G27" s="355"/>
      <c r="H27" s="340"/>
      <c r="I27" s="340"/>
      <c r="J27" s="220"/>
    </row>
    <row r="28" spans="2:10" ht="7.5" customHeight="1">
      <c r="B28" s="382"/>
      <c r="C28" s="348"/>
      <c r="D28" s="349"/>
      <c r="E28" s="349"/>
      <c r="F28" s="389"/>
      <c r="G28" s="350"/>
      <c r="H28" s="352"/>
      <c r="I28" s="352"/>
      <c r="J28" s="220"/>
    </row>
    <row r="29" spans="2:10" ht="19.5" customHeight="1">
      <c r="B29" s="382" t="s">
        <v>145</v>
      </c>
      <c r="C29" s="348" t="str">
        <f>IF([1]ACCUEIL!B1=1," - CHANGE IN RECEIVABLES"," - VARIATION DES CREANCES")</f>
        <v xml:space="preserve"> - VARIATION DES CREANCES</v>
      </c>
      <c r="D29" s="349"/>
      <c r="E29" s="349"/>
      <c r="F29" s="389"/>
      <c r="G29" s="350"/>
      <c r="H29" s="352">
        <f>-([1]Feuil2!E6-'[1]VENTI DES ECARTS DE CONV'!D21)+'[1]CLASSE 4'!I300-'[1]CLASSE 4'!E300</f>
        <v>0</v>
      </c>
      <c r="I29" s="352">
        <f>-([1]Feuil2!I6-'[1]VENTI DES ECARTS DE CONV'!D29)+'[1]BALANCE REGROUPE'!I1246-'[1]BALANCE REGROUPE'!E1246</f>
        <v>0</v>
      </c>
      <c r="J29" s="220"/>
    </row>
    <row r="30" spans="2:10" ht="6.75" customHeight="1">
      <c r="B30" s="385"/>
      <c r="C30" s="353"/>
      <c r="D30" s="354"/>
      <c r="E30" s="354"/>
      <c r="F30" s="387"/>
      <c r="G30" s="355"/>
      <c r="H30" s="340"/>
      <c r="I30" s="340"/>
      <c r="J30" s="220"/>
    </row>
    <row r="31" spans="2:10" ht="6.75" customHeight="1">
      <c r="B31" s="382"/>
      <c r="C31" s="348"/>
      <c r="D31" s="349"/>
      <c r="E31" s="349"/>
      <c r="F31" s="389"/>
      <c r="G31" s="350"/>
      <c r="H31" s="352"/>
      <c r="I31" s="352"/>
      <c r="J31" s="220"/>
    </row>
    <row r="32" spans="2:10" ht="19.5" customHeight="1">
      <c r="B32" s="382" t="s">
        <v>146</v>
      </c>
      <c r="C32" s="348" t="str">
        <f>IF([1]ACCUEIL!B1=1," + CHANGE IN CURRENT LIABILITIES"," + VARIATION DU PASSIF CIRCULANT")</f>
        <v xml:space="preserve"> + VARIATION DU PASSIF CIRCULANT</v>
      </c>
      <c r="D32" s="349"/>
      <c r="E32" s="349"/>
      <c r="F32" s="389"/>
      <c r="G32" s="350"/>
      <c r="H32" s="352">
        <f>[1]Feuil2!E10</f>
        <v>0</v>
      </c>
      <c r="I32" s="352">
        <f>'[1]TABLEAU DE FLUX DE TRESORERIE'!$I$32</f>
        <v>0</v>
      </c>
      <c r="J32" s="220"/>
    </row>
    <row r="33" spans="2:10" ht="6" customHeight="1">
      <c r="B33" s="385"/>
      <c r="C33" s="353"/>
      <c r="D33" s="354"/>
      <c r="E33" s="354"/>
      <c r="F33" s="387"/>
      <c r="G33" s="355"/>
      <c r="H33" s="340"/>
      <c r="I33" s="340"/>
      <c r="J33" s="220"/>
    </row>
    <row r="34" spans="2:10" ht="6" customHeight="1">
      <c r="B34" s="382"/>
      <c r="C34" s="348"/>
      <c r="D34" s="349"/>
      <c r="E34" s="349"/>
      <c r="F34" s="389"/>
      <c r="G34" s="350"/>
      <c r="H34" s="352"/>
      <c r="I34" s="352"/>
      <c r="J34" s="220"/>
    </row>
    <row r="35" spans="2:10" ht="21" customHeight="1">
      <c r="B35" s="382"/>
      <c r="C35" s="331" t="str">
        <f>IF([1]ACCUEIL!B1=1,"CHANGE IN OPERATING INCOME (FB+FC+FC+FD+FE)","VARIATION DU BF LIE AUX ACTIVITES OPERATIONNELLES (FB+FC+FD+FE)")</f>
        <v>VARIATION DU BF LIE AUX ACTIVITES OPERATIONNELLES (FB+FC+FD+FE)</v>
      </c>
      <c r="D35" s="222"/>
      <c r="E35" s="222"/>
      <c r="F35" s="383"/>
      <c r="G35" s="369"/>
      <c r="H35" s="359">
        <f>SUM(H23:H32)</f>
        <v>0</v>
      </c>
      <c r="I35" s="359">
        <f>SUM(I23:I32)</f>
        <v>0</v>
      </c>
      <c r="J35" s="220"/>
    </row>
    <row r="36" spans="2:10" ht="6.75" customHeight="1">
      <c r="B36" s="385"/>
      <c r="C36" s="336"/>
      <c r="D36" s="337"/>
      <c r="E36" s="337"/>
      <c r="F36" s="390"/>
      <c r="G36" s="370"/>
      <c r="H36" s="362"/>
      <c r="I36" s="362"/>
      <c r="J36" s="220"/>
    </row>
    <row r="37" spans="2:10" ht="6.75" customHeight="1">
      <c r="B37" s="382"/>
      <c r="C37" s="331"/>
      <c r="D37" s="222"/>
      <c r="E37" s="222"/>
      <c r="F37" s="383"/>
      <c r="G37" s="369"/>
      <c r="H37" s="359"/>
      <c r="I37" s="359"/>
      <c r="J37" s="220"/>
    </row>
    <row r="38" spans="2:10" ht="21" customHeight="1">
      <c r="B38" s="382" t="s">
        <v>2</v>
      </c>
      <c r="C38" s="331" t="str">
        <f>IF([1]ACCUEIL!B1=1,"CASH FLOWS FROM OPERATIONAL ACTIVITIES (SUM FA to FE )","FLUX DE TRESORERIE PROVENANT DES ACTIVITES OPERATIONNELLES (SOMME FA à FE)")</f>
        <v>FLUX DE TRESORERIE PROVENANT DES ACTIVITES OPERATIONNELLES (SOMME FA à FE)</v>
      </c>
      <c r="D38" s="222"/>
      <c r="E38" s="222"/>
      <c r="F38" s="384" t="s">
        <v>100</v>
      </c>
      <c r="G38" s="369"/>
      <c r="H38" s="359">
        <f ca="1">H20+H35</f>
        <v>0</v>
      </c>
      <c r="I38" s="359">
        <f ca="1">I20+I35</f>
        <v>0</v>
      </c>
      <c r="J38" s="220"/>
    </row>
    <row r="39" spans="2:10" ht="6.75" customHeight="1">
      <c r="B39" s="385"/>
      <c r="C39" s="336"/>
      <c r="D39" s="391"/>
      <c r="E39" s="391"/>
      <c r="F39" s="390"/>
      <c r="G39" s="370"/>
      <c r="H39" s="362"/>
      <c r="I39" s="362"/>
      <c r="J39" s="220"/>
    </row>
    <row r="40" spans="2:10" ht="6.75" customHeight="1">
      <c r="B40" s="382"/>
      <c r="C40" s="331"/>
      <c r="D40" s="392"/>
      <c r="E40" s="392"/>
      <c r="F40" s="383"/>
      <c r="G40" s="369"/>
      <c r="H40" s="359"/>
      <c r="I40" s="359"/>
      <c r="J40" s="220"/>
    </row>
    <row r="41" spans="2:10" ht="21" customHeight="1">
      <c r="B41" s="382"/>
      <c r="C41" s="331" t="str">
        <f>IF([1]ACCUEIL!B1=1,"CASH FLOW FROM INVESTING ACTIVITIES","FLUX DE TRESORERIE PROVENANT DES ACTIVITES D'INVESTISSEMENT")</f>
        <v>FLUX DE TRESORERIE PROVENANT DES ACTIVITES D'INVESTISSEMENT</v>
      </c>
      <c r="D41" s="222"/>
      <c r="E41" s="222"/>
      <c r="F41" s="383"/>
      <c r="G41" s="369"/>
      <c r="H41" s="359"/>
      <c r="I41" s="359"/>
      <c r="J41" s="220"/>
    </row>
    <row r="42" spans="2:10" ht="7.5" customHeight="1">
      <c r="B42" s="385"/>
      <c r="C42" s="336"/>
      <c r="D42" s="337"/>
      <c r="E42" s="337"/>
      <c r="F42" s="390"/>
      <c r="G42" s="370"/>
      <c r="H42" s="362"/>
      <c r="I42" s="362"/>
      <c r="J42" s="220"/>
    </row>
    <row r="43" spans="2:10" ht="7.5" customHeight="1">
      <c r="B43" s="382"/>
      <c r="C43" s="331"/>
      <c r="D43" s="222"/>
      <c r="E43" s="222"/>
      <c r="F43" s="383"/>
      <c r="G43" s="369"/>
      <c r="H43" s="359"/>
      <c r="I43" s="359"/>
      <c r="J43" s="220"/>
    </row>
    <row r="44" spans="2:10" ht="19.5" customHeight="1">
      <c r="B44" s="382" t="s">
        <v>147</v>
      </c>
      <c r="C44" s="348" t="str">
        <f>IF([1]ACCUEIL!B1=1," - DISBURSEMENTS RELATED TO ACQUISITIONS OF INTANGIBLE ASSETS"," - DECAISSEMENTS LIES AUX ACQUISITIONS D'IMMOBILISATIONS INCORPORELLES")</f>
        <v xml:space="preserve"> - DECAISSEMENTS LIES AUX ACQUISITIONS D'IMMOBILISATIONS INCORPORELLES</v>
      </c>
      <c r="D44" s="349"/>
      <c r="E44" s="349"/>
      <c r="F44" s="389"/>
      <c r="G44" s="350"/>
      <c r="H44" s="352">
        <f>-[1]Feuil2!H14</f>
        <v>0</v>
      </c>
      <c r="I44" s="352">
        <f>-[1]Feuil2!H25</f>
        <v>0</v>
      </c>
      <c r="J44" s="220"/>
    </row>
    <row r="45" spans="2:10" ht="7.5" customHeight="1">
      <c r="B45" s="385"/>
      <c r="C45" s="353"/>
      <c r="D45" s="386"/>
      <c r="E45" s="386"/>
      <c r="F45" s="387"/>
      <c r="G45" s="355"/>
      <c r="H45" s="340"/>
      <c r="I45" s="340"/>
      <c r="J45" s="220"/>
    </row>
    <row r="46" spans="2:10" ht="7.5" customHeight="1">
      <c r="B46" s="382"/>
      <c r="C46" s="348"/>
      <c r="D46" s="388"/>
      <c r="E46" s="388"/>
      <c r="F46" s="389"/>
      <c r="G46" s="350"/>
      <c r="H46" s="352"/>
      <c r="I46" s="352"/>
      <c r="J46" s="220"/>
    </row>
    <row r="47" spans="2:10" ht="19.5" customHeight="1">
      <c r="B47" s="382" t="s">
        <v>148</v>
      </c>
      <c r="C47" s="348" t="str">
        <f>IF([1]ACCUEIL!B1=1," - DISBURSEMENTS RELATED TO THE ACQUISITION OF PROPERTY, PLANT AND EQUIPMENT"," - DECAISSEMENTS LIES AUX ACQUISITIONS D'IMMOBILISATIONS CORPORELLES")</f>
        <v xml:space="preserve"> - DECAISSEMENTS LIES AUX ACQUISITIONS D'IMMOBILISATIONS CORPORELLES</v>
      </c>
      <c r="D47" s="349"/>
      <c r="E47" s="349"/>
      <c r="F47" s="389"/>
      <c r="G47" s="350"/>
      <c r="H47" s="352">
        <f>-[1]Feuil2!H15+[1]Feuil2!E38</f>
        <v>0</v>
      </c>
      <c r="I47" s="352">
        <f>-[1]Feuil2!H26+[1]Feuil2!E44</f>
        <v>0</v>
      </c>
      <c r="J47" s="220"/>
    </row>
    <row r="48" spans="2:10" ht="7.5" customHeight="1">
      <c r="B48" s="385"/>
      <c r="C48" s="353"/>
      <c r="D48" s="386"/>
      <c r="E48" s="386"/>
      <c r="F48" s="387"/>
      <c r="G48" s="355"/>
      <c r="H48" s="340"/>
      <c r="I48" s="340"/>
      <c r="J48" s="220"/>
    </row>
    <row r="49" spans="2:10" ht="7.5" customHeight="1">
      <c r="B49" s="382"/>
      <c r="C49" s="348"/>
      <c r="D49" s="388"/>
      <c r="E49" s="388"/>
      <c r="F49" s="389"/>
      <c r="G49" s="350"/>
      <c r="H49" s="352"/>
      <c r="I49" s="352"/>
      <c r="J49" s="220"/>
    </row>
    <row r="50" spans="2:10" ht="19.5" customHeight="1">
      <c r="B50" s="382" t="s">
        <v>149</v>
      </c>
      <c r="C50" s="348" t="str">
        <f>IF([1]ACCUEIL!B1=1," - DISBURSEMENTS RELATED TO ACQUISITIONS OF FINANCIAL FIXED ASSETS"," - DECAISSEMENTS LIES AUX ACQUISITIONS D'IMMOBILISATIONS FINANCIERES")</f>
        <v xml:space="preserve"> - DECAISSEMENTS LIES AUX ACQUISITIONS D'IMMOBILISATIONS FINANCIERES</v>
      </c>
      <c r="D50" s="349"/>
      <c r="E50" s="349"/>
      <c r="F50" s="389"/>
      <c r="G50" s="350"/>
      <c r="H50" s="352">
        <f>-[1]Feuil2!H16</f>
        <v>0</v>
      </c>
      <c r="I50" s="352">
        <f>-[1]Feuil2!H27</f>
        <v>0</v>
      </c>
      <c r="J50" s="220"/>
    </row>
    <row r="51" spans="2:10" ht="7.5" customHeight="1">
      <c r="B51" s="385"/>
      <c r="C51" s="353"/>
      <c r="D51" s="386"/>
      <c r="E51" s="386"/>
      <c r="F51" s="387"/>
      <c r="G51" s="355"/>
      <c r="H51" s="340"/>
      <c r="I51" s="340"/>
      <c r="J51" s="220"/>
    </row>
    <row r="52" spans="2:10" ht="7.5" customHeight="1">
      <c r="B52" s="382"/>
      <c r="C52" s="348"/>
      <c r="D52" s="388"/>
      <c r="E52" s="388"/>
      <c r="F52" s="389"/>
      <c r="G52" s="350"/>
      <c r="H52" s="352"/>
      <c r="I52" s="352"/>
      <c r="J52" s="220"/>
    </row>
    <row r="53" spans="2:10" ht="19.5" customHeight="1">
      <c r="B53" s="382" t="s">
        <v>150</v>
      </c>
      <c r="C53" s="348" t="str">
        <f>IF([1]ACCUEIL!B1=1," + RECEIPTS FROM DISPOSALS OF INTANGIBLE AND TANGIBLE FIXED ASSETS"," + ENCAISSEMENTS LIES AUX CESSIONS D'IMMOBILISATIONS INCORPORELLES ET CORPORELLES")</f>
        <v xml:space="preserve"> + ENCAISSEMENTS LIES AUX CESSIONS D'IMMOBILISATIONS INCORPORELLES ET CORPORELLES</v>
      </c>
      <c r="D53" s="349"/>
      <c r="E53" s="349"/>
      <c r="F53" s="389"/>
      <c r="G53" s="350"/>
      <c r="H53" s="352">
        <f ca="1">[1]Feuil2!H17</f>
        <v>0</v>
      </c>
      <c r="I53" s="352">
        <f>[1]Feuil2!H28</f>
        <v>0</v>
      </c>
      <c r="J53" s="220"/>
    </row>
    <row r="54" spans="2:10" ht="7.5" customHeight="1">
      <c r="B54" s="385"/>
      <c r="C54" s="353"/>
      <c r="D54" s="354"/>
      <c r="E54" s="354"/>
      <c r="F54" s="387"/>
      <c r="G54" s="355"/>
      <c r="H54" s="364"/>
      <c r="I54" s="364"/>
      <c r="J54" s="220"/>
    </row>
    <row r="55" spans="2:10" ht="7.5" customHeight="1">
      <c r="B55" s="382"/>
      <c r="C55" s="348"/>
      <c r="D55" s="349"/>
      <c r="E55" s="349"/>
      <c r="F55" s="389"/>
      <c r="G55" s="350"/>
      <c r="H55" s="334"/>
      <c r="I55" s="334"/>
      <c r="J55" s="220"/>
    </row>
    <row r="56" spans="2:10" ht="19.5" customHeight="1">
      <c r="B56" s="382" t="s">
        <v>151</v>
      </c>
      <c r="C56" s="348" t="str">
        <f>IF([1]ACCUEIL!B1=1," + RECEIPTS RELATED TO THE SALE OF FINANCIAL FIXED ASSETS"," + ENCAISSEMENTS LIES AUX CESSIONS D'IMMOBILISATIONS FINANCIERES")</f>
        <v xml:space="preserve"> + ENCAISSEMENTS LIES AUX CESSIONS D'IMMOBILISATIONS FINANCIERES</v>
      </c>
      <c r="D56" s="349"/>
      <c r="E56" s="349"/>
      <c r="F56" s="389"/>
      <c r="G56" s="350"/>
      <c r="H56" s="352">
        <f ca="1">[1]Feuil2!D21+[1]Feuil2!E21</f>
        <v>0</v>
      </c>
      <c r="I56" s="352">
        <f>[1]Feuil2!D32+[1]Feuil2!E32</f>
        <v>0</v>
      </c>
      <c r="J56" s="220"/>
    </row>
    <row r="57" spans="2:10" ht="7.5" customHeight="1">
      <c r="B57" s="385"/>
      <c r="C57" s="353"/>
      <c r="D57" s="354"/>
      <c r="E57" s="354"/>
      <c r="F57" s="387"/>
      <c r="G57" s="355"/>
      <c r="H57" s="340"/>
      <c r="I57" s="340"/>
      <c r="J57" s="220"/>
    </row>
    <row r="58" spans="2:10" ht="7.5" customHeight="1">
      <c r="B58" s="382"/>
      <c r="C58" s="348"/>
      <c r="D58" s="349"/>
      <c r="E58" s="349"/>
      <c r="F58" s="389"/>
      <c r="G58" s="350"/>
      <c r="H58" s="352"/>
      <c r="I58" s="352"/>
      <c r="J58" s="220"/>
    </row>
    <row r="59" spans="2:10" ht="21" customHeight="1">
      <c r="B59" s="382" t="s">
        <v>3</v>
      </c>
      <c r="C59" s="331" t="str">
        <f>IF([1]ACCUEIL!B1=1,"CASH FLOWS FROM INVESTMENT ACTIVITIES (SUM FF to FJ)","FLUX DE TRESORERIE PROVENANT DES ACTIVITES D'INVESTISSEMENT (SOMME FF à FJ)")</f>
        <v>FLUX DE TRESORERIE PROVENANT DES ACTIVITES D'INVESTISSEMENT (SOMME FF à FJ)</v>
      </c>
      <c r="D59" s="222"/>
      <c r="E59" s="222"/>
      <c r="F59" s="384" t="s">
        <v>102</v>
      </c>
      <c r="G59" s="369"/>
      <c r="H59" s="359">
        <f ca="1">SUM(H44:H56)</f>
        <v>0</v>
      </c>
      <c r="I59" s="359">
        <f>SUM(I44:I56)</f>
        <v>0</v>
      </c>
      <c r="J59" s="220"/>
    </row>
    <row r="60" spans="2:10" ht="7.5" customHeight="1">
      <c r="B60" s="385"/>
      <c r="C60" s="336"/>
      <c r="D60" s="391"/>
      <c r="E60" s="391"/>
      <c r="F60" s="390"/>
      <c r="G60" s="370"/>
      <c r="H60" s="362"/>
      <c r="I60" s="362"/>
      <c r="J60" s="220"/>
    </row>
    <row r="61" spans="2:10" ht="7.5" customHeight="1">
      <c r="B61" s="382"/>
      <c r="C61" s="331"/>
      <c r="D61" s="392"/>
      <c r="E61" s="392"/>
      <c r="F61" s="383"/>
      <c r="G61" s="369"/>
      <c r="H61" s="359"/>
      <c r="I61" s="359"/>
      <c r="J61" s="220"/>
    </row>
    <row r="62" spans="2:10" ht="21" customHeight="1">
      <c r="B62" s="382"/>
      <c r="C62" s="331" t="str">
        <f>IF([1]ACCUEIL!B1=1,"CASH FLOW FROM EQUITY FINANCING","FLUX DE TRESORERIE PROVENANT DU FINANCEMENT DES CAPITAUX PROPRES")</f>
        <v>FLUX DE TRESORERIE PROVENANT DU FINANCEMENT DES CAPITAUX PROPRES</v>
      </c>
      <c r="D62" s="222"/>
      <c r="E62" s="222"/>
      <c r="F62" s="383"/>
      <c r="G62" s="369"/>
      <c r="H62" s="359"/>
      <c r="I62" s="359"/>
      <c r="J62" s="220"/>
    </row>
    <row r="63" spans="2:10" ht="7.5" customHeight="1">
      <c r="B63" s="385"/>
      <c r="C63" s="336"/>
      <c r="D63" s="391"/>
      <c r="E63" s="391"/>
      <c r="F63" s="390"/>
      <c r="G63" s="370"/>
      <c r="H63" s="362"/>
      <c r="I63" s="362"/>
      <c r="J63" s="220"/>
    </row>
    <row r="64" spans="2:10" ht="7.5" customHeight="1">
      <c r="B64" s="382"/>
      <c r="C64" s="331"/>
      <c r="D64" s="392"/>
      <c r="E64" s="392"/>
      <c r="F64" s="383"/>
      <c r="G64" s="369"/>
      <c r="H64" s="359"/>
      <c r="I64" s="359"/>
      <c r="J64" s="220"/>
    </row>
    <row r="65" spans="2:10" ht="19.5" customHeight="1">
      <c r="B65" s="382" t="s">
        <v>152</v>
      </c>
      <c r="C65" s="348" t="str">
        <f>IF([1]ACCUEIL!B1=1,"+ CAPITAL INCREASES THROUGH NEW CONTRIBUTIONS"," + AUGMENTATIONS DE CAPITAL PAR APPORTS NOUVEAUX")</f>
        <v xml:space="preserve"> + AUGMENTATIONS DE CAPITAL PAR APPORTS NOUVEAUX</v>
      </c>
      <c r="D65" s="349"/>
      <c r="E65" s="349"/>
      <c r="F65" s="389"/>
      <c r="G65" s="350"/>
      <c r="H65" s="352">
        <f>[1]CAPITAL!D6</f>
        <v>0</v>
      </c>
      <c r="I65" s="352">
        <f>[1]CAPITAL!C6</f>
        <v>0</v>
      </c>
      <c r="J65" s="220"/>
    </row>
    <row r="66" spans="2:10" ht="7.5" customHeight="1">
      <c r="B66" s="385"/>
      <c r="C66" s="353"/>
      <c r="D66" s="354"/>
      <c r="E66" s="354"/>
      <c r="F66" s="387"/>
      <c r="G66" s="355"/>
      <c r="H66" s="340"/>
      <c r="I66" s="340"/>
      <c r="J66" s="220"/>
    </row>
    <row r="67" spans="2:10" ht="7.5" customHeight="1">
      <c r="B67" s="382"/>
      <c r="C67" s="348"/>
      <c r="D67" s="349"/>
      <c r="E67" s="349"/>
      <c r="F67" s="389"/>
      <c r="G67" s="350"/>
      <c r="H67" s="352"/>
      <c r="I67" s="352"/>
      <c r="J67" s="220"/>
    </row>
    <row r="68" spans="2:10" ht="19.5" customHeight="1">
      <c r="B68" s="382" t="s">
        <v>153</v>
      </c>
      <c r="C68" s="348" t="str">
        <f>IF([1]ACCUEIL!B1=1," + INVESTMENT SUBSIDIES RECEIVED"," + SUBVENTIONS D'INVESTISSEMENT RECUES")</f>
        <v xml:space="preserve"> + SUBVENTIONS D'INVESTISSEMENT RECUES</v>
      </c>
      <c r="D68" s="349"/>
      <c r="E68" s="349"/>
      <c r="F68" s="389"/>
      <c r="G68" s="350"/>
      <c r="H68" s="352">
        <f>'[1]VENTI DES ECARTS DE CONV'!E21</f>
        <v>0</v>
      </c>
      <c r="I68" s="352">
        <f>'[1]VENTI DES ECARTS DE CONV'!E29</f>
        <v>0</v>
      </c>
      <c r="J68" s="220"/>
    </row>
    <row r="69" spans="2:10" ht="7.5" customHeight="1">
      <c r="B69" s="385"/>
      <c r="C69" s="353"/>
      <c r="D69" s="354"/>
      <c r="E69" s="354"/>
      <c r="F69" s="387"/>
      <c r="G69" s="355"/>
      <c r="H69" s="340"/>
      <c r="I69" s="340"/>
      <c r="J69" s="220"/>
    </row>
    <row r="70" spans="2:10" ht="7.5" customHeight="1">
      <c r="B70" s="382"/>
      <c r="C70" s="348"/>
      <c r="D70" s="349"/>
      <c r="E70" s="349"/>
      <c r="F70" s="389"/>
      <c r="G70" s="350"/>
      <c r="H70" s="352"/>
      <c r="I70" s="352"/>
      <c r="J70" s="220"/>
    </row>
    <row r="71" spans="2:10" ht="19.5" customHeight="1">
      <c r="B71" s="382" t="s">
        <v>154</v>
      </c>
      <c r="C71" s="348" t="str">
        <f>IF([1]ACCUEIL!B1=1," - CAPITAL DEDUCTIONS"," - PRELEVEMENTS SUR LE CAPITAL")</f>
        <v xml:space="preserve"> - PRELEVEMENTS SUR LE CAPITAL</v>
      </c>
      <c r="D71" s="349"/>
      <c r="E71" s="349"/>
      <c r="F71" s="389"/>
      <c r="G71" s="350"/>
      <c r="H71" s="352">
        <f>-[1]CAPITAL!H4</f>
        <v>0</v>
      </c>
      <c r="I71" s="352">
        <f>-[1]CAPITAL!H6</f>
        <v>0</v>
      </c>
      <c r="J71" s="220"/>
    </row>
    <row r="72" spans="2:10" ht="7.5" customHeight="1">
      <c r="B72" s="385"/>
      <c r="C72" s="353"/>
      <c r="D72" s="354"/>
      <c r="E72" s="354"/>
      <c r="F72" s="387"/>
      <c r="G72" s="355"/>
      <c r="H72" s="340"/>
      <c r="I72" s="340"/>
      <c r="J72" s="220"/>
    </row>
    <row r="73" spans="2:10" ht="7.5" customHeight="1">
      <c r="B73" s="382"/>
      <c r="C73" s="348"/>
      <c r="D73" s="349"/>
      <c r="E73" s="349"/>
      <c r="F73" s="389"/>
      <c r="G73" s="350"/>
      <c r="H73" s="352"/>
      <c r="I73" s="352"/>
      <c r="J73" s="220"/>
    </row>
    <row r="74" spans="2:10" ht="19.5" customHeight="1">
      <c r="B74" s="382" t="s">
        <v>155</v>
      </c>
      <c r="C74" s="348" t="str">
        <f>IF([1]ACCUEIL!B1=1," - DIVIDENDS PAID"," - DIVIDENDES VERSES")</f>
        <v xml:space="preserve"> - DIVIDENDES VERSES</v>
      </c>
      <c r="D74" s="349"/>
      <c r="E74" s="349"/>
      <c r="F74" s="389"/>
      <c r="G74" s="350"/>
      <c r="H74" s="352">
        <f>-[1]Feuil2!C48</f>
        <v>0</v>
      </c>
      <c r="I74" s="352">
        <f>-[1]Feuil2!C52</f>
        <v>0</v>
      </c>
      <c r="J74" s="220"/>
    </row>
    <row r="75" spans="2:10" ht="7.5" customHeight="1">
      <c r="B75" s="385"/>
      <c r="C75" s="353"/>
      <c r="D75" s="354"/>
      <c r="E75" s="354"/>
      <c r="F75" s="387"/>
      <c r="G75" s="355"/>
      <c r="H75" s="340"/>
      <c r="I75" s="340"/>
      <c r="J75" s="220"/>
    </row>
    <row r="76" spans="2:10" ht="7.5" customHeight="1">
      <c r="B76" s="382"/>
      <c r="C76" s="348"/>
      <c r="D76" s="349"/>
      <c r="E76" s="349"/>
      <c r="F76" s="389"/>
      <c r="G76" s="350"/>
      <c r="H76" s="352"/>
      <c r="I76" s="352"/>
      <c r="J76" s="220"/>
    </row>
    <row r="77" spans="2:10" ht="21" customHeight="1">
      <c r="B77" s="382" t="s">
        <v>4</v>
      </c>
      <c r="C77" s="331" t="str">
        <f>IF([1]ACCUEIL!B1=1,"CASH FLOWS FROM SHAREHOLDERS' EQUITY (SUM FK to FN)","FLUX DE TRESORERIE PROVENANT DES CAPITAUX PROPRES (SOMME FK à FN)")</f>
        <v>FLUX DE TRESORERIE PROVENANT DES CAPITAUX PROPRES (SOMME FK à FN)</v>
      </c>
      <c r="D77" s="222"/>
      <c r="E77" s="222"/>
      <c r="F77" s="384" t="s">
        <v>104</v>
      </c>
      <c r="G77" s="369"/>
      <c r="H77" s="359">
        <f>SUM(H65:H74)</f>
        <v>0</v>
      </c>
      <c r="I77" s="359">
        <f>SUM(I65:I74)</f>
        <v>0</v>
      </c>
      <c r="J77" s="220"/>
    </row>
    <row r="78" spans="2:10" ht="7.5" customHeight="1">
      <c r="B78" s="385"/>
      <c r="C78" s="336"/>
      <c r="D78" s="391"/>
      <c r="E78" s="391"/>
      <c r="F78" s="390"/>
      <c r="G78" s="370"/>
      <c r="H78" s="362"/>
      <c r="I78" s="362"/>
      <c r="J78" s="220"/>
    </row>
    <row r="79" spans="2:10" ht="7.5" customHeight="1">
      <c r="B79" s="382"/>
      <c r="C79" s="331"/>
      <c r="D79" s="392"/>
      <c r="E79" s="392"/>
      <c r="F79" s="383"/>
      <c r="G79" s="369"/>
      <c r="H79" s="359"/>
      <c r="I79" s="359"/>
      <c r="J79" s="220"/>
    </row>
    <row r="80" spans="2:10" ht="21" customHeight="1">
      <c r="B80" s="382"/>
      <c r="C80" s="331" t="str">
        <f>IF([1]ACCUEIL!B1=1,"CASH FROM FOREIGN CAPITAL FINANCING","TRESORERIE PROVENANT DU FINANCEMENT PAR LES CAPITAUX ETRANGERS")</f>
        <v>TRESORERIE PROVENANT DU FINANCEMENT PAR LES CAPITAUX ETRANGERS</v>
      </c>
      <c r="D80" s="222"/>
      <c r="E80" s="222"/>
      <c r="F80" s="383"/>
      <c r="G80" s="369"/>
      <c r="H80" s="359"/>
      <c r="I80" s="359"/>
      <c r="J80" s="220"/>
    </row>
    <row r="81" spans="2:11" ht="7.5" customHeight="1">
      <c r="B81" s="385"/>
      <c r="C81" s="336"/>
      <c r="D81" s="391"/>
      <c r="E81" s="391"/>
      <c r="F81" s="390"/>
      <c r="G81" s="370"/>
      <c r="H81" s="362"/>
      <c r="I81" s="362"/>
      <c r="J81" s="220"/>
    </row>
    <row r="82" spans="2:11" ht="7.5" customHeight="1">
      <c r="B82" s="382"/>
      <c r="C82" s="331"/>
      <c r="D82" s="392"/>
      <c r="E82" s="392"/>
      <c r="F82" s="383"/>
      <c r="G82" s="369"/>
      <c r="H82" s="359"/>
      <c r="I82" s="359"/>
      <c r="J82" s="220"/>
    </row>
    <row r="83" spans="2:11" ht="19.5" customHeight="1">
      <c r="B83" s="382" t="s">
        <v>156</v>
      </c>
      <c r="C83" s="348" t="str">
        <f>IF([1]ACCUEIL!B1=1," + MISCELLANEOUS BORROWINGS AND FINANCIAL DEBTS"," + EMPRUNTS ET DETTES FINANCIERES DIVERSES")</f>
        <v xml:space="preserve"> + EMPRUNTS ET DETTES FINANCIERES DIVERSES</v>
      </c>
      <c r="D83" s="349"/>
      <c r="E83" s="349"/>
      <c r="F83" s="389"/>
      <c r="G83" s="350"/>
      <c r="H83" s="352">
        <f>'[1]VENTI DES ECARTS DE CONV'!D24+'[1]VENTI DES ECARTS DE CONV'!D26</f>
        <v>0</v>
      </c>
      <c r="I83" s="352">
        <f>'[1]VENTI DES ECARTS DE CONV'!D32+'[1]VENTI DES ECARTS DE CONV'!D34</f>
        <v>0</v>
      </c>
      <c r="J83" s="220"/>
    </row>
    <row r="84" spans="2:11" ht="7.5" customHeight="1">
      <c r="B84" s="385"/>
      <c r="C84" s="353"/>
      <c r="D84" s="354"/>
      <c r="E84" s="354"/>
      <c r="F84" s="387"/>
      <c r="G84" s="355"/>
      <c r="H84" s="340"/>
      <c r="I84" s="340"/>
      <c r="J84" s="220"/>
    </row>
    <row r="85" spans="2:11" ht="7.5" customHeight="1">
      <c r="B85" s="382"/>
      <c r="C85" s="348"/>
      <c r="D85" s="349"/>
      <c r="E85" s="349"/>
      <c r="F85" s="389"/>
      <c r="G85" s="350"/>
      <c r="H85" s="352"/>
      <c r="I85" s="352"/>
      <c r="J85" s="220"/>
    </row>
    <row r="86" spans="2:11" ht="19.5" customHeight="1">
      <c r="B86" s="382" t="s">
        <v>157</v>
      </c>
      <c r="C86" s="348" t="str">
        <f>IF([1]ACCUEIL!B1=1," +CAPITAL LEASE LIABILITIES "," + DETTES DE LOCATION ACQUISITION")</f>
        <v xml:space="preserve"> + DETTES DE LOCATION ACQUISITION</v>
      </c>
      <c r="D86" s="349"/>
      <c r="E86" s="349"/>
      <c r="F86" s="389"/>
      <c r="G86" s="350"/>
      <c r="H86" s="352">
        <f>'[1]VENTI DES ECARTS DE CONV'!D25</f>
        <v>0</v>
      </c>
      <c r="I86" s="352">
        <f>'[1]VENTI DES ECARTS DE CONV'!D33</f>
        <v>0</v>
      </c>
      <c r="J86" s="220"/>
    </row>
    <row r="87" spans="2:11" ht="7.5" customHeight="1">
      <c r="B87" s="385"/>
      <c r="C87" s="353"/>
      <c r="D87" s="354"/>
      <c r="E87" s="354"/>
      <c r="F87" s="387"/>
      <c r="G87" s="355"/>
      <c r="H87" s="340"/>
      <c r="I87" s="340"/>
      <c r="J87" s="220"/>
    </row>
    <row r="88" spans="2:11" ht="7.5" customHeight="1">
      <c r="B88" s="382"/>
      <c r="C88" s="348"/>
      <c r="D88" s="349"/>
      <c r="E88" s="349"/>
      <c r="F88" s="389"/>
      <c r="G88" s="350"/>
      <c r="H88" s="352"/>
      <c r="I88" s="352"/>
      <c r="J88" s="220"/>
    </row>
    <row r="89" spans="2:11" ht="19.5" customHeight="1">
      <c r="B89" s="382" t="s">
        <v>158</v>
      </c>
      <c r="C89" s="348" t="str">
        <f>IF([1]ACCUEIL!B1=1," - REPAYMENT OF LOANS AND OTHER FINANCIAL DEBTS"," - REMBOURSEMENTS DES EMPRUNTS ET AUTRES DETTES FINANCIERES")</f>
        <v xml:space="preserve"> - REMBOURSEMENTS DES EMPRUNTS ET AUTRES DETTES FINANCIERES</v>
      </c>
      <c r="D89" s="349"/>
      <c r="E89" s="349"/>
      <c r="F89" s="389"/>
      <c r="G89" s="350"/>
      <c r="H89" s="352">
        <f>-SUM('[1]VENTI DES ECARTS DE CONV'!E24:E26)</f>
        <v>0</v>
      </c>
      <c r="I89" s="352">
        <f>-SUM('[1]VENTI DES ECARTS DE CONV'!E32:E34)</f>
        <v>0</v>
      </c>
      <c r="J89" s="220"/>
    </row>
    <row r="90" spans="2:11" ht="7.5" customHeight="1">
      <c r="B90" s="385"/>
      <c r="C90" s="353"/>
      <c r="D90" s="354"/>
      <c r="E90" s="354"/>
      <c r="F90" s="387"/>
      <c r="G90" s="355"/>
      <c r="H90" s="340"/>
      <c r="I90" s="340"/>
      <c r="J90" s="220"/>
    </row>
    <row r="91" spans="2:11" ht="7.5" customHeight="1">
      <c r="B91" s="382"/>
      <c r="C91" s="348"/>
      <c r="D91" s="349"/>
      <c r="E91" s="349"/>
      <c r="F91" s="389"/>
      <c r="G91" s="350"/>
      <c r="H91" s="352"/>
      <c r="I91" s="352"/>
      <c r="J91" s="220"/>
    </row>
    <row r="92" spans="2:11" ht="21" customHeight="1">
      <c r="B92" s="382" t="s">
        <v>5</v>
      </c>
      <c r="C92" s="331" t="str">
        <f>IF([1]ACCUEIL!B1=1,"CASH FLOWS FROM FOREIGN CAPITAL ( SUM FO to FQ)","FLUX DE TRESORERIE PROVENANT DES CAPITAUX ETRANGERS (SOMME FO à FQ)")</f>
        <v>FLUX DE TRESORERIE PROVENANT DES CAPITAUX ETRANGERS (SOMME FO à FQ)</v>
      </c>
      <c r="D92" s="222"/>
      <c r="E92" s="222"/>
      <c r="F92" s="384" t="s">
        <v>159</v>
      </c>
      <c r="G92" s="369"/>
      <c r="H92" s="359">
        <f>SUM(H83:H89)</f>
        <v>0</v>
      </c>
      <c r="I92" s="359">
        <f>SUM(I83:I89)</f>
        <v>0</v>
      </c>
      <c r="J92" s="220"/>
    </row>
    <row r="93" spans="2:11" ht="7.5" customHeight="1">
      <c r="B93" s="385"/>
      <c r="C93" s="336"/>
      <c r="D93" s="391"/>
      <c r="E93" s="391"/>
      <c r="F93" s="390"/>
      <c r="G93" s="370"/>
      <c r="H93" s="362"/>
      <c r="I93" s="362"/>
      <c r="J93" s="220"/>
    </row>
    <row r="94" spans="2:11" ht="7.5" customHeight="1">
      <c r="B94" s="382"/>
      <c r="C94" s="331"/>
      <c r="D94" s="392"/>
      <c r="E94" s="392"/>
      <c r="F94" s="383"/>
      <c r="G94" s="369"/>
      <c r="H94" s="359"/>
      <c r="I94" s="359"/>
      <c r="J94" s="220"/>
    </row>
    <row r="95" spans="2:11" ht="21" customHeight="1">
      <c r="B95" s="382" t="s">
        <v>6</v>
      </c>
      <c r="C95" s="331" t="str">
        <f>IF([1]ACCUEIL!B1=1,"CASH FLOW FROM FINANCING ACTIVITIES (D+ E)","FLUX DE TRESORERIE PROVENANT DES ACTIVITES DE FINANCEMENT (D+ E)")</f>
        <v>FLUX DE TRESORERIE PROVENANT DES ACTIVITES DE FINANCEMENT (D+ E)</v>
      </c>
      <c r="D95" s="222"/>
      <c r="E95" s="222"/>
      <c r="F95" s="384" t="s">
        <v>160</v>
      </c>
      <c r="G95" s="369"/>
      <c r="H95" s="359">
        <f>H77+H92</f>
        <v>0</v>
      </c>
      <c r="I95" s="359">
        <f>I77+I92</f>
        <v>0</v>
      </c>
      <c r="J95" s="220"/>
      <c r="K95" s="2" t="str">
        <f ca="1">IF((I98-(I101-I14))=0,"","le t.f.t de n-1 est désequilibré de :  "&amp;((I101-I14)-I98))</f>
        <v/>
      </c>
    </row>
    <row r="96" spans="2:11" ht="7.5" customHeight="1">
      <c r="B96" s="385"/>
      <c r="C96" s="336"/>
      <c r="D96" s="391"/>
      <c r="E96" s="391"/>
      <c r="F96" s="390"/>
      <c r="G96" s="370"/>
      <c r="H96" s="362"/>
      <c r="I96" s="362"/>
      <c r="J96" s="220"/>
    </row>
    <row r="97" spans="2:11" ht="7.5" customHeight="1">
      <c r="B97" s="382"/>
      <c r="C97" s="331"/>
      <c r="D97" s="392"/>
      <c r="E97" s="392"/>
      <c r="F97" s="383"/>
      <c r="G97" s="369"/>
      <c r="H97" s="359"/>
      <c r="I97" s="359"/>
      <c r="J97" s="220"/>
    </row>
    <row r="98" spans="2:11" ht="21" customHeight="1">
      <c r="B98" s="382" t="s">
        <v>7</v>
      </c>
      <c r="C98" s="331" t="str">
        <f>IF([1]ACCUEIL!B1=1,"CHANGE IN NET CASH AND CASH EQUIVALENTS FOR THE PERIOD (B + C + F)","VARIATION DE LA TRESORERIE NETTE DE LA PERIODE (B + C + F)")</f>
        <v>VARIATION DE LA TRESORERIE NETTE DE LA PERIODE (B + C + F)</v>
      </c>
      <c r="D98" s="222"/>
      <c r="E98" s="222"/>
      <c r="F98" s="384" t="s">
        <v>161</v>
      </c>
      <c r="G98" s="369"/>
      <c r="H98" s="359">
        <f ca="1">H38+H59+H95</f>
        <v>0</v>
      </c>
      <c r="I98" s="359">
        <f ca="1">I38+I59+I95</f>
        <v>0</v>
      </c>
      <c r="J98" s="220"/>
    </row>
    <row r="99" spans="2:11" ht="7.5" customHeight="1">
      <c r="B99" s="385"/>
      <c r="C99" s="336"/>
      <c r="D99" s="337"/>
      <c r="E99" s="337"/>
      <c r="F99" s="390"/>
      <c r="G99" s="370"/>
      <c r="H99" s="362"/>
      <c r="I99" s="362"/>
      <c r="J99" s="220"/>
    </row>
    <row r="100" spans="2:11" ht="7.5" customHeight="1">
      <c r="B100" s="109"/>
      <c r="C100" s="331"/>
      <c r="D100" s="222"/>
      <c r="E100" s="222"/>
      <c r="F100" s="383"/>
      <c r="G100" s="369"/>
      <c r="H100" s="359"/>
      <c r="I100" s="359"/>
      <c r="J100" s="220"/>
    </row>
    <row r="101" spans="2:11" ht="24" customHeight="1">
      <c r="B101" s="382" t="s">
        <v>9</v>
      </c>
      <c r="C101" s="331" t="str">
        <f>IF([1]ACCUEIL!B1=1,"NET CASH AT 31 DECEMBER (C + A) CONTROL: CASH ASSETS N - CASH LIABILITIES N","TRESORERIE NETTE AU 31 DECEMBRE (C + A) CONTRÔLE: TRESORERIE ACTIF N - TRESORERIE PASSIF N")</f>
        <v>TRESORERIE NETTE AU 31 DECEMBRE (C + A) CONTRÔLE: TRESORERIE ACTIF N - TRESORERIE PASSIF N</v>
      </c>
      <c r="D101" s="222"/>
      <c r="E101" s="222"/>
      <c r="F101" s="384" t="s">
        <v>162</v>
      </c>
      <c r="G101" s="369"/>
      <c r="H101" s="359">
        <f>'[1]CLASSE 5'!I142-'[1]CLASSE 5'!J142</f>
        <v>0</v>
      </c>
      <c r="I101" s="359">
        <f>'[1]BALANCE REGROUPE'!I1567-'[1]BALANCE REGROUPE'!J1567</f>
        <v>0</v>
      </c>
      <c r="J101" s="220"/>
      <c r="K101" s="1305" t="str">
        <f ca="1">IF((H98-(H101-H14))=0,"","LE T.F.T DE n est désequilibré de:  "&amp;(H98-H101+H14))</f>
        <v/>
      </c>
    </row>
    <row r="102" spans="2:11" ht="7.5" customHeight="1">
      <c r="B102" s="134"/>
      <c r="C102" s="336"/>
      <c r="D102" s="391"/>
      <c r="E102" s="392"/>
      <c r="F102" s="198"/>
      <c r="G102" s="370"/>
      <c r="H102" s="393"/>
      <c r="I102" s="362"/>
      <c r="J102" s="220">
        <f t="shared" ref="J102" si="0">H102-I102</f>
        <v>0</v>
      </c>
    </row>
    <row r="103" spans="2:11" ht="5.25" customHeight="1">
      <c r="B103" s="6"/>
      <c r="E103" s="6"/>
      <c r="F103" s="6"/>
      <c r="G103" s="6"/>
      <c r="H103" s="6"/>
    </row>
    <row r="108" spans="2:11">
      <c r="K108" s="256"/>
    </row>
  </sheetData>
  <sheetProtection selectLockedCells="1" selectUnlockedCells="1"/>
  <mergeCells count="8">
    <mergeCell ref="B1:I1"/>
    <mergeCell ref="H2:I3"/>
    <mergeCell ref="B9:I9"/>
    <mergeCell ref="B11:B12"/>
    <mergeCell ref="C11:F12"/>
    <mergeCell ref="G11:G12"/>
    <mergeCell ref="H11:H12"/>
    <mergeCell ref="I11:I12"/>
  </mergeCells>
  <conditionalFormatting sqref="H6 E6">
    <cfRule type="expression" dxfId="49" priority="1">
      <formula>#REF!=1</formula>
    </cfRule>
  </conditionalFormatting>
  <printOptions horizontalCentered="1"/>
  <pageMargins left="0.78740157480314965" right="0" top="0.39370078740157483" bottom="0" header="0.19685039370078741" footer="0.15748031496062992"/>
  <pageSetup paperSize="9" scale="61" fitToHeight="0" orientation="portrait" r:id="rId1"/>
  <headerFooter>
    <oddHeader>&amp;C&amp;"-,Gras"&amp;14Page &amp;P / &amp;N</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82">
    <pageSetUpPr fitToPage="1"/>
  </sheetPr>
  <dimension ref="B3:M71"/>
  <sheetViews>
    <sheetView showGridLines="0" showRowColHeaders="0" showZeros="0" zoomScale="60" zoomScaleNormal="60" workbookViewId="0">
      <selection activeCell="U12" sqref="U12"/>
    </sheetView>
  </sheetViews>
  <sheetFormatPr baseColWidth="10" defaultColWidth="11.42578125" defaultRowHeight="15"/>
  <cols>
    <col min="1" max="1" width="14.85546875" style="2" customWidth="1"/>
    <col min="2" max="2" width="18.28515625" style="2" customWidth="1"/>
    <col min="3" max="3" width="9.5703125" style="2" customWidth="1"/>
    <col min="4" max="4" width="13.85546875" style="2" customWidth="1"/>
    <col min="5" max="5" width="49.85546875" style="2" customWidth="1"/>
    <col min="6" max="6" width="11.85546875" style="2" customWidth="1"/>
    <col min="7" max="7" width="7.140625" style="2" customWidth="1"/>
    <col min="8" max="8" width="6.140625" style="2" customWidth="1"/>
    <col min="9" max="9" width="15.140625" style="2" customWidth="1"/>
    <col min="10" max="10" width="33.7109375" style="2" customWidth="1"/>
    <col min="11" max="11" width="35.28515625" style="2" customWidth="1"/>
    <col min="12" max="12" width="7" style="2" customWidth="1"/>
    <col min="13" max="13" width="6.42578125" style="2" customWidth="1"/>
    <col min="14" max="16384" width="11.42578125" style="2"/>
  </cols>
  <sheetData>
    <row r="3" spans="2:13" ht="18">
      <c r="B3" s="1633"/>
      <c r="C3" s="1634"/>
      <c r="D3" s="1634"/>
      <c r="E3" s="1634"/>
      <c r="F3" s="1634"/>
      <c r="G3" s="1634"/>
      <c r="H3" s="1634"/>
      <c r="I3" s="1634"/>
      <c r="J3" s="1634"/>
      <c r="K3" s="1634"/>
      <c r="L3" s="1634"/>
      <c r="M3" s="1634"/>
    </row>
    <row r="4" spans="2:13">
      <c r="B4" s="1635"/>
      <c r="C4" s="1635"/>
      <c r="D4" s="1635"/>
      <c r="E4" s="1635"/>
      <c r="F4" s="1635"/>
      <c r="G4" s="1635"/>
      <c r="H4" s="1635"/>
      <c r="I4" s="1635"/>
      <c r="J4" s="1635"/>
      <c r="K4" s="1635"/>
      <c r="L4" s="1635"/>
      <c r="M4" s="1635"/>
    </row>
    <row r="5" spans="2:13">
      <c r="B5" s="394" t="str">
        <f>'TABLEAU DE FLUX DE TRESORERIE'!B4</f>
        <v>Désignation entité:</v>
      </c>
      <c r="D5" s="395" t="str">
        <f>'FICHE R2'!E5</f>
        <v/>
      </c>
      <c r="E5" s="313"/>
      <c r="F5" s="396"/>
      <c r="G5" s="397"/>
      <c r="H5" s="397"/>
      <c r="I5" s="397"/>
      <c r="J5" s="397"/>
      <c r="K5" s="398"/>
      <c r="L5" s="399"/>
      <c r="M5" s="399"/>
    </row>
    <row r="6" spans="2:13">
      <c r="B6" s="400" t="str">
        <f>'TABLEAU DE FLUX DE TRESORERIE'!B5</f>
        <v>Sigle usuel :</v>
      </c>
      <c r="D6" s="401" t="str">
        <f>'FICHE R2'!E6</f>
        <v/>
      </c>
      <c r="E6" s="402"/>
      <c r="F6" s="403"/>
      <c r="G6" s="403"/>
      <c r="H6" s="403"/>
      <c r="I6" s="403"/>
      <c r="J6" s="316"/>
      <c r="K6" s="404"/>
      <c r="L6" s="399"/>
      <c r="M6" s="399"/>
    </row>
    <row r="7" spans="2:13">
      <c r="B7" s="405" t="str">
        <f>'TABLEAU DE FLUX DE TRESORERIE'!B6</f>
        <v>Adresse:</v>
      </c>
      <c r="D7" s="401">
        <f>'FICHE R2'!E7</f>
        <v>0</v>
      </c>
      <c r="E7" s="406"/>
      <c r="F7" s="407"/>
      <c r="G7" s="407"/>
      <c r="H7" s="175"/>
      <c r="I7" s="175"/>
      <c r="J7" s="408" t="str">
        <f>'TABLEAU DE FLUX DE TRESORERIE'!H6</f>
        <v>BP:</v>
      </c>
      <c r="K7" s="409" t="str">
        <f>'FICHE R2'!R7</f>
        <v/>
      </c>
      <c r="L7" s="399"/>
      <c r="M7" s="410"/>
    </row>
    <row r="8" spans="2:13">
      <c r="B8" s="405" t="str">
        <f>'TABLEAU DE FLUX DE TRESORERIE'!B7</f>
        <v>Numéro d'identification:</v>
      </c>
      <c r="D8" s="1636" t="str">
        <f>'FICHE R2'!E8</f>
        <v/>
      </c>
      <c r="E8" s="1636"/>
      <c r="F8" s="1637" t="str">
        <f>'TABLEAU DE FLUX DE TRESORERIE'!E7</f>
        <v xml:space="preserve">   Exercice clos le 31 - 12- </v>
      </c>
      <c r="G8" s="1637"/>
      <c r="H8" s="1637"/>
      <c r="I8" s="409">
        <f>'FICHE R2'!O8</f>
        <v>2025</v>
      </c>
      <c r="J8" s="411" t="str">
        <f>'TABLEAU DE FLUX DE TRESORERIE'!H7</f>
        <v xml:space="preserve">    Durée (en mois):</v>
      </c>
      <c r="K8" s="409">
        <f>'FICHE R2'!R8</f>
        <v>12</v>
      </c>
    </row>
    <row r="9" spans="2:13">
      <c r="B9" s="144"/>
      <c r="C9" s="144"/>
      <c r="D9" s="144"/>
      <c r="E9" s="144"/>
      <c r="F9" s="144"/>
      <c r="G9" s="144"/>
      <c r="H9" s="144"/>
      <c r="I9" s="144"/>
      <c r="J9" s="144"/>
      <c r="K9" s="144"/>
      <c r="L9" s="144"/>
      <c r="M9" s="144"/>
    </row>
    <row r="10" spans="2:13">
      <c r="B10" s="1638" t="str">
        <f>IF([1]ACCUEIL!B1=1,"R4 SHEET: SUMMARY SHEET OF THE NOTES PRESENTED (1) &amp; (2)","FICHE R4  : FICHE RECAPITULATIVE DES NOTES ANNEXES PRESENTEES (1) &amp; (2)")</f>
        <v>FICHE R4  : FICHE RECAPITULATIVE DES NOTES ANNEXES PRESENTEES (1) &amp; (2)</v>
      </c>
      <c r="C10" s="1638"/>
      <c r="D10" s="1638"/>
      <c r="E10" s="1638"/>
      <c r="F10" s="1638"/>
      <c r="G10" s="1638"/>
      <c r="H10" s="1638"/>
      <c r="I10" s="1638"/>
      <c r="J10" s="1638"/>
      <c r="K10" s="1638"/>
      <c r="L10" s="144"/>
      <c r="M10" s="144"/>
    </row>
    <row r="11" spans="2:13" ht="9" customHeight="1">
      <c r="L11" s="144"/>
      <c r="M11" s="144"/>
    </row>
    <row r="12" spans="2:13" ht="18.75">
      <c r="B12" s="412" t="s">
        <v>163</v>
      </c>
      <c r="C12" s="1639" t="str">
        <f>'TABLEAU DE FLUX DE TRESORERIE'!C11</f>
        <v>LIBELLES</v>
      </c>
      <c r="D12" s="1640"/>
      <c r="E12" s="1640"/>
      <c r="F12" s="1640"/>
      <c r="G12" s="1640"/>
      <c r="H12" s="1640"/>
      <c r="I12" s="1641"/>
      <c r="J12" s="413" t="s">
        <v>92</v>
      </c>
      <c r="K12" s="414" t="s">
        <v>164</v>
      </c>
    </row>
    <row r="13" spans="2:13" ht="24" customHeight="1">
      <c r="B13" s="415" t="s">
        <v>165</v>
      </c>
      <c r="C13" s="1632" t="str">
        <f>IF([1]ACCUEIL!B1=1,"DEBTS SECURED BY ACTUAL PROFITS","DETTES GARANTIES PAR DES SURETES REELLES")</f>
        <v>DETTES GARANTIES PAR DES SURETES REELLES</v>
      </c>
      <c r="D13" s="1632"/>
      <c r="E13" s="1632"/>
      <c r="F13" s="1632"/>
      <c r="G13" s="1632"/>
      <c r="H13" s="1632"/>
      <c r="I13" s="1632"/>
      <c r="J13" s="416" t="str">
        <f>IF(Imprimer!C12=1,"X","")</f>
        <v/>
      </c>
      <c r="K13" s="416" t="str">
        <f>IF(Imprimer!C12=0,"X","")</f>
        <v>X</v>
      </c>
    </row>
    <row r="14" spans="2:13" ht="26.25" customHeight="1">
      <c r="B14" s="415" t="s">
        <v>166</v>
      </c>
      <c r="C14" s="1632" t="str">
        <f>IF([1]ACCUEIL!B1=1,"MANDATORY INFORMATION","INFORMATIONS OBLIGATOIRES")</f>
        <v>INFORMATIONS OBLIGATOIRES</v>
      </c>
      <c r="D14" s="1632"/>
      <c r="E14" s="1632"/>
      <c r="F14" s="1632"/>
      <c r="G14" s="1632"/>
      <c r="H14" s="1632"/>
      <c r="I14" s="1632"/>
      <c r="J14" s="416" t="str">
        <f>IF(Imprimer!C13=1,"X","")</f>
        <v>X</v>
      </c>
      <c r="K14" s="416" t="str">
        <f>IF(Imprimer!C13=0,"X","")</f>
        <v/>
      </c>
    </row>
    <row r="15" spans="2:13" ht="25.5" customHeight="1">
      <c r="B15" s="415" t="s">
        <v>167</v>
      </c>
      <c r="C15" s="1632" t="str">
        <f>IF([1]ACCUEIL!B1=1,"GROSS FIXED ASSET","IMMOBILISATION BRUTE")</f>
        <v>IMMOBILISATION BRUTE</v>
      </c>
      <c r="D15" s="1632"/>
      <c r="E15" s="1632"/>
      <c r="F15" s="1632"/>
      <c r="G15" s="1632"/>
      <c r="H15" s="1632"/>
      <c r="I15" s="1632"/>
      <c r="J15" s="416" t="str">
        <f>IF(Imprimer!C14=1,"X","")</f>
        <v/>
      </c>
      <c r="K15" s="416" t="str">
        <f>IF(Imprimer!C14=0,"X","")</f>
        <v>X</v>
      </c>
    </row>
    <row r="16" spans="2:13" ht="26.25" customHeight="1">
      <c r="B16" s="415" t="s">
        <v>168</v>
      </c>
      <c r="C16" s="1632" t="str">
        <f>IF([1]ACCUEIL!B1=1,"ASSETS UNDER CAPITAL LEASE","BIENS PRIS EN LOCATION ACQUISITION")</f>
        <v>BIENS PRIS EN LOCATION ACQUISITION</v>
      </c>
      <c r="D16" s="1632"/>
      <c r="E16" s="1632"/>
      <c r="F16" s="1632"/>
      <c r="G16" s="1632"/>
      <c r="H16" s="1632"/>
      <c r="I16" s="1632"/>
      <c r="J16" s="416" t="str">
        <f>IF(Imprimer!C15=1,"X","")</f>
        <v/>
      </c>
      <c r="K16" s="416" t="str">
        <f>IF(Imprimer!C15=0,"X","")</f>
        <v>X</v>
      </c>
    </row>
    <row r="17" spans="2:11" ht="27.75" customHeight="1">
      <c r="B17" s="415" t="s">
        <v>169</v>
      </c>
      <c r="C17" s="1632" t="str">
        <f>IF([1]ACCUEIL!B1=1,"FIXED ASSETS: DEPRECIATION AND AMORTIZATION","IMMOBILISATIONS : AMORTISSEMENTS")</f>
        <v>IMMOBILISATIONS : AMORTISSEMENTS</v>
      </c>
      <c r="D17" s="1632"/>
      <c r="E17" s="1632"/>
      <c r="F17" s="1632"/>
      <c r="G17" s="1632"/>
      <c r="H17" s="1632"/>
      <c r="I17" s="1632"/>
      <c r="J17" s="416" t="str">
        <f>IF(Imprimer!C16=1,"X","")</f>
        <v/>
      </c>
      <c r="K17" s="416" t="str">
        <f>IF(Imprimer!C16=0,"X","")</f>
        <v>X</v>
      </c>
    </row>
    <row r="18" spans="2:11" ht="24.75" customHeight="1">
      <c r="B18" s="415" t="s">
        <v>170</v>
      </c>
      <c r="C18" s="1632" t="str">
        <f>IF([1]ACCUEIL!B1=1,"FIXED ASSETS: CAPITAL GAINS AND LOSSES ON DISPOSALS","IMMOBILISATIONS : PLUS-VALUES ET MOINS VALUE DE CESSION")</f>
        <v>IMMOBILISATIONS : PLUS-VALUES ET MOINS VALUE DE CESSION</v>
      </c>
      <c r="D18" s="1632"/>
      <c r="E18" s="1632"/>
      <c r="F18" s="1632"/>
      <c r="G18" s="1632"/>
      <c r="H18" s="1632"/>
      <c r="I18" s="1632"/>
      <c r="J18" s="416" t="str">
        <f>IF(Imprimer!C17=1,"X","")</f>
        <v/>
      </c>
      <c r="K18" s="416" t="str">
        <f>IF(Imprimer!C17=0,"X","")</f>
        <v>X</v>
      </c>
    </row>
    <row r="19" spans="2:11" ht="27" customHeight="1">
      <c r="B19" s="415" t="s">
        <v>171</v>
      </c>
      <c r="C19" s="1632" t="str">
        <f>IF([1]ACCUEIL!B1=1,"INFORMATION ON REVALUATIONS CARRIED OUT BY THE ENTITY","INFORMATIONS SUR LES REEVALUATIONS EFFECTUEES PAR L'ENTITE")</f>
        <v>INFORMATIONS SUR LES REEVALUATIONS EFFECTUEES PAR L'ENTITE</v>
      </c>
      <c r="D19" s="1632"/>
      <c r="E19" s="1632"/>
      <c r="F19" s="1632"/>
      <c r="G19" s="1632"/>
      <c r="H19" s="1632"/>
      <c r="I19" s="1632"/>
      <c r="J19" s="416" t="str">
        <f>IF(Imprimer!C18=1,"X","")</f>
        <v/>
      </c>
      <c r="K19" s="416" t="str">
        <f>IF(Imprimer!C18=0,"X","")</f>
        <v>X</v>
      </c>
    </row>
    <row r="20" spans="2:11" ht="24" customHeight="1">
      <c r="B20" s="415" t="s">
        <v>172</v>
      </c>
      <c r="C20" s="1632" t="str">
        <f>IF([1]ACCUEIL!B1=1,"FINANCIAL ASSETS","IMMOBILISATIONS FINANCIERES")</f>
        <v>IMMOBILISATIONS FINANCIERES</v>
      </c>
      <c r="D20" s="1632"/>
      <c r="E20" s="1632"/>
      <c r="F20" s="1632"/>
      <c r="G20" s="1632"/>
      <c r="H20" s="1632"/>
      <c r="I20" s="1632"/>
      <c r="J20" s="416" t="str">
        <f>IF(Imprimer!C19=1,"X","")</f>
        <v/>
      </c>
      <c r="K20" s="416" t="str">
        <f>IF(Imprimer!C19=0,"X","")</f>
        <v>X</v>
      </c>
    </row>
    <row r="21" spans="2:11" ht="27" customHeight="1">
      <c r="B21" s="415" t="s">
        <v>173</v>
      </c>
      <c r="C21" s="1642" t="str">
        <f>IF([1]ACCUEIL!B1=1,"CURRENT ASSETS AND CURRENT DEBTS Excluding Ordinary Activities","ACTIF CIRCULANT  ET DETTES CIRCULANTES HAO")</f>
        <v>ACTIF CIRCULANT  ET DETTES CIRCULANTES HAO</v>
      </c>
      <c r="D21" s="1642"/>
      <c r="E21" s="1642"/>
      <c r="F21" s="1642"/>
      <c r="G21" s="1642"/>
      <c r="H21" s="1642"/>
      <c r="I21" s="1642"/>
      <c r="J21" s="416" t="str">
        <f>IF(Imprimer!C20=1,"X","")</f>
        <v/>
      </c>
      <c r="K21" s="416" t="str">
        <f>IF(Imprimer!C20=0,"X","")</f>
        <v>X</v>
      </c>
    </row>
    <row r="22" spans="2:11" ht="26.25" customHeight="1">
      <c r="B22" s="415" t="s">
        <v>174</v>
      </c>
      <c r="C22" s="1632" t="str">
        <f>IF([1]ACCUEIL!B1=1,"INVENTORIES AND WORK IN PROGRESS","STOCKS ET ENCOURS")</f>
        <v>STOCKS ET ENCOURS</v>
      </c>
      <c r="D22" s="1632"/>
      <c r="E22" s="1632"/>
      <c r="F22" s="1632"/>
      <c r="G22" s="1632"/>
      <c r="H22" s="1632"/>
      <c r="I22" s="1632"/>
      <c r="J22" s="416" t="str">
        <f>IF(Imprimer!C21=1,"X","")</f>
        <v/>
      </c>
      <c r="K22" s="416" t="str">
        <f>IF(Imprimer!C21=0,"X","")</f>
        <v>X</v>
      </c>
    </row>
    <row r="23" spans="2:11" ht="26.25" customHeight="1">
      <c r="B23" s="415" t="s">
        <v>175</v>
      </c>
      <c r="C23" s="1632" t="str">
        <f>IF([1]ACCUEIL!B1=1,"CUSTOMERS ","CLIENTS ")</f>
        <v xml:space="preserve">CLIENTS </v>
      </c>
      <c r="D23" s="1632"/>
      <c r="E23" s="1632"/>
      <c r="F23" s="1632"/>
      <c r="G23" s="1632"/>
      <c r="H23" s="1632"/>
      <c r="I23" s="1632"/>
      <c r="J23" s="416" t="str">
        <f>IF(Imprimer!C22=1,"X","")</f>
        <v/>
      </c>
      <c r="K23" s="416" t="str">
        <f>IF(Imprimer!C22=0,"X","")</f>
        <v>X</v>
      </c>
    </row>
    <row r="24" spans="2:11" ht="27" customHeight="1">
      <c r="B24" s="415" t="s">
        <v>176</v>
      </c>
      <c r="C24" s="1632" t="str">
        <f>IF([1]ACCUEIL!B1=1,"OTHER RECEIVABLES","AUTRES CREANCES")</f>
        <v>AUTRES CREANCES</v>
      </c>
      <c r="D24" s="1632"/>
      <c r="E24" s="1632"/>
      <c r="F24" s="1632"/>
      <c r="G24" s="1632"/>
      <c r="H24" s="1632"/>
      <c r="I24" s="1632"/>
      <c r="J24" s="416" t="str">
        <f>IF(Imprimer!C23=1,"X","")</f>
        <v/>
      </c>
      <c r="K24" s="416" t="str">
        <f>IF(Imprimer!C23=0,"X","")</f>
        <v>X</v>
      </c>
    </row>
    <row r="25" spans="2:11" ht="24" customHeight="1">
      <c r="B25" s="417" t="s">
        <v>177</v>
      </c>
      <c r="C25" s="1642" t="str">
        <f>IF([1]ACCUEIL!B1=1,"BREAKDOWN OF FIXED EXPENSES","TABLEAU D’ETALEMENT DES CHARGES IMMOBILISEES")</f>
        <v>TABLEAU D’ETALEMENT DES CHARGES IMMOBILISEES</v>
      </c>
      <c r="D25" s="1642"/>
      <c r="E25" s="1642"/>
      <c r="F25" s="1642"/>
      <c r="G25" s="1642"/>
      <c r="H25" s="1642"/>
      <c r="I25" s="1642"/>
      <c r="J25" s="416" t="str">
        <f>IF(Imprimer!C24=1,"X","")</f>
        <v/>
      </c>
      <c r="K25" s="416" t="str">
        <f>IF(Imprimer!C24=0,"X","")</f>
        <v>X</v>
      </c>
    </row>
    <row r="26" spans="2:11" ht="27" customHeight="1">
      <c r="B26" s="417" t="s">
        <v>178</v>
      </c>
      <c r="C26" s="1643" t="str">
        <f>IF([1]ACCUEIL!B1=1,"ALLOCATION TABLE OF PROVISIONS FOR EXPENSES TO BE ALLOCATED","TABLEAU D’ETALEMENT DES PROVISIONS POUR CHARGES A REPARTIR")</f>
        <v>TABLEAU D’ETALEMENT DES PROVISIONS POUR CHARGES A REPARTIR</v>
      </c>
      <c r="D26" s="1644"/>
      <c r="E26" s="1644"/>
      <c r="F26" s="1644"/>
      <c r="G26" s="1644"/>
      <c r="H26" s="1644"/>
      <c r="I26" s="1645"/>
      <c r="J26" s="416" t="str">
        <f>IF(Imprimer!C25=1,"X","")</f>
        <v/>
      </c>
      <c r="K26" s="416" t="str">
        <f>IF(Imprimer!C25=0,"X","")</f>
        <v>X</v>
      </c>
    </row>
    <row r="27" spans="2:11" ht="27" customHeight="1">
      <c r="B27" s="417" t="s">
        <v>179</v>
      </c>
      <c r="C27" s="418" t="str">
        <f>IF([1]ACCUEIL!B1=1,"AMORTIZATION TABLE OF PROVISIONS FOR PENSION COMMITMENTS","TABLEAU D'ETALEMENT DES PROVISIONS POUR ENGAGEMENT DE RETRAITE")</f>
        <v>TABLEAU D'ETALEMENT DES PROVISIONS POUR ENGAGEMENT DE RETRAITE</v>
      </c>
      <c r="D27" s="419"/>
      <c r="E27" s="419"/>
      <c r="F27" s="420"/>
      <c r="G27" s="420"/>
      <c r="H27" s="420"/>
      <c r="I27" s="421"/>
      <c r="J27" s="416" t="str">
        <f>IF(Imprimer!C26=1,"X","")</f>
        <v/>
      </c>
      <c r="K27" s="416" t="str">
        <f>IF(Imprimer!C26=0,"X","")</f>
        <v>X</v>
      </c>
    </row>
    <row r="28" spans="2:11" ht="27.75" customHeight="1">
      <c r="B28" s="415" t="s">
        <v>180</v>
      </c>
      <c r="C28" s="1632" t="str">
        <f>IF([1]ACCUEIL!B1=1,"INVESTMENT SECURITIES","TITRES DE PLACEMENT")</f>
        <v>TITRES DE PLACEMENT</v>
      </c>
      <c r="D28" s="1632"/>
      <c r="E28" s="1632"/>
      <c r="F28" s="1632"/>
      <c r="G28" s="1632"/>
      <c r="H28" s="1632"/>
      <c r="I28" s="1632"/>
      <c r="J28" s="416" t="str">
        <f>IF(Imprimer!C27=1,"X","")</f>
        <v/>
      </c>
      <c r="K28" s="416" t="str">
        <f>IF(Imprimer!C27=0,"X","")</f>
        <v>X</v>
      </c>
    </row>
    <row r="29" spans="2:11" ht="25.5" customHeight="1">
      <c r="B29" s="415" t="s">
        <v>181</v>
      </c>
      <c r="C29" s="1632" t="str">
        <f>IF([1]ACCUEIL!B1=1,"SECURITIES TO BE CASHED","VALEURS A ENCAISSER")</f>
        <v>VALEURS A ENCAISSER</v>
      </c>
      <c r="D29" s="1632"/>
      <c r="E29" s="1632"/>
      <c r="F29" s="1632"/>
      <c r="G29" s="1632"/>
      <c r="H29" s="1632"/>
      <c r="I29" s="1632"/>
      <c r="J29" s="416" t="str">
        <f>IF(Imprimer!C28=1,"X","")</f>
        <v/>
      </c>
      <c r="K29" s="416" t="str">
        <f>IF(Imprimer!C28=0,"X","")</f>
        <v>X</v>
      </c>
    </row>
    <row r="30" spans="2:11" ht="27" customHeight="1">
      <c r="B30" s="415" t="s">
        <v>182</v>
      </c>
      <c r="C30" s="1632" t="str">
        <f>IF([1]ACCUEIL!B1=1,"AVAILABILITIES","DISPONIBILITES")</f>
        <v>DISPONIBILITES</v>
      </c>
      <c r="D30" s="1632"/>
      <c r="E30" s="1632"/>
      <c r="F30" s="1632"/>
      <c r="G30" s="1632"/>
      <c r="H30" s="1632"/>
      <c r="I30" s="1632"/>
      <c r="J30" s="416" t="str">
        <f>IF(Imprimer!C29=1,"X","")</f>
        <v/>
      </c>
      <c r="K30" s="416" t="str">
        <f>IF(Imprimer!C29=0,"X","")</f>
        <v>X</v>
      </c>
    </row>
    <row r="31" spans="2:11" ht="26.25" customHeight="1">
      <c r="B31" s="415" t="s">
        <v>183</v>
      </c>
      <c r="C31" s="1642" t="str">
        <f>IF([1]ACCUEIL!B1=1,"TRANSLATION DIFFERENCES AND EXPENSE TRANSFERS","ECARTS DE CONVERSION ET TRANSFERT DE CHARGES")</f>
        <v>ECARTS DE CONVERSION ET TRANSFERT DE CHARGES</v>
      </c>
      <c r="D31" s="1642"/>
      <c r="E31" s="1642"/>
      <c r="F31" s="1642"/>
      <c r="G31" s="1642"/>
      <c r="H31" s="1642"/>
      <c r="I31" s="1642"/>
      <c r="J31" s="416" t="str">
        <f>IF(Imprimer!C30=1,"X","")</f>
        <v/>
      </c>
      <c r="K31" s="416" t="str">
        <f>IF(Imprimer!C30=0,"X","")</f>
        <v>X</v>
      </c>
    </row>
    <row r="32" spans="2:11" ht="24.75" customHeight="1">
      <c r="B32" s="415" t="s">
        <v>184</v>
      </c>
      <c r="C32" s="1632" t="str">
        <f>IF([1]ACCUEIL!B1=1,"CAPITAL: NOMINAL VALUE OF SHARES OR UNITS","CAPITAL : VALEUR NOMINALE DES ACTIONS OU PARTS")</f>
        <v>CAPITAL : VALEUR NOMINALE DES ACTIONS OU PARTS</v>
      </c>
      <c r="D32" s="1632"/>
      <c r="E32" s="1632"/>
      <c r="F32" s="1632"/>
      <c r="G32" s="1632"/>
      <c r="H32" s="1632"/>
      <c r="I32" s="1632"/>
      <c r="J32" s="416" t="str">
        <f>IF(Imprimer!C31=1,"X","")</f>
        <v/>
      </c>
      <c r="K32" s="416" t="str">
        <f>IF(Imprimer!C31=0,"X","")</f>
        <v>X</v>
      </c>
    </row>
    <row r="33" spans="2:11" ht="27" customHeight="1">
      <c r="B33" s="415" t="s">
        <v>185</v>
      </c>
      <c r="C33" s="1632" t="str">
        <f>IF([1]ACCUEIL!B1=1,"PREMIUMS AND RESERVES","PRIMES ET RESERVES")</f>
        <v>PRIMES ET RESERVES</v>
      </c>
      <c r="D33" s="1632"/>
      <c r="E33" s="1632"/>
      <c r="F33" s="1632"/>
      <c r="G33" s="1632"/>
      <c r="H33" s="1632"/>
      <c r="I33" s="1632"/>
      <c r="J33" s="416" t="str">
        <f>IF(Imprimer!C32=1,"X","")</f>
        <v/>
      </c>
      <c r="K33" s="416" t="str">
        <f>IF(Imprimer!C32=0,"X","")</f>
        <v>X</v>
      </c>
    </row>
    <row r="34" spans="2:11" ht="27" customHeight="1">
      <c r="B34" s="415" t="s">
        <v>186</v>
      </c>
      <c r="C34" s="1632" t="str">
        <f>IF([1]ACCUEIL!B1=1,"SUBSIDIES AND REGULATED PROVISIONS","SUBVENTIONS ET PROVISIONS REGLEMENTEES")</f>
        <v>SUBVENTIONS ET PROVISIONS REGLEMENTEES</v>
      </c>
      <c r="D34" s="1632"/>
      <c r="E34" s="1632"/>
      <c r="F34" s="1632"/>
      <c r="G34" s="1632"/>
      <c r="H34" s="1632"/>
      <c r="I34" s="1632"/>
      <c r="J34" s="416" t="str">
        <f>IF(Imprimer!C33=1,"X","")</f>
        <v/>
      </c>
      <c r="K34" s="416" t="str">
        <f>IF(Imprimer!C33=0,"X","")</f>
        <v>X</v>
      </c>
    </row>
    <row r="35" spans="2:11" ht="32.25" customHeight="1">
      <c r="B35" s="415" t="s">
        <v>187</v>
      </c>
      <c r="C35" s="1632" t="str">
        <f>IF([1]ACCUEIL!B1=1,"OTHER SHAREHOLDERS' EQUITY","AUTRES FONDS PROPRES")</f>
        <v>AUTRES FONDS PROPRES</v>
      </c>
      <c r="D35" s="1632"/>
      <c r="E35" s="1632"/>
      <c r="F35" s="1632"/>
      <c r="G35" s="1632"/>
      <c r="H35" s="1632"/>
      <c r="I35" s="1632"/>
      <c r="J35" s="416" t="str">
        <f>IF(Imprimer!C34=1,"X","")</f>
        <v/>
      </c>
      <c r="K35" s="416" t="str">
        <f>IF(Imprimer!C34=0,"X","")</f>
        <v>X</v>
      </c>
    </row>
    <row r="36" spans="2:11" ht="31.5" customHeight="1">
      <c r="B36" s="415" t="s">
        <v>188</v>
      </c>
      <c r="C36" s="1632" t="str">
        <f>IF([1]ACCUEIL!B1=1,"FINANCIAL DEBTS AND SIMILAR RESOURCES","DETTES FINANCIERES ET RESSOURCES ASSIMILEES")</f>
        <v>DETTES FINANCIERES ET RESSOURCES ASSIMILEES</v>
      </c>
      <c r="D36" s="1632"/>
      <c r="E36" s="1632"/>
      <c r="F36" s="1632"/>
      <c r="G36" s="1632"/>
      <c r="H36" s="1632"/>
      <c r="I36" s="1632"/>
      <c r="J36" s="416" t="str">
        <f>IF(Imprimer!C35=1,"X","")</f>
        <v/>
      </c>
      <c r="K36" s="416" t="str">
        <f>IF(Imprimer!C35=0,"X","")</f>
        <v>X</v>
      </c>
    </row>
    <row r="37" spans="2:11" ht="26.25" customHeight="1">
      <c r="B37" s="415" t="s">
        <v>189</v>
      </c>
      <c r="C37" s="1642" t="str">
        <f>IF([1]ACCUEIL!B1=1,"PENSION COMMITMENTS AND ASSIMILE BENEFITS: Part 1 (CURRENT METHOD)","ENGAGEMENTS DE RETRAITE ET AVANTAGES ASSIMILES : Partie 1 (METHODE ACTUARIELLE)")</f>
        <v>ENGAGEMENTS DE RETRAITE ET AVANTAGES ASSIMILES : Partie 1 (METHODE ACTUARIELLE)</v>
      </c>
      <c r="D37" s="1642"/>
      <c r="E37" s="1642"/>
      <c r="F37" s="1642"/>
      <c r="G37" s="1642"/>
      <c r="H37" s="1642"/>
      <c r="I37" s="1642"/>
      <c r="J37" s="416" t="str">
        <f>IF(Imprimer!C36=1,"X","")</f>
        <v/>
      </c>
      <c r="K37" s="416" t="str">
        <f>IF(Imprimer!C36=0,"X","")</f>
        <v>X</v>
      </c>
    </row>
    <row r="38" spans="2:11" ht="25.5" customHeight="1">
      <c r="B38" s="415" t="s">
        <v>190</v>
      </c>
      <c r="C38" s="1642" t="str">
        <f>IF([1]ACCUEIL!B1=1,"PENSION COMMITMENTS AND ASSIMILE BENEFITS: Part 2 (CURRENT METHOD)","ENGAGEMENTS DE RETRAITE ET AVANTAGES ASSIMILES: Partie 2 (METHODE ACTUARIELLE)")</f>
        <v>ENGAGEMENTS DE RETRAITE ET AVANTAGES ASSIMILES: Partie 2 (METHODE ACTUARIELLE)</v>
      </c>
      <c r="D38" s="1642"/>
      <c r="E38" s="1642"/>
      <c r="F38" s="1642"/>
      <c r="G38" s="1642"/>
      <c r="H38" s="1642"/>
      <c r="I38" s="1642"/>
      <c r="J38" s="416" t="str">
        <f>IF(Imprimer!C37=1,"X","")</f>
        <v/>
      </c>
      <c r="K38" s="416" t="str">
        <f>IF(Imprimer!C37=0,"X","")</f>
        <v>X</v>
      </c>
    </row>
    <row r="39" spans="2:11" ht="27" customHeight="1">
      <c r="B39" s="415" t="s">
        <v>191</v>
      </c>
      <c r="C39" s="1632" t="str">
        <f>IF([1]ACCUEIL!B1=1,"CONTINGENT ASSETS AND LIABILITIES","ACTIFS ET PASSIFS EVENTUELS")</f>
        <v>ACTIFS ET PASSIFS EVENTUELS</v>
      </c>
      <c r="D39" s="1632"/>
      <c r="E39" s="1632"/>
      <c r="F39" s="1632"/>
      <c r="G39" s="1632"/>
      <c r="H39" s="1632"/>
      <c r="I39" s="1632"/>
      <c r="J39" s="416" t="str">
        <f>IF(Imprimer!C38=1,"X","")</f>
        <v/>
      </c>
      <c r="K39" s="416" t="str">
        <f>IF(Imprimer!C38=0,"X","")</f>
        <v>X</v>
      </c>
    </row>
    <row r="40" spans="2:11" ht="26.25" customHeight="1">
      <c r="B40" s="415" t="s">
        <v>192</v>
      </c>
      <c r="C40" s="1632" t="str">
        <f>IF([1]ACCUEIL!B1=1,"OPERATING SUPPLIERS","FOURNISSEURS D'EXPLOITATION")</f>
        <v>FOURNISSEURS D'EXPLOITATION</v>
      </c>
      <c r="D40" s="1632"/>
      <c r="E40" s="1632"/>
      <c r="F40" s="1632"/>
      <c r="G40" s="1632"/>
      <c r="H40" s="1632"/>
      <c r="I40" s="1632"/>
      <c r="J40" s="416" t="str">
        <f>IF(Imprimer!C39=1,"X","")</f>
        <v/>
      </c>
      <c r="K40" s="416" t="str">
        <f>IF(Imprimer!C39=0,"X","")</f>
        <v>X</v>
      </c>
    </row>
    <row r="41" spans="2:11" ht="25.5" customHeight="1">
      <c r="B41" s="415" t="s">
        <v>193</v>
      </c>
      <c r="C41" s="1632" t="str">
        <f>IF([1]ACCUEIL!B1=1,"TAX AND SOCIAL SECURITY LIABILITIES","DETTES  FISCALES ET SOCIALES")</f>
        <v>DETTES  FISCALES ET SOCIALES</v>
      </c>
      <c r="D41" s="1632"/>
      <c r="E41" s="1632"/>
      <c r="F41" s="1632"/>
      <c r="G41" s="1632"/>
      <c r="H41" s="1632"/>
      <c r="I41" s="1632"/>
      <c r="J41" s="416" t="str">
        <f>IF(Imprimer!C40=1,"X","")</f>
        <v/>
      </c>
      <c r="K41" s="416" t="str">
        <f>IF(Imprimer!C40=0,"X","")</f>
        <v>X</v>
      </c>
    </row>
    <row r="42" spans="2:11" ht="27" customHeight="1">
      <c r="B42" s="415" t="s">
        <v>194</v>
      </c>
      <c r="C42" s="1632" t="str">
        <f>IF([1]ACCUEIL!B1=1,"OTHER LIABILITIES AND PROVISIONS FOR SHORT-TERM RISKS","AUTRES DETTES ET PROVISIONS POUR RISQUES A COURT TERME")</f>
        <v>AUTRES DETTES ET PROVISIONS POUR RISQUES A COURT TERME</v>
      </c>
      <c r="D42" s="1632"/>
      <c r="E42" s="1632"/>
      <c r="F42" s="1632"/>
      <c r="G42" s="1632"/>
      <c r="H42" s="1632"/>
      <c r="I42" s="1632"/>
      <c r="J42" s="416" t="str">
        <f>IF(Imprimer!C41=1,"X","")</f>
        <v/>
      </c>
      <c r="K42" s="416" t="str">
        <f>IF(Imprimer!C41=0,"X","")</f>
        <v>X</v>
      </c>
    </row>
    <row r="43" spans="2:11" ht="26.25" customHeight="1">
      <c r="B43" s="415" t="s">
        <v>195</v>
      </c>
      <c r="C43" s="1632" t="str">
        <f>IF([1]ACCUEIL!B1=1,"BANKS, DISCOUNT AND CASH CREDIT","BANQUES, CREDIT D'ESCOMPTE ET DE TRESORERIE")</f>
        <v>BANQUES, CREDIT D'ESCOMPTE ET DE TRESORERIE</v>
      </c>
      <c r="D43" s="1632"/>
      <c r="E43" s="1632"/>
      <c r="F43" s="1632"/>
      <c r="G43" s="1632"/>
      <c r="H43" s="1632"/>
      <c r="I43" s="1632"/>
      <c r="J43" s="416" t="str">
        <f>IF(Imprimer!C42=1,"X","")</f>
        <v/>
      </c>
      <c r="K43" s="416" t="str">
        <f>IF(Imprimer!C42=0,"X","")</f>
        <v>X</v>
      </c>
    </row>
    <row r="44" spans="2:11" ht="25.5" customHeight="1">
      <c r="B44" s="415" t="s">
        <v>196</v>
      </c>
      <c r="C44" s="1632" t="str">
        <f>IF([1]ACCUEIL!B1=1,"REVENUES AND OTHER INCOME","CHIFFRE D'AFFAIRES  ET AUTRES PRODUITS")</f>
        <v>CHIFFRE D'AFFAIRES  ET AUTRES PRODUITS</v>
      </c>
      <c r="D44" s="1632"/>
      <c r="E44" s="1632"/>
      <c r="F44" s="1632"/>
      <c r="G44" s="1632"/>
      <c r="H44" s="1632"/>
      <c r="I44" s="1632"/>
      <c r="J44" s="416" t="str">
        <f ca="1">IF(Imprimer!C43=1,"X","")</f>
        <v/>
      </c>
      <c r="K44" s="416" t="str">
        <f ca="1">IF(Imprimer!C43=0,"X","")</f>
        <v>X</v>
      </c>
    </row>
    <row r="45" spans="2:11" ht="26.25" customHeight="1">
      <c r="B45" s="415" t="s">
        <v>197</v>
      </c>
      <c r="C45" s="1632" t="str">
        <f>IF([1]ACCUEIL!B1=1,"PURCHASES","ACHATS")</f>
        <v>ACHATS</v>
      </c>
      <c r="D45" s="1632"/>
      <c r="E45" s="1632"/>
      <c r="F45" s="1632"/>
      <c r="G45" s="1632"/>
      <c r="H45" s="1632"/>
      <c r="I45" s="1632"/>
      <c r="J45" s="416" t="str">
        <f>IF(Imprimer!C44=1,"X","")</f>
        <v/>
      </c>
      <c r="K45" s="416" t="str">
        <f>IF(Imprimer!C44=0,"X","")</f>
        <v>X</v>
      </c>
    </row>
    <row r="46" spans="2:11" ht="27" customHeight="1">
      <c r="B46" s="415" t="s">
        <v>198</v>
      </c>
      <c r="C46" s="1632" t="str">
        <f>IF([1]ACCUEIL!B1=1,"TRANSPORTATION","TRANSPORTS")</f>
        <v>TRANSPORTS</v>
      </c>
      <c r="D46" s="1632"/>
      <c r="E46" s="1632"/>
      <c r="F46" s="1632"/>
      <c r="G46" s="1632"/>
      <c r="H46" s="1632"/>
      <c r="I46" s="1632"/>
      <c r="J46" s="416" t="str">
        <f>IF(Imprimer!C45=1,"X","")</f>
        <v/>
      </c>
      <c r="K46" s="416" t="str">
        <f>IF(Imprimer!C45=0,"X","")</f>
        <v>X</v>
      </c>
    </row>
    <row r="47" spans="2:11" ht="25.5" customHeight="1">
      <c r="B47" s="415" t="s">
        <v>199</v>
      </c>
      <c r="C47" s="1632" t="str">
        <f>IF([1]ACCUEIL!B1=1,"EXTERNAL SERVICES","SERVICES EXTERIEURS")</f>
        <v>SERVICES EXTERIEURS</v>
      </c>
      <c r="D47" s="1632"/>
      <c r="E47" s="1632"/>
      <c r="F47" s="1632"/>
      <c r="G47" s="1632"/>
      <c r="H47" s="1632"/>
      <c r="I47" s="1632"/>
      <c r="J47" s="416" t="str">
        <f>IF(Imprimer!C46=1,"X","")</f>
        <v/>
      </c>
      <c r="K47" s="416" t="str">
        <f>IF(Imprimer!C46=0,"X","")</f>
        <v>X</v>
      </c>
    </row>
    <row r="48" spans="2:11" ht="27" customHeight="1">
      <c r="B48" s="415" t="s">
        <v>200</v>
      </c>
      <c r="C48" s="1632" t="str">
        <f>IF([1]ACCUEIL!B1=1,"TAXES AND DUTIES","IMPOTS ET TAXES")</f>
        <v>IMPOTS ET TAXES</v>
      </c>
      <c r="D48" s="1632"/>
      <c r="E48" s="1632"/>
      <c r="F48" s="1632"/>
      <c r="G48" s="1632"/>
      <c r="H48" s="1632"/>
      <c r="I48" s="1632"/>
      <c r="J48" s="416" t="str">
        <f>IF(Imprimer!C47=1,"X","")</f>
        <v/>
      </c>
      <c r="K48" s="416" t="str">
        <f>IF(Imprimer!C47=0,"X","")</f>
        <v>X</v>
      </c>
    </row>
    <row r="49" spans="2:11" ht="26.25" customHeight="1">
      <c r="B49" s="415" t="s">
        <v>201</v>
      </c>
      <c r="C49" s="1632" t="str">
        <f>IF([1]ACCUEIL!B1=1,"OTHER EXPENSES","AUTRES CHARGES")</f>
        <v>AUTRES CHARGES</v>
      </c>
      <c r="D49" s="1632"/>
      <c r="E49" s="1632"/>
      <c r="F49" s="1632"/>
      <c r="G49" s="1632"/>
      <c r="H49" s="1632"/>
      <c r="I49" s="1632"/>
      <c r="J49" s="416" t="str">
        <f>IF(Imprimer!C48=1,"X","")</f>
        <v/>
      </c>
      <c r="K49" s="416" t="str">
        <f>IF(Imprimer!C48=0,"X","")</f>
        <v>X</v>
      </c>
    </row>
    <row r="50" spans="2:11" ht="26.25" customHeight="1">
      <c r="B50" s="415" t="s">
        <v>202</v>
      </c>
      <c r="C50" s="1632" t="str">
        <f>IF([1]ACCUEIL!B1=1,"PERSONNEL EXPENSES","CHARGES DE PERSONNEL")</f>
        <v>CHARGES DE PERSONNEL</v>
      </c>
      <c r="D50" s="1632"/>
      <c r="E50" s="1632"/>
      <c r="F50" s="1632"/>
      <c r="G50" s="1632"/>
      <c r="H50" s="1632"/>
      <c r="I50" s="1632"/>
      <c r="J50" s="416" t="str">
        <f>IF(Imprimer!C49=1,"X","")</f>
        <v/>
      </c>
      <c r="K50" s="416" t="str">
        <f>IF(Imprimer!C49=0,"X","")</f>
        <v>X</v>
      </c>
    </row>
    <row r="51" spans="2:11" ht="24.75" customHeight="1">
      <c r="B51" s="415" t="s">
        <v>203</v>
      </c>
      <c r="C51" s="1632" t="str">
        <f>IF([1]ACCUEIL!B1=1,"WORKFORCE, PAYROLL AND EXTERNAL STAFF","EFFECTIFS, MASSE SALARIALE ET PERSONNEL EXTERIEUR")</f>
        <v>EFFECTIFS, MASSE SALARIALE ET PERSONNEL EXTERIEUR</v>
      </c>
      <c r="D51" s="1632"/>
      <c r="E51" s="1632"/>
      <c r="F51" s="1632"/>
      <c r="G51" s="1632"/>
      <c r="H51" s="1632"/>
      <c r="I51" s="1632"/>
      <c r="J51" s="416" t="str">
        <f>IF(Imprimer!C50=1,"X","")</f>
        <v/>
      </c>
      <c r="K51" s="416" t="str">
        <f>IF(Imprimer!C50=0,"X","")</f>
        <v>X</v>
      </c>
    </row>
    <row r="52" spans="2:11" ht="26.25" customHeight="1">
      <c r="B52" s="417" t="s">
        <v>204</v>
      </c>
      <c r="C52" s="1642" t="str">
        <f>IF([1]ACCUEIL!B1=1,"PROVISIONS FOR RISKS AND CHARGES  ","PROVISIONS POUR RISQUES ET CHARGES  ")</f>
        <v xml:space="preserve">PROVISIONS POUR RISQUES ET CHARGES  </v>
      </c>
      <c r="D52" s="1642"/>
      <c r="E52" s="1642"/>
      <c r="F52" s="1642"/>
      <c r="G52" s="1642"/>
      <c r="H52" s="1642"/>
      <c r="I52" s="1642"/>
      <c r="J52" s="416" t="str">
        <f>IF(Imprimer!C51=1,"X","")</f>
        <v/>
      </c>
      <c r="K52" s="416" t="str">
        <f>IF(Imprimer!C51=0,"X","")</f>
        <v>X</v>
      </c>
    </row>
    <row r="53" spans="2:11" ht="33.75" customHeight="1">
      <c r="B53" s="417" t="s">
        <v>205</v>
      </c>
      <c r="C53" s="1643" t="str">
        <f>IF([1]ACCUEIL!B1=1,"DEPRECIATION OF FIXED ASSETS","DEPRECIATIONS DES IMMOBILISATIONS")</f>
        <v>DEPRECIATIONS DES IMMOBILISATIONS</v>
      </c>
      <c r="D53" s="1644"/>
      <c r="E53" s="1644"/>
      <c r="F53" s="1644"/>
      <c r="G53" s="1644"/>
      <c r="H53" s="1644"/>
      <c r="I53" s="1645"/>
      <c r="J53" s="416" t="str">
        <f>IF(Imprimer!C52=1,"X","")</f>
        <v/>
      </c>
      <c r="K53" s="416" t="str">
        <f>IF(Imprimer!C52=0,"X","")</f>
        <v>X</v>
      </c>
    </row>
    <row r="54" spans="2:11" ht="25.5" customHeight="1">
      <c r="B54" s="417" t="s">
        <v>206</v>
      </c>
      <c r="C54" s="422" t="str">
        <f>IF([1]ACCUEIL!B1=1,"OTHER DEPRECIATION","AUTRES DEPRECIATIONS")</f>
        <v>AUTRES DEPRECIATIONS</v>
      </c>
      <c r="D54" s="420"/>
      <c r="E54" s="420"/>
      <c r="F54" s="420"/>
      <c r="G54" s="420"/>
      <c r="H54" s="420"/>
      <c r="I54" s="421"/>
      <c r="J54" s="416" t="str">
        <f>IF(Imprimer!C53=1,"X","")</f>
        <v/>
      </c>
      <c r="K54" s="416" t="str">
        <f>IF(Imprimer!C53=0,"X","")</f>
        <v>X</v>
      </c>
    </row>
    <row r="55" spans="2:11" ht="27" customHeight="1">
      <c r="B55" s="415" t="s">
        <v>207</v>
      </c>
      <c r="C55" s="1632" t="str">
        <f>IF([1]ACCUEIL!B1=1,"FINANCIAL EXPENSES AND INCOME","CHARGES ET REVENUS FINANCIERS")</f>
        <v>CHARGES ET REVENUS FINANCIERS</v>
      </c>
      <c r="D55" s="1632"/>
      <c r="E55" s="1632"/>
      <c r="F55" s="1632"/>
      <c r="G55" s="1632"/>
      <c r="H55" s="1632"/>
      <c r="I55" s="1632"/>
      <c r="J55" s="416" t="str">
        <f>IF(Imprimer!C54=1,"X","")</f>
        <v/>
      </c>
      <c r="K55" s="416" t="str">
        <f>IF(Imprimer!C54=0,"X","")</f>
        <v>X</v>
      </c>
    </row>
    <row r="56" spans="2:11" ht="25.5" customHeight="1">
      <c r="B56" s="415" t="s">
        <v>208</v>
      </c>
      <c r="C56" s="1632" t="str">
        <f>IF([1]ACCUEIL!B1=1,"OTHER EXPENSES AND INCOME E.O.A","AUTRES  CHARGES ET PRODUITS HAO")</f>
        <v>AUTRES  CHARGES ET PRODUITS HAO</v>
      </c>
      <c r="D56" s="1632"/>
      <c r="E56" s="1632"/>
      <c r="F56" s="1632"/>
      <c r="G56" s="1632"/>
      <c r="H56" s="1632"/>
      <c r="I56" s="1632"/>
      <c r="J56" s="416" t="str">
        <f>IF(Imprimer!C55=1,"X","")</f>
        <v/>
      </c>
      <c r="K56" s="416" t="str">
        <f>IF(Imprimer!C55=0,"X","")</f>
        <v>X</v>
      </c>
    </row>
    <row r="57" spans="2:11" ht="37.5" customHeight="1">
      <c r="B57" s="423" t="s">
        <v>209</v>
      </c>
      <c r="C57" s="1648" t="str">
        <f>IF([1]ACCUEIL!B1=1,"BREAKDOWN OF INCOME AND OTHER KEY FIGURES FOR THE LAST FIVE YEARS","REPARTITION DU RESULTAT ET AUTRES ELEMENTS CARACTERISTIQUES DES CINQ DERNIERS EXERCICES")</f>
        <v>REPARTITION DU RESULTAT ET AUTRES ELEMENTS CARACTERISTIQUES DES CINQ DERNIERS EXERCICES</v>
      </c>
      <c r="D57" s="1648"/>
      <c r="E57" s="1648"/>
      <c r="F57" s="1648"/>
      <c r="G57" s="1648"/>
      <c r="H57" s="1648"/>
      <c r="I57" s="1648"/>
      <c r="J57" s="416" t="str">
        <f ca="1">IF(Imprimer!C56=1,"X","")</f>
        <v/>
      </c>
      <c r="K57" s="416" t="str">
        <f ca="1">IF(Imprimer!C56=0,"X","")</f>
        <v>X</v>
      </c>
    </row>
    <row r="58" spans="2:11" ht="27" customHeight="1">
      <c r="B58" s="415" t="s">
        <v>210</v>
      </c>
      <c r="C58" s="1632" t="str">
        <f>IF([1]ACCUEIL!B1=1,"PRODUCTION FOR THE FINANCIAL YEAR","PRODUCTION DE L'EXERCICE")</f>
        <v>PRODUCTION DE L'EXERCICE</v>
      </c>
      <c r="D58" s="1632"/>
      <c r="E58" s="1632"/>
      <c r="F58" s="1632"/>
      <c r="G58" s="1632"/>
      <c r="H58" s="1632"/>
      <c r="I58" s="1632"/>
      <c r="J58" s="416" t="str">
        <f>IF(Imprimer!C57=1,"X","")</f>
        <v/>
      </c>
      <c r="K58" s="416" t="str">
        <f>IF(Imprimer!C57=0,"X","")</f>
        <v>X</v>
      </c>
    </row>
    <row r="59" spans="2:11" ht="27" customHeight="1">
      <c r="B59" s="415" t="s">
        <v>211</v>
      </c>
      <c r="C59" s="1632" t="str">
        <f>IF([1]ACCUEIL!B1=1,"PURCHASES FOR PRODUCTION PURPOSES","ACHATS DESTINES A LA PRODUCTION")</f>
        <v>ACHATS DESTINES A LA PRODUCTION</v>
      </c>
      <c r="D59" s="1632"/>
      <c r="E59" s="1632"/>
      <c r="F59" s="1632"/>
      <c r="G59" s="1632"/>
      <c r="H59" s="1632"/>
      <c r="I59" s="1632"/>
      <c r="J59" s="416" t="str">
        <f>IF(Imprimer!C58=1,"X","")</f>
        <v/>
      </c>
      <c r="K59" s="416" t="str">
        <f>IF(Imprimer!C58=0,"X","")</f>
        <v>X</v>
      </c>
    </row>
    <row r="60" spans="2:11" ht="27" customHeight="1">
      <c r="B60" s="415" t="s">
        <v>212</v>
      </c>
      <c r="C60" s="1632" t="str">
        <f>IF([1]ACCUEIL!B1=1,"SUMMARY SHEET OF THE MAIN FINANCIAL INDICATORS","FICHE DE SYNTHESE DES PRINCIPAUX INDICATEURS FINANCIERS")</f>
        <v>FICHE DE SYNTHESE DES PRINCIPAUX INDICATEURS FINANCIERS</v>
      </c>
      <c r="D60" s="1632"/>
      <c r="E60" s="1632"/>
      <c r="F60" s="1632"/>
      <c r="G60" s="1632"/>
      <c r="H60" s="1632"/>
      <c r="I60" s="1632"/>
      <c r="J60" s="416" t="str">
        <f>IF(Imprimer!C59=1,"X","")</f>
        <v>X</v>
      </c>
      <c r="K60" s="416" t="str">
        <f>IF(Imprimer!C59=0,"X","")</f>
        <v/>
      </c>
    </row>
    <row r="61" spans="2:11" ht="27" customHeight="1">
      <c r="B61" s="415" t="s">
        <v>213</v>
      </c>
      <c r="C61" s="1632" t="str">
        <f>IF([1]ACCUEIL!B1=1,"LIST OF SOCIAL, ENVIRONMENTAL AND SOCIETAL INFORMATION TO BE PROVIDED","LISTE DES INFORMATIONS SOCIALES, ENVIRONNEMENTALES ET SOCIETALES A FOURNIR")</f>
        <v>LISTE DES INFORMATIONS SOCIALES, ENVIRONNEMENTALES ET SOCIETALES A FOURNIR</v>
      </c>
      <c r="D61" s="1632"/>
      <c r="E61" s="1632"/>
      <c r="F61" s="1632"/>
      <c r="G61" s="1632"/>
      <c r="H61" s="1632"/>
      <c r="I61" s="1632"/>
      <c r="J61" s="416"/>
      <c r="K61" s="416" t="s">
        <v>214</v>
      </c>
    </row>
    <row r="62" spans="2:11" ht="27" customHeight="1">
      <c r="B62" s="415" t="s">
        <v>215</v>
      </c>
      <c r="C62" s="1632" t="str">
        <f>IF([1]ACCUEIL!B1=1,"COD TABLES[see this Summary Sheet of Attached Notes (SSAN)]","TABLES DES CODES  [voir la présente Fiche Récapitulative des Notes Annexes  (FRNA)]")</f>
        <v>TABLES DES CODES  [voir la présente Fiche Récapitulative des Notes Annexes  (FRNA)]</v>
      </c>
      <c r="D62" s="1632"/>
      <c r="E62" s="1632"/>
      <c r="F62" s="1632"/>
      <c r="G62" s="1632"/>
      <c r="H62" s="1632"/>
      <c r="I62" s="1632"/>
      <c r="J62" s="416" t="str">
        <f>IF(Imprimer!C61=1,"X","")</f>
        <v/>
      </c>
      <c r="K62" s="416" t="str">
        <f>IF(Imprimer!C61=0,"X","")</f>
        <v>X</v>
      </c>
    </row>
    <row r="63" spans="2:11" ht="27" customHeight="1">
      <c r="B63" s="415" t="s">
        <v>216</v>
      </c>
      <c r="C63" s="1632" t="str">
        <f>IF([1]ACCUEIL!B1=1,"ADDITIONAL STATEMENTS GTD","ETATS SUPPLEMENTAIRES  DGI")</f>
        <v>ETATS SUPPLEMENTAIRES  DGI</v>
      </c>
      <c r="D63" s="1632"/>
      <c r="E63" s="1632"/>
      <c r="F63" s="1632"/>
      <c r="G63" s="1632"/>
      <c r="H63" s="1632"/>
      <c r="I63" s="1632"/>
      <c r="J63" s="416" t="str">
        <f>IF(Imprimer!C62=1,"X","")</f>
        <v/>
      </c>
      <c r="K63" s="416" t="str">
        <f>IF(Imprimer!C62=0,"X","")</f>
        <v>X</v>
      </c>
    </row>
    <row r="65" spans="2:12">
      <c r="B65" s="1646" t="str">
        <f>IF([1]ACCUEIL!B1=1,"(1) Undocumented Notes should not be attached to the financial statements. Their content can be improved by entities.","(1) les Notes non documentées ne doivent pas être jointes aux états financiers. Leur contenu peut être amélioré par les entités.")</f>
        <v>(1) les Notes non documentées ne doivent pas être jointes aux états financiers. Leur contenu peut être amélioré par les entités.</v>
      </c>
      <c r="C65" s="1646"/>
      <c r="D65" s="1646"/>
      <c r="E65" s="1646"/>
      <c r="F65" s="1646"/>
      <c r="G65" s="1646"/>
      <c r="H65" s="1646"/>
      <c r="I65" s="1646"/>
      <c r="J65" s="1646"/>
      <c r="K65" s="1646"/>
      <c r="L65" s="424"/>
    </row>
    <row r="66" spans="2:12">
      <c r="B66" s="1647" t="str">
        <f>IF([1]ACCUEIL!B1=1,"In addition, in a note, unquantified lines must be deleted. For example, in Note 24 External Services, when ","Par ailleurs, dans une note, les lignes non chiffrées doivent être supprimées. Par exemple, dans la note 24 Services Extérieurs, lorsque ")</f>
        <v xml:space="preserve">Par ailleurs, dans une note, les lignes non chiffrées doivent être supprimées. Par exemple, dans la note 24 Services Extérieurs, lorsque </v>
      </c>
      <c r="C66" s="1647"/>
      <c r="D66" s="1647"/>
      <c r="E66" s="1647"/>
      <c r="F66" s="1647"/>
      <c r="G66" s="1647"/>
      <c r="H66" s="1647"/>
      <c r="I66" s="1647"/>
      <c r="J66" s="1647"/>
      <c r="K66" s="1647"/>
      <c r="L66" s="424"/>
    </row>
    <row r="67" spans="2:12">
      <c r="B67" s="1647" t="str">
        <f>IF([1]ACCUEIL!B1=1,"the general subcontracting line is not quantified, it should not be included in the notes.","la ligne sous-traitance générale n'est pas chiffrée, elle ne doit pas figurer dans les notes.")</f>
        <v>la ligne sous-traitance générale n'est pas chiffrée, elle ne doit pas figurer dans les notes.</v>
      </c>
      <c r="C67" s="1647"/>
      <c r="D67" s="1647"/>
      <c r="E67" s="1647"/>
      <c r="F67" s="1647"/>
      <c r="G67" s="1647"/>
      <c r="H67" s="1647"/>
      <c r="I67" s="1647"/>
      <c r="J67" s="1647"/>
      <c r="K67" s="1647"/>
      <c r="L67" s="424"/>
    </row>
    <row r="68" spans="2:12">
      <c r="B68" s="425"/>
      <c r="C68" s="425"/>
      <c r="D68" s="425"/>
      <c r="E68" s="425"/>
      <c r="F68" s="425"/>
      <c r="G68" s="425"/>
      <c r="H68" s="425"/>
      <c r="I68" s="425"/>
      <c r="J68" s="425"/>
      <c r="K68" s="425"/>
      <c r="L68" s="424"/>
    </row>
    <row r="69" spans="2:12">
      <c r="B69" s="426" t="str">
        <f>IF([1]ACCUEIL!B1=1,"(2) A : Applicable N/A : Not applicable.","(2) A : Applicable       N/A : Non applicable.")</f>
        <v>(2) A : Applicable       N/A : Non applicable.</v>
      </c>
      <c r="C69" s="426"/>
      <c r="D69" s="426"/>
      <c r="E69" s="426"/>
      <c r="F69" s="426"/>
      <c r="G69" s="426"/>
      <c r="H69" s="426"/>
      <c r="I69" s="426"/>
      <c r="J69" s="424"/>
      <c r="K69" s="424"/>
      <c r="L69" s="424"/>
    </row>
    <row r="70" spans="2:12">
      <c r="B70" s="426" t="str">
        <f>IF([1]ACCUEIL!B1=1,"For example, for an entity that has no inventories and work in progress, it must tick at the intersection (line 'NOTE 6' &amp; column 'N/A').","Par exemple pour une entité qui n'a pas de stocks et en-cours, elle doit cocher à l'intersection (ligne 'NOTE 6' &amp; colonne 'N/A').")</f>
        <v>Par exemple pour une entité qui n'a pas de stocks et en-cours, elle doit cocher à l'intersection (ligne 'NOTE 6' &amp; colonne 'N/A').</v>
      </c>
      <c r="C70" s="426"/>
      <c r="D70" s="426"/>
      <c r="E70" s="426"/>
      <c r="F70" s="426"/>
      <c r="G70" s="426"/>
      <c r="H70" s="426"/>
      <c r="I70" s="426"/>
      <c r="J70" s="424"/>
      <c r="K70" s="424"/>
      <c r="L70" s="424"/>
    </row>
    <row r="71" spans="2:12">
      <c r="B71" s="427"/>
      <c r="C71" s="424"/>
      <c r="D71" s="424"/>
      <c r="E71" s="424"/>
      <c r="F71" s="424"/>
      <c r="G71" s="424"/>
      <c r="H71" s="424"/>
      <c r="I71" s="424"/>
      <c r="J71" s="424"/>
      <c r="K71" s="424"/>
      <c r="L71" s="424"/>
    </row>
  </sheetData>
  <sheetProtection selectLockedCells="1" selectUnlockedCells="1"/>
  <mergeCells count="58">
    <mergeCell ref="C63:I63"/>
    <mergeCell ref="B65:K65"/>
    <mergeCell ref="B66:K66"/>
    <mergeCell ref="B67:K67"/>
    <mergeCell ref="C57:I57"/>
    <mergeCell ref="C58:I58"/>
    <mergeCell ref="C59:I59"/>
    <mergeCell ref="C60:I60"/>
    <mergeCell ref="C61:I61"/>
    <mergeCell ref="C62:I62"/>
    <mergeCell ref="C56:I56"/>
    <mergeCell ref="C44:I44"/>
    <mergeCell ref="C45:I45"/>
    <mergeCell ref="C46:I46"/>
    <mergeCell ref="C47:I47"/>
    <mergeCell ref="C48:I48"/>
    <mergeCell ref="C49:I49"/>
    <mergeCell ref="C50:I50"/>
    <mergeCell ref="C51:I51"/>
    <mergeCell ref="C52:I52"/>
    <mergeCell ref="C53:I53"/>
    <mergeCell ref="C55:I55"/>
    <mergeCell ref="C43:I43"/>
    <mergeCell ref="C32:I32"/>
    <mergeCell ref="C33:I33"/>
    <mergeCell ref="C34:I34"/>
    <mergeCell ref="C35:I35"/>
    <mergeCell ref="C36:I36"/>
    <mergeCell ref="C37:I37"/>
    <mergeCell ref="C38:I38"/>
    <mergeCell ref="C39:I39"/>
    <mergeCell ref="C40:I40"/>
    <mergeCell ref="C41:I41"/>
    <mergeCell ref="C42:I42"/>
    <mergeCell ref="C31:I31"/>
    <mergeCell ref="C19:I19"/>
    <mergeCell ref="C20:I20"/>
    <mergeCell ref="C21:I21"/>
    <mergeCell ref="C22:I22"/>
    <mergeCell ref="C23:I23"/>
    <mergeCell ref="C24:I24"/>
    <mergeCell ref="C25:I25"/>
    <mergeCell ref="C26:I26"/>
    <mergeCell ref="C28:I28"/>
    <mergeCell ref="C29:I29"/>
    <mergeCell ref="C30:I30"/>
    <mergeCell ref="C18:I18"/>
    <mergeCell ref="B3:M3"/>
    <mergeCell ref="B4:M4"/>
    <mergeCell ref="D8:E8"/>
    <mergeCell ref="F8:H8"/>
    <mergeCell ref="B10:K10"/>
    <mergeCell ref="C12:I12"/>
    <mergeCell ref="C13:I13"/>
    <mergeCell ref="C14:I14"/>
    <mergeCell ref="C15:I15"/>
    <mergeCell ref="C16:I16"/>
    <mergeCell ref="C17:I17"/>
  </mergeCells>
  <printOptions horizontalCentered="1"/>
  <pageMargins left="0.78740157480314965" right="0.2" top="0.82677165354330717" bottom="0" header="0.31496062992125984" footer="0.31496062992125984"/>
  <pageSetup paperSize="9" scale="46" orientation="portrait" cellComments="atEnd" r:id="rId1"/>
  <headerFooter>
    <oddHeader>&amp;C&amp;"-,Gras"&amp;14Page &amp;P / &amp;N</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4"/>
  <dimension ref="B2:C60"/>
  <sheetViews>
    <sheetView workbookViewId="0">
      <selection activeCell="F56" sqref="F56"/>
    </sheetView>
  </sheetViews>
  <sheetFormatPr baseColWidth="10" defaultColWidth="11.42578125" defaultRowHeight="15"/>
  <cols>
    <col min="2" max="2" width="29.140625" style="1238" bestFit="1" customWidth="1"/>
    <col min="3" max="3" width="10.85546875" style="1238"/>
  </cols>
  <sheetData>
    <row r="2" spans="2:3">
      <c r="B2" s="1238" t="s">
        <v>217</v>
      </c>
      <c r="C2" s="1239">
        <v>1</v>
      </c>
    </row>
    <row r="3" spans="2:3">
      <c r="B3" s="1238" t="s">
        <v>218</v>
      </c>
      <c r="C3" s="1239">
        <v>1</v>
      </c>
    </row>
    <row r="4" spans="2:3">
      <c r="B4" s="1238" t="s">
        <v>219</v>
      </c>
      <c r="C4" s="1239">
        <v>1</v>
      </c>
    </row>
    <row r="5" spans="2:3">
      <c r="B5" s="1238" t="s">
        <v>220</v>
      </c>
      <c r="C5" s="1239">
        <v>1</v>
      </c>
    </row>
    <row r="6" spans="2:3">
      <c r="B6" s="1238" t="s">
        <v>221</v>
      </c>
      <c r="C6" s="1239">
        <v>1</v>
      </c>
    </row>
    <row r="7" spans="2:3">
      <c r="B7" s="1238" t="s">
        <v>222</v>
      </c>
      <c r="C7" s="1239">
        <f>IF('PAGE DE GARDE'!$S$10=1,1,0)</f>
        <v>1</v>
      </c>
    </row>
    <row r="8" spans="2:3">
      <c r="B8" s="1238" t="s">
        <v>223</v>
      </c>
      <c r="C8" s="1239">
        <f>IF(C7=1,0,1)</f>
        <v>0</v>
      </c>
    </row>
    <row r="9" spans="2:3">
      <c r="B9" s="1238" t="s">
        <v>224</v>
      </c>
      <c r="C9" s="1239">
        <f>C8</f>
        <v>0</v>
      </c>
    </row>
    <row r="10" spans="2:3">
      <c r="B10" s="1238" t="s">
        <v>225</v>
      </c>
      <c r="C10" s="1239">
        <v>1</v>
      </c>
    </row>
    <row r="11" spans="2:3">
      <c r="B11" s="1238" t="s">
        <v>226</v>
      </c>
      <c r="C11" s="1239">
        <v>1</v>
      </c>
    </row>
    <row r="12" spans="2:3">
      <c r="B12" s="1238" t="s">
        <v>165</v>
      </c>
      <c r="C12" s="1239">
        <f>IF('NOTE 1'!E49+'NOTE 1'!E35&gt;0,1,0)</f>
        <v>0</v>
      </c>
    </row>
    <row r="13" spans="2:3">
      <c r="B13" s="1238" t="s">
        <v>166</v>
      </c>
      <c r="C13" s="1239">
        <v>1</v>
      </c>
    </row>
    <row r="14" spans="2:3">
      <c r="B14" s="1238" t="s">
        <v>227</v>
      </c>
      <c r="C14" s="1239">
        <f>IF('NOTE 3 A'!D36+'NOTE 3 A'!E36&gt;0,1,0)</f>
        <v>0</v>
      </c>
    </row>
    <row r="15" spans="2:3">
      <c r="B15" s="1238" t="s">
        <v>228</v>
      </c>
      <c r="C15" s="1239">
        <f>IF(SUM('NOTE 3 B'!D17:K17)=0,0,1)</f>
        <v>0</v>
      </c>
    </row>
    <row r="16" spans="2:3">
      <c r="B16" s="1238" t="s">
        <v>229</v>
      </c>
      <c r="C16" s="1239">
        <f>IF(SUM('NOTE 3 C'!D25:G25)=0,0,1)</f>
        <v>0</v>
      </c>
    </row>
    <row r="17" spans="2:3">
      <c r="B17" s="1238" t="s">
        <v>230</v>
      </c>
      <c r="C17" s="1239">
        <f>IF(SUM('NOTE 3 D'!D26:H26)=0,0,1)</f>
        <v>0</v>
      </c>
    </row>
    <row r="18" spans="2:3">
      <c r="B18" s="1238" t="s">
        <v>231</v>
      </c>
      <c r="C18" s="1239">
        <f>IF('NOTE 3 E'!I37+'NOTE 3 E'!I58=0,0,1)</f>
        <v>0</v>
      </c>
    </row>
    <row r="19" spans="2:3">
      <c r="B19" s="1238" t="s">
        <v>172</v>
      </c>
      <c r="C19" s="1239">
        <f>IF(SUM('NOTE 4'!D23:I23,'NOTE 4'!G27:G31)=0,0,1)</f>
        <v>0</v>
      </c>
    </row>
    <row r="20" spans="2:3">
      <c r="B20" s="1238" t="s">
        <v>173</v>
      </c>
      <c r="C20" s="1239">
        <f>IF(SUM('NOTE 5'!E15:F15,'NOTE 5'!E23:F23)=0,0,1)</f>
        <v>0</v>
      </c>
    </row>
    <row r="21" spans="2:3">
      <c r="B21" s="1238" t="s">
        <v>174</v>
      </c>
      <c r="C21" s="1239">
        <f>IF(SUM('NOTE 6'!E21:F21)=0,0,1)</f>
        <v>0</v>
      </c>
    </row>
    <row r="22" spans="2:3">
      <c r="B22" s="1238" t="s">
        <v>175</v>
      </c>
      <c r="C22" s="1239">
        <f>IF(SUM('NOTE 7'!D25:E25)=0,0,1)</f>
        <v>0</v>
      </c>
    </row>
    <row r="23" spans="2:3">
      <c r="B23" s="1238" t="s">
        <v>176</v>
      </c>
      <c r="C23" s="1239">
        <f>IF('NOTE 8'!D24+'NOTE 8'!E24=0,0,1)</f>
        <v>0</v>
      </c>
    </row>
    <row r="24" spans="2:3">
      <c r="B24" s="1238" t="s">
        <v>232</v>
      </c>
      <c r="C24" s="1239">
        <f>IF(SUM('NOTE 8 A'!E31,'NOTE 8 A'!G31,'NOTE 8 A'!I31)=0,0,1)</f>
        <v>0</v>
      </c>
    </row>
    <row r="25" spans="2:3">
      <c r="B25" s="1238" t="s">
        <v>233</v>
      </c>
      <c r="C25" s="1239">
        <f>IF(SUM('NOTE 8 B'!I15:K22)=0,0,1)</f>
        <v>0</v>
      </c>
    </row>
    <row r="26" spans="2:3">
      <c r="B26" s="1238" t="s">
        <v>234</v>
      </c>
      <c r="C26" s="1239">
        <f>IF(SUM('NOTE 8 C'!I15:K22)=0,0,1)</f>
        <v>0</v>
      </c>
    </row>
    <row r="27" spans="2:3">
      <c r="B27" s="1238" t="s">
        <v>180</v>
      </c>
      <c r="C27" s="1239">
        <f>IF(SUM('NOTE 9'!E20:F20)=0,0,1)</f>
        <v>0</v>
      </c>
    </row>
    <row r="28" spans="2:3">
      <c r="B28" s="1238" t="s">
        <v>181</v>
      </c>
      <c r="C28" s="1239">
        <f>IF(SUM('NOTE 10'!E19:F19)=0,0,1)</f>
        <v>0</v>
      </c>
    </row>
    <row r="29" spans="2:3">
      <c r="B29" s="1238" t="s">
        <v>182</v>
      </c>
      <c r="C29" s="1239">
        <f>IF(SUM('NOTE 11'!E25:F25)=0,0,1)</f>
        <v>0</v>
      </c>
    </row>
    <row r="30" spans="2:3">
      <c r="B30" s="1238" t="s">
        <v>183</v>
      </c>
      <c r="C30" s="1239">
        <f>IF(SUM('NOTE 12'!H11:H41,'NOTE 12'!D57:E57)=0,0,1)</f>
        <v>0</v>
      </c>
    </row>
    <row r="31" spans="2:3">
      <c r="B31" s="1238" t="s">
        <v>184</v>
      </c>
      <c r="C31" s="1239">
        <f>IF(SUM('NOTE 13'!G31)=0,0,1)</f>
        <v>0</v>
      </c>
    </row>
    <row r="32" spans="2:3">
      <c r="B32" s="1238" t="s">
        <v>185</v>
      </c>
      <c r="C32" s="1239">
        <f>IF(SUM('NOTE 14'!E26:F26,'NOTE 14'!E25:F25,'NOTE 14'!E24:F24,'NOTE 14'!E18:F18)=0,0,1)</f>
        <v>0</v>
      </c>
    </row>
    <row r="33" spans="2:3">
      <c r="B33" s="1238" t="s">
        <v>235</v>
      </c>
      <c r="C33" s="1239">
        <f>IF(SUM('NOTE 15 A'!E29:F29)=0,0,1)</f>
        <v>0</v>
      </c>
    </row>
    <row r="34" spans="2:3">
      <c r="B34" s="1238" t="s">
        <v>236</v>
      </c>
      <c r="C34" s="1239">
        <f>IF(SUM('NOTE 15 B'!F16:G16)=0,0,1)</f>
        <v>0</v>
      </c>
    </row>
    <row r="35" spans="2:3">
      <c r="B35" s="1238" t="s">
        <v>237</v>
      </c>
      <c r="C35" s="1239">
        <f>IF(SUM('NOTE 16 A'!D22:F22,'NOTE 16 A'!D28:F28,'NOTE 16 A'!D42:F42)=0,0,1)</f>
        <v>0</v>
      </c>
    </row>
    <row r="36" spans="2:3">
      <c r="B36" s="1238" t="s">
        <v>238</v>
      </c>
      <c r="C36" s="1239">
        <f>IF(SUM('NOTE 16 B'!F12:G17,'NOTE 16 B'!F22:G28,'NOTE 16 B'!F33:I35)=0,0,1)</f>
        <v>0</v>
      </c>
    </row>
    <row r="37" spans="2:3">
      <c r="B37" s="1238" t="s">
        <v>239</v>
      </c>
      <c r="C37" s="1239">
        <f>IF(SUM('NOTE 16 B bis'!E12:H14,'NOTE 16 B bis'!E19:H22)=0,0,1)</f>
        <v>0</v>
      </c>
    </row>
    <row r="38" spans="2:3">
      <c r="B38" s="1238" t="s">
        <v>240</v>
      </c>
      <c r="C38" s="1239">
        <f>IF(SUM('NOTE 16 C'!G11:H18)=0,0,1)</f>
        <v>0</v>
      </c>
    </row>
    <row r="39" spans="2:3">
      <c r="B39" s="1238" t="s">
        <v>192</v>
      </c>
      <c r="C39" s="1239">
        <f>IF(SUM('NOTE 17'!F24:G24,'NOTE 17'!F30:G30)=0,0,1)</f>
        <v>0</v>
      </c>
    </row>
    <row r="40" spans="2:3">
      <c r="B40" s="1238" t="s">
        <v>193</v>
      </c>
      <c r="C40" s="1239">
        <f>IF(SUM('NOTE 18'!D29:F29)=0,0,1)</f>
        <v>0</v>
      </c>
    </row>
    <row r="41" spans="2:3">
      <c r="B41" s="1238" t="s">
        <v>194</v>
      </c>
      <c r="C41" s="1239">
        <f>IF(SUM('NOTE 19'!F30:G30)=0,0,1)</f>
        <v>0</v>
      </c>
    </row>
    <row r="42" spans="2:3">
      <c r="B42" s="1238" t="s">
        <v>195</v>
      </c>
      <c r="C42" s="1239">
        <f>IF(SUM('NOTE 20'!E21:F21)=0,0,1)</f>
        <v>0</v>
      </c>
    </row>
    <row r="43" spans="2:3">
      <c r="B43" s="1238" t="s">
        <v>196</v>
      </c>
      <c r="C43" s="1239">
        <f ca="1">IF(SUM('NOTE 21'!G46:H46)=0,0,1)</f>
        <v>0</v>
      </c>
    </row>
    <row r="44" spans="2:3">
      <c r="B44" s="1238" t="s">
        <v>197</v>
      </c>
      <c r="C44" s="1239">
        <f>IF(SUM('NOTE 22'!F17:G17,'NOTE 22'!F24:G24,'NOTE 22'!F40:G40)=0,0,1)</f>
        <v>0</v>
      </c>
    </row>
    <row r="45" spans="2:3">
      <c r="B45" s="1238" t="s">
        <v>198</v>
      </c>
      <c r="C45" s="1239">
        <f>IF(SUM('NOTE 23'!E18:F18)=0,0,1)</f>
        <v>0</v>
      </c>
    </row>
    <row r="46" spans="2:3">
      <c r="B46" s="1238" t="s">
        <v>199</v>
      </c>
      <c r="C46" s="1239">
        <f>IF(SUM('NOTE 24'!E26:F26)=0,0,1)</f>
        <v>0</v>
      </c>
    </row>
    <row r="47" spans="2:3">
      <c r="B47" s="1238" t="s">
        <v>200</v>
      </c>
      <c r="C47" s="1239">
        <f>IF(SUM('NOTE 25'!E16:F16)=0,0,1)</f>
        <v>0</v>
      </c>
    </row>
    <row r="48" spans="2:3">
      <c r="B48" s="1238" t="s">
        <v>201</v>
      </c>
      <c r="C48" s="1239">
        <f>IF(SUM('NOTE 26'!F22:G22)=0,0,1)</f>
        <v>0</v>
      </c>
    </row>
    <row r="49" spans="2:3">
      <c r="B49" s="1238" t="s">
        <v>241</v>
      </c>
      <c r="C49" s="1239">
        <f>IF(SUM('NOTE 27 A'!E19:F19)=0,0,1)</f>
        <v>0</v>
      </c>
    </row>
    <row r="50" spans="2:3">
      <c r="B50" s="1238" t="s">
        <v>242</v>
      </c>
      <c r="C50" s="1239">
        <f>IF(SUM('NOTE 27 B'!T16:T18,'NOTE 27 B'!T25,'NOTE 27 B'!M26:N26,'NOTE 27 B'!M29:N29)=0,0,1)</f>
        <v>0</v>
      </c>
    </row>
    <row r="51" spans="2:3">
      <c r="B51" s="1238" t="s">
        <v>243</v>
      </c>
      <c r="C51" s="1239">
        <f>IF(SUM('NOTE 28 A'!F24:M24)=0,0,1)</f>
        <v>0</v>
      </c>
    </row>
    <row r="52" spans="2:3">
      <c r="B52" s="1238" t="s">
        <v>244</v>
      </c>
      <c r="C52" s="1239">
        <f>IF(SUM('NOTE 28 B'!E31:L31)=0,0,1)</f>
        <v>0</v>
      </c>
    </row>
    <row r="53" spans="2:3">
      <c r="B53" s="1238" t="s">
        <v>245</v>
      </c>
      <c r="C53" s="1239">
        <f>IF(SUM('NOTE 28 C'!D22:K22)=0,0,1)</f>
        <v>0</v>
      </c>
    </row>
    <row r="54" spans="2:3">
      <c r="B54" s="1238" t="s">
        <v>207</v>
      </c>
      <c r="C54" s="1239">
        <f>IF(SUM('NOTE 29'!F31:G31)=0,0,1)</f>
        <v>0</v>
      </c>
    </row>
    <row r="55" spans="2:3">
      <c r="B55" s="1238" t="s">
        <v>208</v>
      </c>
      <c r="C55" s="1239">
        <f>IF(SUM('NOTE 30'!F34:G34)=0,0,1)</f>
        <v>0</v>
      </c>
    </row>
    <row r="56" spans="2:3">
      <c r="B56" s="1238" t="s">
        <v>209</v>
      </c>
      <c r="C56" s="1239">
        <f ca="1">IF(SUM('NOTE 31'!D12:H34)=0,0,1)</f>
        <v>0</v>
      </c>
    </row>
    <row r="57" spans="2:3">
      <c r="B57" s="1238" t="s">
        <v>210</v>
      </c>
      <c r="C57" s="1239">
        <f>IF(SUM('NOTE 32'!C37:K38)=0,0,1)</f>
        <v>0</v>
      </c>
    </row>
    <row r="58" spans="2:3">
      <c r="B58" s="1238" t="s">
        <v>211</v>
      </c>
      <c r="C58" s="1239">
        <f>IF(SUM('NOTE 33'!C37:J38)=0,0,1)</f>
        <v>0</v>
      </c>
    </row>
    <row r="59" spans="2:3">
      <c r="B59" s="1238" t="s">
        <v>212</v>
      </c>
      <c r="C59" s="1239">
        <v>1</v>
      </c>
    </row>
    <row r="60" spans="2:3">
      <c r="B60" s="1238" t="s">
        <v>246</v>
      </c>
      <c r="C60" s="1238">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7">
    <pageSetUpPr fitToPage="1"/>
  </sheetPr>
  <dimension ref="A1:J61"/>
  <sheetViews>
    <sheetView showZeros="0" tabSelected="1" zoomScale="90" zoomScaleNormal="90" zoomScaleSheetLayoutView="100" workbookViewId="0">
      <selection activeCell="F47" sqref="F47"/>
    </sheetView>
  </sheetViews>
  <sheetFormatPr baseColWidth="10" defaultColWidth="11.42578125" defaultRowHeight="15"/>
  <cols>
    <col min="1" max="1" width="5.28515625" style="2" customWidth="1"/>
    <col min="2" max="2" width="24.85546875" style="2" customWidth="1"/>
    <col min="3" max="3" width="33.5703125" style="2" customWidth="1"/>
    <col min="4" max="4" width="7.140625" style="2" customWidth="1"/>
    <col min="5" max="5" width="20.7109375" style="2" customWidth="1"/>
    <col min="6" max="6" width="17.7109375" style="2" customWidth="1"/>
    <col min="7" max="7" width="22.28515625" style="2" customWidth="1"/>
    <col min="8" max="8" width="18.140625" style="2" customWidth="1"/>
    <col min="9" max="16384" width="11.42578125" style="2"/>
  </cols>
  <sheetData>
    <row r="1" spans="1:10">
      <c r="A1" s="1">
        <f>'TABLEAU DE FLUX DE TRESORERIE'!B1</f>
        <v>0</v>
      </c>
      <c r="B1" s="1649"/>
      <c r="C1" s="1649"/>
      <c r="D1" s="1649"/>
      <c r="E1" s="1649"/>
      <c r="F1" s="1649"/>
      <c r="G1" s="1649"/>
      <c r="H1" s="1649"/>
    </row>
    <row r="2" spans="1:10" ht="15" customHeight="1">
      <c r="A2" s="1">
        <f>A1+1</f>
        <v>1</v>
      </c>
      <c r="B2" s="144"/>
      <c r="C2" s="144"/>
      <c r="D2" s="144"/>
      <c r="E2" s="144"/>
      <c r="F2" s="144"/>
      <c r="G2" s="1650" t="str">
        <f>IF([1]ACCUEIL!B1=1,"NOTE 1
NORMAL SYSTEM","NOTE 1
SYSTEME NORMAL")</f>
        <v>NOTE 1
SYSTEME NORMAL</v>
      </c>
      <c r="H2" s="1651"/>
    </row>
    <row r="3" spans="1:10">
      <c r="B3" s="144"/>
      <c r="C3" s="144"/>
      <c r="D3" s="144"/>
      <c r="E3" s="312"/>
      <c r="F3" s="144"/>
      <c r="G3" s="1652"/>
      <c r="H3" s="1653"/>
    </row>
    <row r="4" spans="1:10">
      <c r="B4" s="319" t="str">
        <f>+'NOTES ANNEXES'!B5</f>
        <v>Désignation entité:</v>
      </c>
      <c r="C4" s="313" t="str">
        <f>'TABLEAU DE FLUX DE TRESORERIE'!D4</f>
        <v/>
      </c>
      <c r="D4" s="313"/>
      <c r="E4" s="428"/>
      <c r="F4" s="428"/>
      <c r="G4" s="428"/>
      <c r="H4" s="43"/>
    </row>
    <row r="5" spans="1:10">
      <c r="B5" s="429" t="str">
        <f>+'NOTES ANNEXES'!B6</f>
        <v>Sigle usuel :</v>
      </c>
      <c r="C5" s="313" t="str">
        <f>'TABLEAU DE FLUX DE TRESORERIE'!D5</f>
        <v/>
      </c>
      <c r="D5" s="313"/>
      <c r="E5" s="313"/>
      <c r="F5" s="313"/>
      <c r="G5" s="313"/>
      <c r="H5" s="430"/>
      <c r="I5" s="232"/>
      <c r="J5" s="232"/>
    </row>
    <row r="6" spans="1:10">
      <c r="B6" s="319" t="str">
        <f>+'NOTES ANNEXES'!B7</f>
        <v>Adresse:</v>
      </c>
      <c r="C6" s="313">
        <f>'TABLEAU DE FLUX DE TRESORERIE'!D6</f>
        <v>0</v>
      </c>
      <c r="D6" s="313"/>
      <c r="E6" s="313"/>
      <c r="F6" s="402"/>
      <c r="G6" s="317" t="str">
        <f>+'NOTES ANNEXES'!J7</f>
        <v>BP:</v>
      </c>
      <c r="H6" s="428" t="str">
        <f>'TABLEAU DE FLUX DE TRESORERIE'!I6</f>
        <v/>
      </c>
      <c r="I6" s="232"/>
      <c r="J6" s="232"/>
    </row>
    <row r="7" spans="1:10">
      <c r="B7" s="319" t="str">
        <f>+'NOTES ANNEXES'!B8</f>
        <v>Numéro d'identification:</v>
      </c>
      <c r="C7" s="402" t="str">
        <f>'TABLEAU DE FLUX DE TRESORERIE'!D7</f>
        <v/>
      </c>
      <c r="D7" s="1654" t="str">
        <f>+'NOTES ANNEXES'!F8</f>
        <v xml:space="preserve">   Exercice clos le 31 - 12- </v>
      </c>
      <c r="E7" s="1654"/>
      <c r="F7" s="402">
        <f>'TABLEAU DE FLUX DE TRESORERIE'!F7</f>
        <v>2025</v>
      </c>
      <c r="G7" s="318" t="str">
        <f>+'NOTES ANNEXES'!J8</f>
        <v xml:space="preserve">    Durée (en mois):</v>
      </c>
      <c r="H7" s="313">
        <f>'TABLEAU DE FLUX DE TRESORERIE'!I7</f>
        <v>12</v>
      </c>
    </row>
    <row r="8" spans="1:10">
      <c r="B8" s="43"/>
      <c r="C8" s="43"/>
      <c r="D8" s="43"/>
      <c r="E8" s="144"/>
      <c r="F8" s="43"/>
      <c r="G8" s="43"/>
      <c r="H8" s="43"/>
    </row>
    <row r="9" spans="1:10">
      <c r="B9" s="1638" t="str">
        <f>IF([1]ACCUEIL!B1=1,"NOTE 1 DEBTS SECURED BY REAL SURETIES","NOTE 1 DETTES GARANTIES PAR DES SURETES REELLES")</f>
        <v>NOTE 1 DETTES GARANTIES PAR DES SURETES REELLES</v>
      </c>
      <c r="C9" s="1638"/>
      <c r="D9" s="1638"/>
      <c r="E9" s="1638"/>
      <c r="F9" s="1638"/>
      <c r="G9" s="1638"/>
      <c r="H9" s="1638"/>
    </row>
    <row r="10" spans="1:10" ht="10.5" customHeight="1">
      <c r="B10" s="144"/>
      <c r="C10" s="144"/>
      <c r="D10" s="144"/>
      <c r="E10" s="312"/>
      <c r="F10" s="144"/>
      <c r="G10" s="144"/>
      <c r="H10" s="144"/>
    </row>
    <row r="11" spans="1:10">
      <c r="B11" s="1655" t="str">
        <f>+'NOTES ANNEXES'!C12</f>
        <v>LIBELLES</v>
      </c>
      <c r="C11" s="1656"/>
      <c r="D11" s="1659" t="s">
        <v>59</v>
      </c>
      <c r="E11" s="1659" t="str">
        <f>IF([1]ACCUEIL!B1=1,"GROSS AMOUNT","MONTANT BRUT")</f>
        <v>MONTANT BRUT</v>
      </c>
      <c r="F11" s="1659" t="s">
        <v>247</v>
      </c>
      <c r="G11" s="1659"/>
      <c r="H11" s="1659"/>
    </row>
    <row r="12" spans="1:10">
      <c r="B12" s="1657"/>
      <c r="C12" s="1658"/>
      <c r="D12" s="1659"/>
      <c r="E12" s="1659"/>
      <c r="F12" s="431" t="str">
        <f>IF([1]ACCUEIL!B1=1,"MYPOTHEQUES","HYPOTHEQUES")</f>
        <v>HYPOTHEQUES</v>
      </c>
      <c r="G12" s="431" t="str">
        <f>IF([1]ACCUEIL!B1=1,"NANTISSEMENTS","NANTISSEMENTS")</f>
        <v>NANTISSEMENTS</v>
      </c>
      <c r="H12" s="431" t="str">
        <f>IF([1]ACCUEIL!B1=1,"WAGES / OTHERS","GAGES / AUTRES")</f>
        <v>GAGES / AUTRES</v>
      </c>
    </row>
    <row r="13" spans="1:10" ht="22.15" customHeight="1">
      <c r="B13" s="432" t="str">
        <f>IF([1]ACCUEIL!B1=1,"Financial debts and similar resources::","Dettes financières et ressources assimilées:")</f>
        <v>Dettes financières et ressources assimilées:</v>
      </c>
      <c r="C13" s="433"/>
      <c r="D13" s="434">
        <f>'[1]NOTE 1'!D13</f>
        <v>0</v>
      </c>
      <c r="E13" s="434">
        <f>'[1]NOTE 1'!E13</f>
        <v>0</v>
      </c>
      <c r="F13" s="434">
        <f>'[1]NOTE 1'!F13</f>
        <v>0</v>
      </c>
      <c r="G13" s="434">
        <f>'[1]NOTE 1'!G13</f>
        <v>0</v>
      </c>
      <c r="H13" s="434">
        <f>'[1]NOTE 1'!H13</f>
        <v>0</v>
      </c>
    </row>
    <row r="14" spans="1:10" ht="22.15" customHeight="1">
      <c r="B14" s="432" t="str">
        <f>IF([1]ACCUEIL!B1=1,"Convertible bonds","Emprunts obligataires convertibles")</f>
        <v>Emprunts obligataires convertibles</v>
      </c>
      <c r="C14" s="436"/>
      <c r="D14" s="434">
        <f>'[1]NOTE 1'!D14</f>
        <v>0</v>
      </c>
      <c r="E14" s="434">
        <f>'[1]NOTE 1'!E14</f>
        <v>0</v>
      </c>
      <c r="F14" s="434">
        <f>'[1]NOTE 1'!F14</f>
        <v>0</v>
      </c>
      <c r="G14" s="434">
        <f>'[1]NOTE 1'!G14</f>
        <v>0</v>
      </c>
      <c r="H14" s="434">
        <f>'[1]NOTE 1'!H14</f>
        <v>0</v>
      </c>
    </row>
    <row r="15" spans="1:10" ht="22.15" customHeight="1">
      <c r="B15" s="432" t="str">
        <f>IF([1]ACCUEIL!B1=1,"Other bonds","Autres emprunts obligataires")</f>
        <v>Autres emprunts obligataires</v>
      </c>
      <c r="C15" s="436"/>
      <c r="D15" s="434">
        <f>'[1]NOTE 1'!D15</f>
        <v>0</v>
      </c>
      <c r="E15" s="434">
        <f>'[1]NOTE 1'!E15</f>
        <v>0</v>
      </c>
      <c r="F15" s="434">
        <f>'[1]NOTE 1'!F15</f>
        <v>0</v>
      </c>
      <c r="G15" s="434">
        <f>'[1]NOTE 1'!G15</f>
        <v>0</v>
      </c>
      <c r="H15" s="434">
        <f>'[1]NOTE 1'!H15</f>
        <v>0</v>
      </c>
    </row>
    <row r="16" spans="1:10" ht="22.15" customHeight="1">
      <c r="B16" s="432" t="str">
        <f>+IF([1]ACCUEIL!B1=1,"Loans and debts of credit institutions","Emprunts et dettes des établissements de crédit")</f>
        <v>Emprunts et dettes des établissements de crédit</v>
      </c>
      <c r="C16" s="436"/>
      <c r="D16" s="434">
        <f>'[1]NOTE 1'!D16</f>
        <v>0</v>
      </c>
      <c r="E16" s="434">
        <f>'[1]NOTE 1'!E16</f>
        <v>0</v>
      </c>
      <c r="F16" s="434">
        <f>'[1]NOTE 1'!F16</f>
        <v>0</v>
      </c>
      <c r="G16" s="434">
        <f>'[1]NOTE 1'!G16</f>
        <v>0</v>
      </c>
      <c r="H16" s="434">
        <f>'[1]NOTE 1'!H16</f>
        <v>0</v>
      </c>
    </row>
    <row r="17" spans="2:8" ht="22.15" customHeight="1">
      <c r="B17" s="432" t="str">
        <f>IF([1]ACCUEIL!B1=1,"Other financial debts","Autres dettes financières")</f>
        <v>Autres dettes financières</v>
      </c>
      <c r="C17" s="436"/>
      <c r="D17" s="434">
        <f>'[1]NOTE 1'!D17</f>
        <v>0</v>
      </c>
      <c r="E17" s="434">
        <f>'[1]NOTE 1'!E17</f>
        <v>0</v>
      </c>
      <c r="F17" s="434">
        <f>'[1]NOTE 1'!F17</f>
        <v>0</v>
      </c>
      <c r="G17" s="434">
        <f>'[1]NOTE 1'!G17</f>
        <v>0</v>
      </c>
      <c r="H17" s="434">
        <f>'[1]NOTE 1'!H17</f>
        <v>0</v>
      </c>
    </row>
    <row r="18" spans="2:8" ht="22.15" customHeight="1">
      <c r="B18" s="437" t="str">
        <f>IF([1]ACCUEIL!B1=1,"SUB-TOTAL (1)","SOUS TOTAL (1)")</f>
        <v>SOUS TOTAL (1)</v>
      </c>
      <c r="C18" s="438"/>
      <c r="D18" s="434">
        <f>'[1]NOTE 1'!D18</f>
        <v>0</v>
      </c>
      <c r="E18" s="434">
        <f>'[1]NOTE 1'!E18</f>
        <v>0</v>
      </c>
      <c r="F18" s="434">
        <f>'[1]NOTE 1'!F18</f>
        <v>0</v>
      </c>
      <c r="G18" s="434">
        <f>'[1]NOTE 1'!G18</f>
        <v>0</v>
      </c>
      <c r="H18" s="434">
        <f>'[1]NOTE 1'!H18</f>
        <v>0</v>
      </c>
    </row>
    <row r="19" spans="2:8" ht="22.15" customHeight="1">
      <c r="B19" s="432" t="str">
        <f>IF([1]ACCUEIL!B1=1,"Capital lease liabilities:","Dettes de location-acquisition:")</f>
        <v>Dettes de location-acquisition:</v>
      </c>
      <c r="C19" s="436"/>
      <c r="D19" s="434">
        <f>'[1]NOTE 1'!D19</f>
        <v>0</v>
      </c>
      <c r="E19" s="434">
        <f>'[1]NOTE 1'!E19</f>
        <v>0</v>
      </c>
      <c r="F19" s="434">
        <f>'[1]NOTE 1'!F19</f>
        <v>0</v>
      </c>
      <c r="G19" s="434">
        <f>'[1]NOTE 1'!G19</f>
        <v>0</v>
      </c>
      <c r="H19" s="434">
        <f>'[1]NOTE 1'!H19</f>
        <v>0</v>
      </c>
    </row>
    <row r="20" spans="2:8" ht="22.15" customHeight="1">
      <c r="B20" s="432" t="str">
        <f>IF([1]ACCUEIL!B1=1,"Real estate leasing debts","Dettes de crédit-bail immobilier")</f>
        <v>Dettes de crédit-bail immobilier</v>
      </c>
      <c r="C20" s="436"/>
      <c r="D20" s="434">
        <f>'[1]NOTE 1'!D20</f>
        <v>0</v>
      </c>
      <c r="E20" s="434">
        <f>'[1]NOTE 1'!E20</f>
        <v>0</v>
      </c>
      <c r="F20" s="434">
        <f>'[1]NOTE 1'!F20</f>
        <v>0</v>
      </c>
      <c r="G20" s="434">
        <f>'[1]NOTE 1'!G20</f>
        <v>0</v>
      </c>
      <c r="H20" s="434">
        <f>'[1]NOTE 1'!H20</f>
        <v>0</v>
      </c>
    </row>
    <row r="21" spans="2:8" ht="22.15" customHeight="1">
      <c r="B21" s="432" t="str">
        <f>IF([1]ACCUEIL!B1=1,"Equipment leasing debts","Dettes de crédit-bail mobilier")</f>
        <v>Dettes de crédit-bail mobilier</v>
      </c>
      <c r="C21" s="436"/>
      <c r="D21" s="434">
        <f>'[1]NOTE 1'!D21</f>
        <v>0</v>
      </c>
      <c r="E21" s="434">
        <f>'[1]NOTE 1'!E21</f>
        <v>0</v>
      </c>
      <c r="F21" s="434">
        <f>'[1]NOTE 1'!F21</f>
        <v>0</v>
      </c>
      <c r="G21" s="434">
        <f>'[1]NOTE 1'!G21</f>
        <v>0</v>
      </c>
      <c r="H21" s="434">
        <f>'[1]NOTE 1'!H21</f>
        <v>0</v>
      </c>
    </row>
    <row r="22" spans="2:8" ht="22.15" customHeight="1">
      <c r="B22" s="432" t="str">
        <f>IF([1]ACCUEIL!B1=1,"Debts on hire-purchase contracts","Dettes sur contrats de location-vente")</f>
        <v>Dettes sur contrats de location-vente</v>
      </c>
      <c r="C22" s="436"/>
      <c r="D22" s="434">
        <f>'[1]NOTE 1'!D22</f>
        <v>0</v>
      </c>
      <c r="E22" s="434">
        <f>'[1]NOTE 1'!E22</f>
        <v>0</v>
      </c>
      <c r="F22" s="434">
        <f>'[1]NOTE 1'!F22</f>
        <v>0</v>
      </c>
      <c r="G22" s="434">
        <f>'[1]NOTE 1'!G22</f>
        <v>0</v>
      </c>
      <c r="H22" s="434">
        <f>'[1]NOTE 1'!H22</f>
        <v>0</v>
      </c>
    </row>
    <row r="23" spans="2:8" ht="22.15" customHeight="1">
      <c r="B23" s="432" t="str">
        <f>IF([1]ACCUEIL!B1=1,"Debts on capital leases","Dettes sur contrats de location-acquisition")</f>
        <v>Dettes sur contrats de location-acquisition</v>
      </c>
      <c r="C23" s="436"/>
      <c r="D23" s="434">
        <f>'[1]NOTE 1'!D23</f>
        <v>0</v>
      </c>
      <c r="E23" s="434">
        <f>'[1]NOTE 1'!E23</f>
        <v>0</v>
      </c>
      <c r="F23" s="434">
        <f>'[1]NOTE 1'!F23</f>
        <v>0</v>
      </c>
      <c r="G23" s="434">
        <f>'[1]NOTE 1'!G23</f>
        <v>0</v>
      </c>
      <c r="H23" s="434">
        <f>'[1]NOTE 1'!H23</f>
        <v>0</v>
      </c>
    </row>
    <row r="24" spans="2:8" ht="22.15" customHeight="1">
      <c r="B24" s="437" t="str">
        <f>IF([1]ACCUEIL!B1=1,"SUB-TOTAL (1)","SOUS TOTAL (1)")</f>
        <v>SOUS TOTAL (1)</v>
      </c>
      <c r="C24" s="438"/>
      <c r="D24" s="434">
        <f>'[1]NOTE 1'!D24</f>
        <v>0</v>
      </c>
      <c r="E24" s="434">
        <f>'[1]NOTE 1'!E24</f>
        <v>0</v>
      </c>
      <c r="F24" s="434">
        <f>'[1]NOTE 1'!F24</f>
        <v>0</v>
      </c>
      <c r="G24" s="434">
        <f>'[1]NOTE 1'!G24</f>
        <v>0</v>
      </c>
      <c r="H24" s="434">
        <f>'[1]NOTE 1'!H24</f>
        <v>0</v>
      </c>
    </row>
    <row r="25" spans="2:8" ht="22.15" customHeight="1">
      <c r="B25" s="432" t="str">
        <f>IF([1]ACCUEIL!B1=1,"Current liabilities liabilities:","Dettes du passif circulant:")</f>
        <v>Dettes du passif circulant:</v>
      </c>
      <c r="C25" s="436"/>
      <c r="D25" s="434">
        <f>'[1]NOTE 1'!D25</f>
        <v>0</v>
      </c>
      <c r="E25" s="434">
        <f>'[1]NOTE 1'!E25</f>
        <v>0</v>
      </c>
      <c r="F25" s="434">
        <f>'[1]NOTE 1'!F25</f>
        <v>0</v>
      </c>
      <c r="G25" s="434">
        <f>'[1]NOTE 1'!G25</f>
        <v>0</v>
      </c>
      <c r="H25" s="434">
        <f>'[1]NOTE 1'!H25</f>
        <v>0</v>
      </c>
    </row>
    <row r="26" spans="2:8" ht="22.15" customHeight="1">
      <c r="B26" s="432" t="str">
        <f>IF([1]ACCUEIL!B1=1,"Trade payables and related debts","Fournisseurs et dettes rattachées")</f>
        <v>Fournisseurs et dettes rattachées</v>
      </c>
      <c r="C26" s="436"/>
      <c r="D26" s="434">
        <f>'[1]NOTE 1'!D26</f>
        <v>0</v>
      </c>
      <c r="E26" s="434">
        <f>'[1]NOTE 1'!E26</f>
        <v>0</v>
      </c>
      <c r="F26" s="434">
        <f>'[1]NOTE 1'!F26</f>
        <v>0</v>
      </c>
      <c r="G26" s="434">
        <f>'[1]NOTE 1'!G26</f>
        <v>0</v>
      </c>
      <c r="H26" s="434">
        <f>'[1]NOTE 1'!H26</f>
        <v>0</v>
      </c>
    </row>
    <row r="27" spans="2:8" ht="22.15" customHeight="1">
      <c r="B27" s="432" t="str">
        <f>IF([1]ACCUEIL!B1=1,"Customers","Clients")</f>
        <v>Clients</v>
      </c>
      <c r="C27" s="436"/>
      <c r="D27" s="434">
        <f>'[1]NOTE 1'!D27</f>
        <v>0</v>
      </c>
      <c r="E27" s="434">
        <f>'[1]NOTE 1'!E27</f>
        <v>0</v>
      </c>
      <c r="F27" s="434">
        <f>'[1]NOTE 1'!F27</f>
        <v>0</v>
      </c>
      <c r="G27" s="434">
        <f>'[1]NOTE 1'!G27</f>
        <v>0</v>
      </c>
      <c r="H27" s="434">
        <f>'[1]NOTE 1'!H27</f>
        <v>0</v>
      </c>
    </row>
    <row r="28" spans="2:8" ht="22.15" customHeight="1">
      <c r="B28" s="432" t="str">
        <f>IF([1]ACCUEIL!B1=1,"Personal","Personnel")</f>
        <v>Personnel</v>
      </c>
      <c r="C28" s="436"/>
      <c r="D28" s="434">
        <f>'[1]NOTE 1'!D28</f>
        <v>0</v>
      </c>
      <c r="E28" s="434">
        <f>'[1]NOTE 1'!E28</f>
        <v>0</v>
      </c>
      <c r="F28" s="434">
        <f>'[1]NOTE 1'!F28</f>
        <v>0</v>
      </c>
      <c r="G28" s="434">
        <f>'[1]NOTE 1'!G28</f>
        <v>0</v>
      </c>
      <c r="H28" s="434">
        <f>'[1]NOTE 1'!H28</f>
        <v>0</v>
      </c>
    </row>
    <row r="29" spans="2:8" ht="22.15" customHeight="1">
      <c r="B29" s="432" t="str">
        <f>IF([1]ACCUEIL!B1=1,"Social security and social organizations","Sécurité sociale et organismes sociaux")</f>
        <v>Sécurité sociale et organismes sociaux</v>
      </c>
      <c r="C29" s="436"/>
      <c r="D29" s="434">
        <f>'[1]NOTE 1'!D29</f>
        <v>0</v>
      </c>
      <c r="E29" s="434">
        <f>'[1]NOTE 1'!E29</f>
        <v>0</v>
      </c>
      <c r="F29" s="434">
        <f>'[1]NOTE 1'!F29</f>
        <v>0</v>
      </c>
      <c r="G29" s="434">
        <f>'[1]NOTE 1'!G29</f>
        <v>0</v>
      </c>
      <c r="H29" s="434">
        <f>'[1]NOTE 1'!H29</f>
        <v>0</v>
      </c>
    </row>
    <row r="30" spans="2:8" ht="22.15" customHeight="1">
      <c r="B30" s="432" t="str">
        <f>IF([1]ACCUEIL!B1=1,"Status","Etat")</f>
        <v>Etat</v>
      </c>
      <c r="C30" s="436"/>
      <c r="D30" s="434">
        <f>'[1]NOTE 1'!D30</f>
        <v>0</v>
      </c>
      <c r="E30" s="434">
        <f>'[1]NOTE 1'!E30</f>
        <v>0</v>
      </c>
      <c r="F30" s="434">
        <f>'[1]NOTE 1'!F30</f>
        <v>0</v>
      </c>
      <c r="G30" s="434">
        <f>'[1]NOTE 1'!G30</f>
        <v>0</v>
      </c>
      <c r="H30" s="434">
        <f>'[1]NOTE 1'!H30</f>
        <v>0</v>
      </c>
    </row>
    <row r="31" spans="2:8" ht="22.15" customHeight="1">
      <c r="B31" s="432" t="str">
        <f>IF([1]ACCUEIL!B1=1,"International organizations","Organismes internationaux")</f>
        <v>Organismes internationaux</v>
      </c>
      <c r="C31" s="436"/>
      <c r="D31" s="434">
        <f>'[1]NOTE 1'!D31</f>
        <v>0</v>
      </c>
      <c r="E31" s="434">
        <f>'[1]NOTE 1'!E31</f>
        <v>0</v>
      </c>
      <c r="F31" s="434">
        <f>'[1]NOTE 1'!F31</f>
        <v>0</v>
      </c>
      <c r="G31" s="434">
        <f>'[1]NOTE 1'!G31</f>
        <v>0</v>
      </c>
      <c r="H31" s="434">
        <f>'[1]NOTE 1'!H31</f>
        <v>0</v>
      </c>
    </row>
    <row r="32" spans="2:8" ht="22.15" customHeight="1">
      <c r="B32" s="432" t="str">
        <f>IF([1]ACCUEIL!B1=1,"Partners and group","Associes et groupe")</f>
        <v>Associes et groupe</v>
      </c>
      <c r="C32" s="436"/>
      <c r="D32" s="434">
        <f>'[1]NOTE 1'!D32</f>
        <v>0</v>
      </c>
      <c r="E32" s="434">
        <f>'[1]NOTE 1'!E32</f>
        <v>0</v>
      </c>
      <c r="F32" s="434">
        <f>'[1]NOTE 1'!F32</f>
        <v>0</v>
      </c>
      <c r="G32" s="434">
        <f>'[1]NOTE 1'!G32</f>
        <v>0</v>
      </c>
      <c r="H32" s="434">
        <f>'[1]NOTE 1'!H32</f>
        <v>0</v>
      </c>
    </row>
    <row r="33" spans="2:8" ht="22.15" customHeight="1">
      <c r="B33" s="432" t="str">
        <f>IF([1]ACCUEIL!B1=1,"Miscellaneous creditors","Créditeurs divers")</f>
        <v>Créditeurs divers</v>
      </c>
      <c r="C33" s="436"/>
      <c r="D33" s="434">
        <f>'[1]NOTE 1'!D33</f>
        <v>0</v>
      </c>
      <c r="E33" s="434">
        <f>'[1]NOTE 1'!E33</f>
        <v>0</v>
      </c>
      <c r="F33" s="434">
        <f>'[1]NOTE 1'!F33</f>
        <v>0</v>
      </c>
      <c r="G33" s="434">
        <f>'[1]NOTE 1'!G33</f>
        <v>0</v>
      </c>
      <c r="H33" s="434">
        <f>'[1]NOTE 1'!H33</f>
        <v>0</v>
      </c>
    </row>
    <row r="34" spans="2:8" ht="22.15" customHeight="1">
      <c r="B34" s="437" t="str">
        <f>IF([1]ACCUEIL!B1=1,"SUB-TOTAL (1)","SOUS TOTAL (1)")</f>
        <v>SOUS TOTAL (1)</v>
      </c>
      <c r="C34" s="438"/>
      <c r="D34" s="439"/>
      <c r="E34" s="439">
        <f>SUM(E25:E33)</f>
        <v>0</v>
      </c>
      <c r="F34" s="439">
        <f>SUM(F25:F33)</f>
        <v>0</v>
      </c>
      <c r="G34" s="439">
        <f>SUM(G25:G33)</f>
        <v>0</v>
      </c>
      <c r="H34" s="439">
        <f>SUM(H25:H33)</f>
        <v>0</v>
      </c>
    </row>
    <row r="35" spans="2:8" ht="22.15" customHeight="1">
      <c r="B35" s="437" t="s">
        <v>248</v>
      </c>
      <c r="C35" s="438"/>
      <c r="D35" s="439"/>
      <c r="E35" s="439">
        <f>E34+E24+E18</f>
        <v>0</v>
      </c>
      <c r="F35" s="439">
        <f>F34+F24+F18</f>
        <v>0</v>
      </c>
      <c r="G35" s="439">
        <f>G34+G24+G18</f>
        <v>0</v>
      </c>
      <c r="H35" s="439">
        <f>H34+H24+H18</f>
        <v>0</v>
      </c>
    </row>
    <row r="36" spans="2:8" ht="25.5" customHeight="1">
      <c r="B36" s="1661" t="str">
        <f>IF([1]ACCUEIL!B1=1,"FINANCIAL LIABILITIES","ENGAGEMENTS FINANCIERS")</f>
        <v>ENGAGEMENTS FINANCIERS</v>
      </c>
      <c r="C36" s="1662"/>
      <c r="D36" s="1663"/>
      <c r="E36" s="1664"/>
      <c r="F36" s="1668" t="str">
        <f>IF([1]ACCUEIL!B1=1,"Reciprocal commitments","Engagements réciproques")</f>
        <v>Engagements réciproques</v>
      </c>
      <c r="G36" s="1668" t="str">
        <f>IF([1]ACCUEIL!B1=1,"Commitments given","Engagements donnés")</f>
        <v>Engagements donnés</v>
      </c>
      <c r="H36" s="1670" t="str">
        <f>IF([1]ACCUEIL!B1=1,"Commitments received","Engagements reçus")</f>
        <v>Engagements reçus</v>
      </c>
    </row>
    <row r="37" spans="2:8" ht="15.95" customHeight="1">
      <c r="B37" s="1665"/>
      <c r="C37" s="1666"/>
      <c r="D37" s="1666"/>
      <c r="E37" s="1667"/>
      <c r="F37" s="1669"/>
      <c r="G37" s="1669"/>
      <c r="H37" s="1671"/>
    </row>
    <row r="38" spans="2:8" ht="22.15" customHeight="1">
      <c r="B38" s="1672" t="str">
        <f>IF([1]ACCUEIL!B1=1,"Commitments to related entities","Engagements consentis à des entités liées")</f>
        <v>Engagements consentis à des entités liées</v>
      </c>
      <c r="C38" s="1673"/>
      <c r="D38" s="435">
        <f>'[1]NOTE 1'!D38</f>
        <v>0</v>
      </c>
      <c r="E38" s="435">
        <f>'[1]NOTE 1'!E38</f>
        <v>0</v>
      </c>
      <c r="F38" s="435">
        <f>'[1]NOTE 1'!F38</f>
        <v>0</v>
      </c>
      <c r="G38" s="435">
        <f>'[1]NOTE 1'!G38</f>
        <v>0</v>
      </c>
      <c r="H38" s="435">
        <f>'[1]NOTE 1'!H38</f>
        <v>0</v>
      </c>
    </row>
    <row r="39" spans="2:8" ht="22.15" customHeight="1">
      <c r="B39" s="1672" t="str">
        <f>IF([1]ACCUEIL!B1=1,"Redemption premiums on unmatured bonds","Primes de remboursement des obligations non échues")</f>
        <v>Primes de remboursement des obligations non échues</v>
      </c>
      <c r="C39" s="1673"/>
      <c r="D39" s="435">
        <f>'[1]NOTE 1'!D39</f>
        <v>0</v>
      </c>
      <c r="E39" s="435">
        <f>'[1]NOTE 1'!E39</f>
        <v>0</v>
      </c>
      <c r="F39" s="435">
        <f>'[1]NOTE 1'!F39</f>
        <v>0</v>
      </c>
      <c r="G39" s="435">
        <f>'[1]NOTE 1'!G39</f>
        <v>0</v>
      </c>
      <c r="H39" s="435">
        <f>'[1]NOTE 1'!H39</f>
        <v>0</v>
      </c>
    </row>
    <row r="40" spans="2:8" ht="22.15" customHeight="1">
      <c r="B40" s="1672" t="str">
        <f>IF([1]ACCUEIL!B1=1,"Endorsements, sureties, guarantees","Avals, cautions, garanties")</f>
        <v>Avals, cautions, garanties</v>
      </c>
      <c r="C40" s="1673"/>
      <c r="D40" s="435">
        <f>'[1]NOTE 1'!D40</f>
        <v>0</v>
      </c>
      <c r="E40" s="435">
        <f>'[1]NOTE 1'!E40</f>
        <v>0</v>
      </c>
      <c r="F40" s="435">
        <f>'[1]NOTE 1'!F40</f>
        <v>0</v>
      </c>
      <c r="G40" s="435">
        <f>'[1]NOTE 1'!G40</f>
        <v>0</v>
      </c>
      <c r="H40" s="435">
        <f>'[1]NOTE 1'!H40</f>
        <v>0</v>
      </c>
    </row>
    <row r="41" spans="2:8" ht="22.15" customHeight="1">
      <c r="B41" s="1672" t="str">
        <f>IF([1]ACCUEIL!B1=1,"Mortgages, pledges, guarantees, others","Hypothèques, nantissements, gages, autres")</f>
        <v>Hypothèques, nantissements, gages, autres</v>
      </c>
      <c r="C41" s="1673"/>
      <c r="D41" s="435">
        <f>'[1]NOTE 1'!D41</f>
        <v>0</v>
      </c>
      <c r="E41" s="435">
        <f>'[1]NOTE 1'!E41</f>
        <v>0</v>
      </c>
      <c r="F41" s="435">
        <f>'[1]NOTE 1'!F41</f>
        <v>0</v>
      </c>
      <c r="G41" s="435">
        <f>'[1]NOTE 1'!G41</f>
        <v>0</v>
      </c>
      <c r="H41" s="435">
        <f>'[1]NOTE 1'!H41</f>
        <v>0</v>
      </c>
    </row>
    <row r="42" spans="2:8" ht="22.15" customHeight="1">
      <c r="B42" s="1672" t="str">
        <f>IF([1]ACCUEIL!B1=1,"Unmatured expected effects","Effets escomptés non échus")</f>
        <v>Effets escomptés non échus</v>
      </c>
      <c r="C42" s="1673"/>
      <c r="D42" s="435">
        <f>'[1]NOTE 1'!D42</f>
        <v>0</v>
      </c>
      <c r="E42" s="435">
        <f>'[1]NOTE 1'!E42</f>
        <v>0</v>
      </c>
      <c r="F42" s="435">
        <f>'[1]NOTE 1'!F42</f>
        <v>0</v>
      </c>
      <c r="G42" s="435">
        <f>'[1]NOTE 1'!G42</f>
        <v>0</v>
      </c>
      <c r="H42" s="435">
        <f>'[1]NOTE 1'!H42</f>
        <v>0</v>
      </c>
    </row>
    <row r="43" spans="2:8" ht="22.15" customHeight="1">
      <c r="B43" s="440" t="str">
        <f>IF([1]ACCUEIL!B1=1,"Trade and professional receivables assigned","Créances commerciales et professionnelles cédées")</f>
        <v>Créances commerciales et professionnelles cédées</v>
      </c>
      <c r="C43" s="441"/>
      <c r="D43" s="435">
        <f>'[1]NOTE 1'!D43</f>
        <v>0</v>
      </c>
      <c r="E43" s="435">
        <f>'[1]NOTE 1'!E43</f>
        <v>0</v>
      </c>
      <c r="F43" s="435">
        <f>'[1]NOTE 1'!F43</f>
        <v>0</v>
      </c>
      <c r="G43" s="435">
        <f>'[1]NOTE 1'!G43</f>
        <v>0</v>
      </c>
      <c r="H43" s="435">
        <f>'[1]NOTE 1'!H43</f>
        <v>0</v>
      </c>
    </row>
    <row r="44" spans="2:8" ht="22.15" customHeight="1">
      <c r="B44" s="440" t="str">
        <f>IF([1]ACCUEIL!B1=1,"Conditional debt forgiveness","Abandons de créances conditionnelles")</f>
        <v>Abandons de créances conditionnelles</v>
      </c>
      <c r="C44" s="441"/>
      <c r="D44" s="435">
        <f>'[1]NOTE 1'!D44</f>
        <v>0</v>
      </c>
      <c r="E44" s="435">
        <f>'[1]NOTE 1'!E44</f>
        <v>0</v>
      </c>
      <c r="F44" s="435">
        <f>'[1]NOTE 1'!F44</f>
        <v>0</v>
      </c>
      <c r="G44" s="435">
        <f>'[1]NOTE 1'!G44</f>
        <v>0</v>
      </c>
      <c r="H44" s="435">
        <f>'[1]NOTE 1'!H44</f>
        <v>0</v>
      </c>
    </row>
    <row r="45" spans="2:8" ht="22.15" customHeight="1">
      <c r="B45" s="440" t="str">
        <f>IF([1]ACCUEIL!B1=1,"Forward purchases of goods","Achats de marchandises à terme")</f>
        <v>Achats de marchandises à terme</v>
      </c>
      <c r="C45" s="441"/>
      <c r="D45" s="435">
        <f>'[1]NOTE 1'!D45</f>
        <v>0</v>
      </c>
      <c r="E45" s="435">
        <f>'[1]NOTE 1'!E45</f>
        <v>0</v>
      </c>
      <c r="F45" s="435">
        <f>'[1]NOTE 1'!F45</f>
        <v>0</v>
      </c>
      <c r="G45" s="435">
        <f>'[1]NOTE 1'!G45</f>
        <v>0</v>
      </c>
      <c r="H45" s="435">
        <f>'[1]NOTE 1'!H45</f>
        <v>0</v>
      </c>
    </row>
    <row r="46" spans="2:8" ht="22.15" customHeight="1">
      <c r="B46" s="440" t="str">
        <f>IF([1]ACCUEIL!B1=1,"Forward purchases of unhedged foreign currencies","Achats à terme de devises non couverts")</f>
        <v>Achats à terme de devises non couverts</v>
      </c>
      <c r="C46" s="441"/>
      <c r="D46" s="435">
        <f>'[1]NOTE 1'!D46</f>
        <v>0</v>
      </c>
      <c r="E46" s="435">
        <f>'[1]NOTE 1'!E46</f>
        <v>0</v>
      </c>
      <c r="F46" s="435">
        <f>'[1]NOTE 1'!F46</f>
        <v>0</v>
      </c>
      <c r="G46" s="435">
        <f>'[1]NOTE 1'!G46</f>
        <v>0</v>
      </c>
      <c r="H46" s="435">
        <f>'[1]NOTE 1'!H46</f>
        <v>0</v>
      </c>
    </row>
    <row r="47" spans="2:8" ht="22.15" customHeight="1">
      <c r="B47" s="440" t="str">
        <f>IF([1]ACCUEIL!B1=1,"Firm customer orders","Commandes fermes des clients")</f>
        <v>Commandes fermes des clients</v>
      </c>
      <c r="C47" s="441"/>
      <c r="D47" s="435">
        <f>'[1]NOTE 1'!D47</f>
        <v>0</v>
      </c>
      <c r="E47" s="435">
        <f>'[1]NOTE 1'!E47</f>
        <v>0</v>
      </c>
      <c r="F47" s="435">
        <f>'[1]NOTE 1'!F47</f>
        <v>0</v>
      </c>
      <c r="G47" s="435">
        <f>'[1]NOTE 1'!G47</f>
        <v>0</v>
      </c>
      <c r="H47" s="435">
        <f>'[1]NOTE 1'!H47</f>
        <v>0</v>
      </c>
    </row>
    <row r="48" spans="2:8" ht="22.15" customHeight="1">
      <c r="B48" s="1672" t="str">
        <f>IF([1]ACCUEIL!B1=1,"Other reciprocal commitments","Autres engagements réciproques")</f>
        <v>Autres engagements réciproques</v>
      </c>
      <c r="C48" s="1673"/>
      <c r="D48" s="435">
        <f>'[1]NOTE 1'!D48</f>
        <v>0</v>
      </c>
      <c r="E48" s="435">
        <f>'[1]NOTE 1'!E48</f>
        <v>0</v>
      </c>
      <c r="F48" s="435">
        <f>'[1]NOTE 1'!F48</f>
        <v>0</v>
      </c>
      <c r="G48" s="435">
        <f>'[1]NOTE 1'!G48</f>
        <v>0</v>
      </c>
      <c r="H48" s="435">
        <f>'[1]NOTE 1'!H48</f>
        <v>0</v>
      </c>
    </row>
    <row r="49" spans="2:8" ht="22.15" customHeight="1">
      <c r="B49" s="442" t="s">
        <v>25</v>
      </c>
      <c r="C49" s="438"/>
      <c r="D49" s="439"/>
      <c r="E49" s="439">
        <f>SUM(E38:E48)</f>
        <v>0</v>
      </c>
      <c r="F49" s="439">
        <f>SUM(F38:F48)</f>
        <v>0</v>
      </c>
      <c r="G49" s="439">
        <f>SUM(G38:G48)</f>
        <v>0</v>
      </c>
      <c r="H49" s="439">
        <f>SUM(H38:H48)</f>
        <v>0</v>
      </c>
    </row>
    <row r="50" spans="2:8" ht="16.149999999999999" customHeight="1">
      <c r="C50" s="443"/>
      <c r="D50" s="443"/>
      <c r="E50" s="443"/>
      <c r="F50" s="443"/>
      <c r="G50" s="443"/>
      <c r="H50" s="443"/>
    </row>
    <row r="51" spans="2:8" ht="16.149999999999999" customHeight="1">
      <c r="B51" s="43" t="str">
        <f>IF([1]ACCUEIL!B1=1,"COMMENT","COMMENTAIRE")</f>
        <v>COMMENTAIRE</v>
      </c>
      <c r="C51" s="1660">
        <f>'[1]NOTE 1'!C51:H51</f>
        <v>0</v>
      </c>
      <c r="D51" s="1660"/>
      <c r="E51" s="1660"/>
      <c r="F51" s="1660"/>
      <c r="G51" s="1660"/>
      <c r="H51" s="1660"/>
    </row>
    <row r="52" spans="2:8" ht="16.149999999999999" customHeight="1">
      <c r="C52" s="1660">
        <f>'[1]NOTE 1'!C52:H52</f>
        <v>0</v>
      </c>
      <c r="D52" s="1660"/>
      <c r="E52" s="1660"/>
      <c r="F52" s="1660"/>
      <c r="G52" s="1660"/>
      <c r="H52" s="1660"/>
    </row>
    <row r="53" spans="2:8" ht="16.149999999999999" customHeight="1">
      <c r="C53" s="1660">
        <f>'[1]NOTE 1'!C53:H53</f>
        <v>0</v>
      </c>
      <c r="D53" s="1660"/>
      <c r="E53" s="1660"/>
      <c r="F53" s="1660"/>
      <c r="G53" s="1660"/>
      <c r="H53" s="1660"/>
    </row>
    <row r="54" spans="2:8" ht="16.149999999999999" customHeight="1">
      <c r="B54" s="444"/>
      <c r="C54" s="1660">
        <f>'[1]NOTE 1'!C54:H54</f>
        <v>0</v>
      </c>
      <c r="D54" s="1660"/>
      <c r="E54" s="1660"/>
      <c r="F54" s="1660"/>
      <c r="G54" s="1660"/>
      <c r="H54" s="1660"/>
    </row>
    <row r="55" spans="2:8" ht="16.149999999999999" customHeight="1">
      <c r="C55" s="1660">
        <f>'[1]NOTE 1'!C55:H55</f>
        <v>0</v>
      </c>
      <c r="D55" s="1660"/>
      <c r="E55" s="1660"/>
      <c r="F55" s="1660"/>
      <c r="G55" s="1660"/>
      <c r="H55" s="1660"/>
    </row>
    <row r="56" spans="2:8" ht="16.149999999999999" customHeight="1">
      <c r="C56" s="1660">
        <f>'[1]NOTE 1'!C56:H56</f>
        <v>0</v>
      </c>
      <c r="D56" s="1660"/>
      <c r="E56" s="1660"/>
      <c r="F56" s="1660"/>
      <c r="G56" s="1660"/>
      <c r="H56" s="1660"/>
    </row>
    <row r="57" spans="2:8" ht="16.149999999999999" customHeight="1">
      <c r="C57" s="1660">
        <f>'[1]NOTE 1'!C57:H57</f>
        <v>0</v>
      </c>
      <c r="D57" s="1660"/>
      <c r="E57" s="1660"/>
      <c r="F57" s="1660"/>
      <c r="G57" s="1660"/>
      <c r="H57" s="1660"/>
    </row>
    <row r="58" spans="2:8" ht="16.149999999999999" customHeight="1">
      <c r="C58" s="1660">
        <f>'[1]NOTE 1'!C58:H58</f>
        <v>0</v>
      </c>
      <c r="D58" s="1660"/>
      <c r="E58" s="1660"/>
      <c r="F58" s="1660"/>
      <c r="G58" s="1660"/>
      <c r="H58" s="1660"/>
    </row>
    <row r="59" spans="2:8" ht="16.149999999999999" customHeight="1">
      <c r="C59" s="1660">
        <f>'[1]NOTE 1'!C59:H59</f>
        <v>0</v>
      </c>
      <c r="D59" s="1660"/>
      <c r="E59" s="1660"/>
      <c r="F59" s="1660"/>
      <c r="G59" s="1660"/>
      <c r="H59" s="1660"/>
    </row>
    <row r="60" spans="2:8" ht="16.149999999999999" customHeight="1">
      <c r="C60" s="1660">
        <f>'[1]NOTE 1'!C60:H60</f>
        <v>0</v>
      </c>
      <c r="D60" s="1660"/>
      <c r="E60" s="1660"/>
      <c r="F60" s="1660"/>
      <c r="G60" s="1660"/>
      <c r="H60" s="1660"/>
    </row>
    <row r="61" spans="2:8" ht="16.149999999999999" customHeight="1">
      <c r="C61" s="1660">
        <f>'[1]NOTE 1'!C61:H61</f>
        <v>0</v>
      </c>
      <c r="D61" s="1660"/>
      <c r="E61" s="1660"/>
      <c r="F61" s="1660"/>
      <c r="G61" s="1660"/>
      <c r="H61" s="1660"/>
    </row>
  </sheetData>
  <sheetProtection formatCells="0" selectLockedCells="1"/>
  <mergeCells count="29">
    <mergeCell ref="C54:H54"/>
    <mergeCell ref="C55:H55"/>
    <mergeCell ref="C56:H56"/>
    <mergeCell ref="C57:H57"/>
    <mergeCell ref="C58:H58"/>
    <mergeCell ref="C61:H61"/>
    <mergeCell ref="C52:H52"/>
    <mergeCell ref="B36:E37"/>
    <mergeCell ref="F36:F37"/>
    <mergeCell ref="G36:G37"/>
    <mergeCell ref="H36:H37"/>
    <mergeCell ref="B38:C38"/>
    <mergeCell ref="B39:C39"/>
    <mergeCell ref="B40:C40"/>
    <mergeCell ref="B41:C41"/>
    <mergeCell ref="B42:C42"/>
    <mergeCell ref="B48:C48"/>
    <mergeCell ref="C51:H51"/>
    <mergeCell ref="C59:H59"/>
    <mergeCell ref="C60:H60"/>
    <mergeCell ref="C53:H53"/>
    <mergeCell ref="B1:H1"/>
    <mergeCell ref="G2:H3"/>
    <mergeCell ref="D7:E7"/>
    <mergeCell ref="B9:H9"/>
    <mergeCell ref="B11:C12"/>
    <mergeCell ref="D11:D12"/>
    <mergeCell ref="E11:E12"/>
    <mergeCell ref="F11:H11"/>
  </mergeCells>
  <conditionalFormatting sqref="G6 I5:J6">
    <cfRule type="expression" dxfId="48" priority="1">
      <formula>#REF!=1</formula>
    </cfRule>
  </conditionalFormatting>
  <dataValidations count="1">
    <dataValidation type="whole" allowBlank="1" showInputMessage="1" showErrorMessage="1" errorTitle="Attention !" error="Valeur numérique attendue" sqref="G37:H37" xr:uid="{00000000-0002-0000-0B00-000000000000}">
      <formula1>-9999999999999</formula1>
      <formula2>9999999999999</formula2>
    </dataValidation>
  </dataValidations>
  <printOptions horizontalCentered="1"/>
  <pageMargins left="0.78740157480314965" right="0" top="0.59055118110236227" bottom="0.19685039370078741" header="0.31496062992125984" footer="0.31496062992125984"/>
  <pageSetup paperSize="9" scale="64" fitToHeight="0" orientation="portrait" r:id="rId1"/>
  <headerFooter>
    <oddHeader>&amp;C&amp;"-,Gras"&amp;14Page &amp;P / &amp;N</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8">
    <pageSetUpPr fitToPage="1"/>
  </sheetPr>
  <dimension ref="A1:J59"/>
  <sheetViews>
    <sheetView showGridLines="0" showZeros="0" zoomScale="90" zoomScaleNormal="90" zoomScaleSheetLayoutView="100" workbookViewId="0">
      <selection activeCell="U12" sqref="U12"/>
    </sheetView>
  </sheetViews>
  <sheetFormatPr baseColWidth="10" defaultColWidth="11.42578125" defaultRowHeight="15"/>
  <cols>
    <col min="1" max="1" width="7.85546875" style="2" customWidth="1"/>
    <col min="2" max="2" width="29.7109375" style="2" customWidth="1"/>
    <col min="3" max="3" width="15" style="2" customWidth="1"/>
    <col min="4" max="4" width="15.7109375" style="2" customWidth="1"/>
    <col min="5" max="5" width="15.85546875" style="2" customWidth="1"/>
    <col min="6" max="6" width="11.42578125" style="2"/>
    <col min="7" max="7" width="22.5703125" style="2" customWidth="1"/>
    <col min="8" max="8" width="11.7109375" style="2" bestFit="1" customWidth="1"/>
    <col min="9" max="16384" width="11.42578125" style="2"/>
  </cols>
  <sheetData>
    <row r="1" spans="1:10">
      <c r="A1" s="1">
        <f>'NOTE 1'!B1</f>
        <v>0</v>
      </c>
      <c r="B1" s="1649"/>
      <c r="C1" s="1649"/>
      <c r="D1" s="1649"/>
      <c r="E1" s="1649"/>
      <c r="F1" s="1649"/>
      <c r="G1" s="1649"/>
      <c r="H1" s="1649"/>
    </row>
    <row r="2" spans="1:10">
      <c r="A2" s="1">
        <f>A1+1</f>
        <v>1</v>
      </c>
      <c r="B2" s="144"/>
      <c r="C2" s="144"/>
      <c r="D2" s="144"/>
      <c r="E2" s="144"/>
      <c r="F2" s="144"/>
      <c r="G2" s="1650" t="str">
        <f>IF([1]ACCUEIL!B1=1,"NOTE 2
NORMAL SYSTEM","NOTE 2
SYSTEME NORMAL")</f>
        <v>NOTE 2
SYSTEME NORMAL</v>
      </c>
      <c r="H2" s="1651"/>
    </row>
    <row r="3" spans="1:10">
      <c r="B3" s="144"/>
      <c r="C3" s="144"/>
      <c r="D3" s="144"/>
      <c r="E3" s="312"/>
      <c r="F3" s="144"/>
      <c r="G3" s="1652"/>
      <c r="H3" s="1653"/>
    </row>
    <row r="4" spans="1:10" ht="15.75">
      <c r="B4" s="43" t="str">
        <f>'NOTE 1'!B4</f>
        <v>Désignation entité:</v>
      </c>
      <c r="C4" s="445" t="str">
        <f>'NOTE 1'!C4</f>
        <v/>
      </c>
      <c r="D4" s="445"/>
      <c r="E4" s="446"/>
      <c r="F4" s="446"/>
      <c r="G4" s="446"/>
      <c r="H4" s="446"/>
      <c r="I4" s="9"/>
      <c r="J4" s="9"/>
    </row>
    <row r="5" spans="1:10" ht="19.5" customHeight="1">
      <c r="B5" s="315" t="str">
        <f>'NOTE 1'!B5</f>
        <v>Sigle usuel :</v>
      </c>
      <c r="C5" s="447" t="str">
        <f>'NOTE 1'!C5</f>
        <v/>
      </c>
      <c r="D5" s="448"/>
      <c r="E5" s="449"/>
      <c r="F5" s="450"/>
      <c r="G5" s="450"/>
      <c r="H5" s="450"/>
      <c r="I5" s="451"/>
      <c r="J5" s="451"/>
    </row>
    <row r="6" spans="1:10" ht="19.5" customHeight="1">
      <c r="B6" s="43" t="str">
        <f>'NOTE 1'!B6</f>
        <v>Adresse:</v>
      </c>
      <c r="C6" s="445">
        <f>'NOTE 1'!C6</f>
        <v>0</v>
      </c>
      <c r="D6" s="450"/>
      <c r="E6" s="450"/>
      <c r="F6" s="448"/>
      <c r="G6" s="317" t="str">
        <f>'NOTE 1'!G6</f>
        <v>BP:</v>
      </c>
      <c r="H6" s="452" t="str">
        <f>'NOTE 1'!H6</f>
        <v/>
      </c>
      <c r="I6" s="451"/>
      <c r="J6" s="451"/>
    </row>
    <row r="7" spans="1:10" ht="4.5" customHeight="1">
      <c r="B7" s="43"/>
      <c r="C7" s="453"/>
      <c r="D7" s="453"/>
      <c r="E7" s="453"/>
      <c r="F7" s="144"/>
      <c r="G7" s="144"/>
      <c r="H7" s="144"/>
      <c r="I7" s="451"/>
      <c r="J7" s="451"/>
    </row>
    <row r="8" spans="1:10" ht="15.75">
      <c r="B8" s="43" t="str">
        <f>'NOTE 1'!B7</f>
        <v>Numéro d'identification:</v>
      </c>
      <c r="C8" s="445" t="str">
        <f>'NOTE 1'!C7</f>
        <v/>
      </c>
      <c r="D8" s="1654" t="str">
        <f>'NOTE 1'!D7:E7</f>
        <v xml:space="preserve">   Exercice clos le 31 - 12- </v>
      </c>
      <c r="E8" s="1654"/>
      <c r="F8" s="445">
        <f>'NOTE 1'!F7</f>
        <v>2025</v>
      </c>
      <c r="G8" s="318" t="str">
        <f>'NOTE 1'!G7</f>
        <v xml:space="preserve">    Durée (en mois):</v>
      </c>
      <c r="H8" s="445">
        <f>'NOTE 1'!H7</f>
        <v>12</v>
      </c>
      <c r="I8" s="9"/>
      <c r="J8" s="9"/>
    </row>
    <row r="9" spans="1:10" ht="11.25" customHeight="1">
      <c r="B9" s="43"/>
      <c r="C9" s="43"/>
      <c r="D9" s="43"/>
      <c r="E9" s="43"/>
      <c r="F9" s="43"/>
      <c r="G9" s="43"/>
      <c r="H9" s="43"/>
      <c r="I9" s="9"/>
      <c r="J9" s="9"/>
    </row>
    <row r="10" spans="1:10" ht="5.25" customHeight="1">
      <c r="B10" s="319"/>
      <c r="C10" s="43"/>
      <c r="D10" s="43"/>
      <c r="E10" s="43"/>
      <c r="F10" s="43"/>
      <c r="G10" s="43"/>
      <c r="H10" s="43"/>
    </row>
    <row r="11" spans="1:10">
      <c r="B11" s="1617" t="str">
        <f>IF([1]ACCUEIL!B1=1,"NOTE 2 MANDATORY INFORMATION","NOTE 2 INFORMATIONS OBLIGATOIRES")</f>
        <v>NOTE 2 INFORMATIONS OBLIGATOIRES</v>
      </c>
      <c r="C11" s="1617"/>
      <c r="D11" s="1617"/>
      <c r="E11" s="1617"/>
      <c r="F11" s="1617"/>
      <c r="G11" s="1617"/>
      <c r="H11" s="1617"/>
    </row>
    <row r="12" spans="1:10" ht="15.75" thickBot="1">
      <c r="B12" s="454"/>
      <c r="C12" s="144"/>
      <c r="D12" s="144"/>
      <c r="E12" s="312"/>
      <c r="F12" s="144"/>
      <c r="G12" s="144"/>
      <c r="H12" s="144"/>
    </row>
    <row r="13" spans="1:10" ht="18" customHeight="1">
      <c r="B13" s="1677" t="str">
        <f>IF([1]ACCUEIL!B1=1,"A-DECLARATION OF CONFORMITY WITH SYSCOHADA","A-DECLARATION DE CONFORMITE AU SYSCOHADA")</f>
        <v>A-DECLARATION DE CONFORMITE AU SYSCOHADA</v>
      </c>
      <c r="C13" s="1678"/>
      <c r="D13" s="1678"/>
      <c r="E13" s="1678"/>
      <c r="F13" s="1678"/>
      <c r="G13" s="1678"/>
      <c r="H13" s="1679"/>
    </row>
    <row r="14" spans="1:10" ht="18" customHeight="1">
      <c r="B14" s="1674" t="str">
        <f>'[1]NOTE 2'!B14:H14</f>
        <v xml:space="preserve">Les états financiers sont établis en conformité avec le système comptable OHADA et l'acte uniforme relatif au droit comptable et à </v>
      </c>
      <c r="C14" s="1675"/>
      <c r="D14" s="1675"/>
      <c r="E14" s="1675"/>
      <c r="F14" s="1675"/>
      <c r="G14" s="1675"/>
      <c r="H14" s="1676"/>
    </row>
    <row r="15" spans="1:10" ht="18" customHeight="1">
      <c r="B15" s="1674" t="str">
        <f>'[1]NOTE 2'!B15:H15</f>
        <v>l'information financière,</v>
      </c>
      <c r="C15" s="1675"/>
      <c r="D15" s="1675"/>
      <c r="E15" s="1675"/>
      <c r="F15" s="1675"/>
      <c r="G15" s="1675"/>
      <c r="H15" s="1676"/>
    </row>
    <row r="16" spans="1:10" ht="18" customHeight="1">
      <c r="B16" s="1674">
        <f>'[1]NOTE 2'!B16:H16</f>
        <v>0</v>
      </c>
      <c r="C16" s="1675"/>
      <c r="D16" s="1675"/>
      <c r="E16" s="1675"/>
      <c r="F16" s="1675"/>
      <c r="G16" s="1675"/>
      <c r="H16" s="1676"/>
    </row>
    <row r="17" spans="2:8" ht="18" customHeight="1">
      <c r="B17" s="1674">
        <f>'[1]NOTE 2'!B17:H17</f>
        <v>0</v>
      </c>
      <c r="C17" s="1675"/>
      <c r="D17" s="1675"/>
      <c r="E17" s="1675"/>
      <c r="F17" s="1675"/>
      <c r="G17" s="1675"/>
      <c r="H17" s="1676"/>
    </row>
    <row r="18" spans="2:8" ht="18" customHeight="1">
      <c r="B18" s="1674">
        <f>'[1]NOTE 2'!B18:H18</f>
        <v>0</v>
      </c>
      <c r="C18" s="1675"/>
      <c r="D18" s="1675"/>
      <c r="E18" s="1675"/>
      <c r="F18" s="1675"/>
      <c r="G18" s="1675"/>
      <c r="H18" s="1676"/>
    </row>
    <row r="19" spans="2:8" ht="18" customHeight="1">
      <c r="B19" s="1674">
        <f>'[1]NOTE 2'!B19:H19</f>
        <v>0</v>
      </c>
      <c r="C19" s="1675"/>
      <c r="D19" s="1675"/>
      <c r="E19" s="1675"/>
      <c r="F19" s="1675"/>
      <c r="G19" s="1675"/>
      <c r="H19" s="1676"/>
    </row>
    <row r="20" spans="2:8" ht="18" customHeight="1">
      <c r="B20" s="1674">
        <f>'[1]NOTE 2'!B20:H20</f>
        <v>0</v>
      </c>
      <c r="C20" s="1675"/>
      <c r="D20" s="1675"/>
      <c r="E20" s="1675"/>
      <c r="F20" s="1675"/>
      <c r="G20" s="1675"/>
      <c r="H20" s="1676"/>
    </row>
    <row r="21" spans="2:8" ht="18" customHeight="1">
      <c r="B21" s="1674">
        <f>'[1]NOTE 2'!B21:H21</f>
        <v>0</v>
      </c>
      <c r="C21" s="1675"/>
      <c r="D21" s="1675"/>
      <c r="E21" s="1675"/>
      <c r="F21" s="1675"/>
      <c r="G21" s="1675"/>
      <c r="H21" s="1676"/>
    </row>
    <row r="22" spans="2:8" ht="18" customHeight="1">
      <c r="B22" s="1674">
        <f>'[1]NOTE 2'!B22:H22</f>
        <v>0</v>
      </c>
      <c r="C22" s="1675"/>
      <c r="D22" s="1675"/>
      <c r="E22" s="1675"/>
      <c r="F22" s="1675"/>
      <c r="G22" s="1675"/>
      <c r="H22" s="1676"/>
    </row>
    <row r="23" spans="2:8" ht="18" customHeight="1">
      <c r="B23" s="1674">
        <f>'[1]NOTE 2'!B23:H23</f>
        <v>0</v>
      </c>
      <c r="C23" s="1675"/>
      <c r="D23" s="1675"/>
      <c r="E23" s="1675"/>
      <c r="F23" s="1675"/>
      <c r="G23" s="1675"/>
      <c r="H23" s="1676"/>
    </row>
    <row r="24" spans="2:8" ht="18" customHeight="1">
      <c r="B24" s="1683" t="str">
        <f>IF([1]ACCUEIL!B1=1,"B - ACCOUNTING RULES AND METHODS","B - REGLES ET METHODES COMPTABLES")</f>
        <v>B - REGLES ET METHODES COMPTABLES</v>
      </c>
      <c r="C24" s="1684"/>
      <c r="D24" s="1684"/>
      <c r="E24" s="1684"/>
      <c r="F24" s="1684"/>
      <c r="G24" s="1684"/>
      <c r="H24" s="1685"/>
    </row>
    <row r="25" spans="2:8" ht="18" customHeight="1">
      <c r="B25" s="1680" t="str">
        <f>'[1]NOTE 2'!B25:H25</f>
        <v>Les états financiers ont été confectionnés dans le respect des postulats, conventions et des règles d'évaluation édictés par le</v>
      </c>
      <c r="C25" s="1681"/>
      <c r="D25" s="1681"/>
      <c r="E25" s="1681"/>
      <c r="F25" s="1681"/>
      <c r="G25" s="1681"/>
      <c r="H25" s="1682"/>
    </row>
    <row r="26" spans="2:8" ht="18" customHeight="1">
      <c r="B26" s="1680" t="str">
        <f>'[1]NOTE 2'!B26:H26</f>
        <v>SYSCOHADA et l'acte uniforme</v>
      </c>
      <c r="C26" s="1681"/>
      <c r="D26" s="1681"/>
      <c r="E26" s="1681"/>
      <c r="F26" s="1681"/>
      <c r="G26" s="1681"/>
      <c r="H26" s="1682"/>
    </row>
    <row r="27" spans="2:8" ht="18" customHeight="1">
      <c r="B27" s="1680">
        <f>'[1]NOTE 2'!B27:H27</f>
        <v>0</v>
      </c>
      <c r="C27" s="1681"/>
      <c r="D27" s="1681"/>
      <c r="E27" s="1681"/>
      <c r="F27" s="1681"/>
      <c r="G27" s="1681"/>
      <c r="H27" s="1682"/>
    </row>
    <row r="28" spans="2:8" ht="18" customHeight="1">
      <c r="B28" s="1680">
        <f>'[1]NOTE 2'!B28:H28</f>
        <v>0</v>
      </c>
      <c r="C28" s="1681"/>
      <c r="D28" s="1681"/>
      <c r="E28" s="1681"/>
      <c r="F28" s="1681"/>
      <c r="G28" s="1681"/>
      <c r="H28" s="1682"/>
    </row>
    <row r="29" spans="2:8" ht="18" customHeight="1">
      <c r="B29" s="1680">
        <f>'[1]NOTE 2'!B29:H29</f>
        <v>0</v>
      </c>
      <c r="C29" s="1681"/>
      <c r="D29" s="1681"/>
      <c r="E29" s="1681"/>
      <c r="F29" s="1681"/>
      <c r="G29" s="1681"/>
      <c r="H29" s="1682"/>
    </row>
    <row r="30" spans="2:8" ht="18" customHeight="1">
      <c r="B30" s="1680">
        <f>'[1]NOTE 2'!B30:H30</f>
        <v>0</v>
      </c>
      <c r="C30" s="1681"/>
      <c r="D30" s="1681"/>
      <c r="E30" s="1681"/>
      <c r="F30" s="1681"/>
      <c r="G30" s="1681"/>
      <c r="H30" s="1682"/>
    </row>
    <row r="31" spans="2:8" ht="18" customHeight="1">
      <c r="B31" s="1680">
        <f>'[1]NOTE 2'!B31:H31</f>
        <v>0</v>
      </c>
      <c r="C31" s="1681"/>
      <c r="D31" s="1681"/>
      <c r="E31" s="1681"/>
      <c r="F31" s="1681"/>
      <c r="G31" s="1681"/>
      <c r="H31" s="1682"/>
    </row>
    <row r="32" spans="2:8" ht="18" customHeight="1">
      <c r="B32" s="1680">
        <f>'[1]NOTE 2'!B32:H32</f>
        <v>0</v>
      </c>
      <c r="C32" s="1681"/>
      <c r="D32" s="1681"/>
      <c r="E32" s="1681"/>
      <c r="F32" s="1681"/>
      <c r="G32" s="1681"/>
      <c r="H32" s="1682"/>
    </row>
    <row r="33" spans="2:8" ht="18" customHeight="1">
      <c r="B33" s="1680">
        <f>'[1]NOTE 2'!B33:H33</f>
        <v>0</v>
      </c>
      <c r="C33" s="1681"/>
      <c r="D33" s="1681"/>
      <c r="E33" s="1681"/>
      <c r="F33" s="1681"/>
      <c r="G33" s="1681"/>
      <c r="H33" s="1682"/>
    </row>
    <row r="34" spans="2:8" ht="18" customHeight="1">
      <c r="B34" s="1680">
        <f>'[1]NOTE 2'!B34:H34</f>
        <v>0</v>
      </c>
      <c r="C34" s="1681"/>
      <c r="D34" s="1681"/>
      <c r="E34" s="1681"/>
      <c r="F34" s="1681"/>
      <c r="G34" s="1681"/>
      <c r="H34" s="1682"/>
    </row>
    <row r="35" spans="2:8" ht="18" customHeight="1">
      <c r="B35" s="1683" t="str">
        <f>IF([1]ACCUEIL!B1=1,"C - DEROGATION FROM ACCOUNTING ASSUMPTIONS AND POLICIES","C - DEROGATION AUX POSTULATS ET CONVENTIONS COMPTABLES")</f>
        <v>C - DEROGATION AUX POSTULATS ET CONVENTIONS COMPTABLES</v>
      </c>
      <c r="C35" s="1684"/>
      <c r="D35" s="1684"/>
      <c r="E35" s="1684"/>
      <c r="F35" s="1684"/>
      <c r="G35" s="1684"/>
      <c r="H35" s="1685"/>
    </row>
    <row r="36" spans="2:8" ht="18" customHeight="1">
      <c r="B36" s="1680" t="str">
        <f>'[1]NOTE 2'!B36:H36</f>
        <v>Respect de tous les postulats et conventions comptables sans aucune dérogation</v>
      </c>
      <c r="C36" s="1681"/>
      <c r="D36" s="1681"/>
      <c r="E36" s="1681"/>
      <c r="F36" s="1681"/>
      <c r="G36" s="1681"/>
      <c r="H36" s="1682"/>
    </row>
    <row r="37" spans="2:8" ht="18" customHeight="1">
      <c r="B37" s="1680">
        <f>'[1]NOTE 2'!B37:H37</f>
        <v>0</v>
      </c>
      <c r="C37" s="1681"/>
      <c r="D37" s="1681"/>
      <c r="E37" s="1681"/>
      <c r="F37" s="1681"/>
      <c r="G37" s="1681"/>
      <c r="H37" s="1682"/>
    </row>
    <row r="38" spans="2:8" ht="18" customHeight="1">
      <c r="B38" s="1680">
        <f>'[1]NOTE 2'!B38:H38</f>
        <v>0</v>
      </c>
      <c r="C38" s="1681"/>
      <c r="D38" s="1681"/>
      <c r="E38" s="1681"/>
      <c r="F38" s="1681"/>
      <c r="G38" s="1681"/>
      <c r="H38" s="1682"/>
    </row>
    <row r="39" spans="2:8" ht="18" customHeight="1">
      <c r="B39" s="1680">
        <f>'[1]NOTE 2'!B39:H39</f>
        <v>0</v>
      </c>
      <c r="C39" s="1681"/>
      <c r="D39" s="1681"/>
      <c r="E39" s="1681"/>
      <c r="F39" s="1681"/>
      <c r="G39" s="1681"/>
      <c r="H39" s="1682"/>
    </row>
    <row r="40" spans="2:8" ht="18" customHeight="1">
      <c r="B40" s="1680">
        <f>'[1]NOTE 2'!B40:H40</f>
        <v>0</v>
      </c>
      <c r="C40" s="1681"/>
      <c r="D40" s="1681"/>
      <c r="E40" s="1681"/>
      <c r="F40" s="1681"/>
      <c r="G40" s="1681"/>
      <c r="H40" s="1682"/>
    </row>
    <row r="41" spans="2:8" ht="18" customHeight="1">
      <c r="B41" s="1680">
        <f>'[1]NOTE 2'!B41:H41</f>
        <v>0</v>
      </c>
      <c r="C41" s="1681"/>
      <c r="D41" s="1681"/>
      <c r="E41" s="1681"/>
      <c r="F41" s="1681"/>
      <c r="G41" s="1681"/>
      <c r="H41" s="1682"/>
    </row>
    <row r="42" spans="2:8" ht="18" customHeight="1">
      <c r="B42" s="1680">
        <f>'[1]NOTE 2'!B42:H42</f>
        <v>0</v>
      </c>
      <c r="C42" s="1681"/>
      <c r="D42" s="1681"/>
      <c r="E42" s="1681"/>
      <c r="F42" s="1681"/>
      <c r="G42" s="1681"/>
      <c r="H42" s="1682"/>
    </row>
    <row r="43" spans="2:8" ht="18" customHeight="1">
      <c r="B43" s="1680">
        <f>'[1]NOTE 2'!B43:H43</f>
        <v>0</v>
      </c>
      <c r="C43" s="1681"/>
      <c r="D43" s="1681"/>
      <c r="E43" s="1681"/>
      <c r="F43" s="1681"/>
      <c r="G43" s="1681"/>
      <c r="H43" s="1682"/>
    </row>
    <row r="44" spans="2:8" ht="18" customHeight="1">
      <c r="B44" s="1680">
        <f>'[1]NOTE 2'!B44:H44</f>
        <v>0</v>
      </c>
      <c r="C44" s="1681"/>
      <c r="D44" s="1681"/>
      <c r="E44" s="1681"/>
      <c r="F44" s="1681"/>
      <c r="G44" s="1681"/>
      <c r="H44" s="1682"/>
    </row>
    <row r="45" spans="2:8" ht="18" customHeight="1">
      <c r="B45" s="1680">
        <f>'[1]NOTE 2'!B45:H45</f>
        <v>0</v>
      </c>
      <c r="C45" s="1681"/>
      <c r="D45" s="1681"/>
      <c r="E45" s="1681"/>
      <c r="F45" s="1681"/>
      <c r="G45" s="1681"/>
      <c r="H45" s="1682"/>
    </row>
    <row r="46" spans="2:8" ht="18" customHeight="1">
      <c r="B46" s="1680">
        <f>'[1]NOTE 2'!B46:H46</f>
        <v>0</v>
      </c>
      <c r="C46" s="1681"/>
      <c r="D46" s="1681"/>
      <c r="E46" s="1681"/>
      <c r="F46" s="1681"/>
      <c r="G46" s="1681"/>
      <c r="H46" s="1682"/>
    </row>
    <row r="47" spans="2:8" ht="18" customHeight="1">
      <c r="B47" s="1686" t="str">
        <f>IF([1]ACCUEIL!B1=1,"ADDITIONAL INFORMATION ON THE BALANCE SHEET, INCOME","D-INFORMATIONS COMPLEMENTAIRES RELATIVES AU BILAN, AU COMPTE DE ")</f>
        <v xml:space="preserve">D-INFORMATIONS COMPLEMENTAIRES RELATIVES AU BILAN, AU COMPTE DE </v>
      </c>
      <c r="C47" s="1687"/>
      <c r="D47" s="1687"/>
      <c r="E47" s="1687"/>
      <c r="F47" s="1687"/>
      <c r="G47" s="1687"/>
      <c r="H47" s="1688"/>
    </row>
    <row r="48" spans="2:8" ht="18" customHeight="1">
      <c r="B48" s="1689" t="str">
        <f>IF([1]ACCUEIL!B1=1,"STATEMENT AND CASH FLOW STATEMENT","RESULTAT ET AU TABLEAU DES FLUX DE TRESORERIE")</f>
        <v>RESULTAT ET AU TABLEAU DES FLUX DE TRESORERIE</v>
      </c>
      <c r="C48" s="1690"/>
      <c r="D48" s="1690"/>
      <c r="E48" s="1690"/>
      <c r="F48" s="1690"/>
      <c r="G48" s="1690"/>
      <c r="H48" s="1691"/>
    </row>
    <row r="49" spans="2:8" ht="18" customHeight="1">
      <c r="B49" s="1680" t="str">
        <f>'[1]NOTE 2'!B49:H49</f>
        <v>Pas d'informations complémantaires relatives aux autres états financiers</v>
      </c>
      <c r="C49" s="1681"/>
      <c r="D49" s="1681"/>
      <c r="E49" s="1681"/>
      <c r="F49" s="1681"/>
      <c r="G49" s="1681"/>
      <c r="H49" s="1682"/>
    </row>
    <row r="50" spans="2:8" ht="18" customHeight="1">
      <c r="B50" s="1680">
        <f>'[1]NOTE 2'!B50:H50</f>
        <v>0</v>
      </c>
      <c r="C50" s="1681"/>
      <c r="D50" s="1681"/>
      <c r="E50" s="1681"/>
      <c r="F50" s="1681"/>
      <c r="G50" s="1681"/>
      <c r="H50" s="1682"/>
    </row>
    <row r="51" spans="2:8" ht="18" customHeight="1">
      <c r="B51" s="1680">
        <f>'[1]NOTE 2'!B51:H51</f>
        <v>0</v>
      </c>
      <c r="C51" s="1681"/>
      <c r="D51" s="1681"/>
      <c r="E51" s="1681"/>
      <c r="F51" s="1681"/>
      <c r="G51" s="1681"/>
      <c r="H51" s="1682"/>
    </row>
    <row r="52" spans="2:8" ht="18" customHeight="1">
      <c r="B52" s="1680">
        <f>'[1]NOTE 2'!B52:H52</f>
        <v>0</v>
      </c>
      <c r="C52" s="1681"/>
      <c r="D52" s="1681"/>
      <c r="E52" s="1681"/>
      <c r="F52" s="1681"/>
      <c r="G52" s="1681"/>
      <c r="H52" s="1682"/>
    </row>
    <row r="53" spans="2:8" ht="18" customHeight="1">
      <c r="B53" s="1680">
        <f>'[1]NOTE 2'!B53:H53</f>
        <v>0</v>
      </c>
      <c r="C53" s="1681"/>
      <c r="D53" s="1681"/>
      <c r="E53" s="1681"/>
      <c r="F53" s="1681"/>
      <c r="G53" s="1681"/>
      <c r="H53" s="1682"/>
    </row>
    <row r="54" spans="2:8" ht="18" customHeight="1">
      <c r="B54" s="1680">
        <f>'[1]NOTE 2'!B54:H54</f>
        <v>0</v>
      </c>
      <c r="C54" s="1681"/>
      <c r="D54" s="1681"/>
      <c r="E54" s="1681"/>
      <c r="F54" s="1681"/>
      <c r="G54" s="1681"/>
      <c r="H54" s="1682"/>
    </row>
    <row r="55" spans="2:8" ht="18" customHeight="1">
      <c r="B55" s="1680">
        <f>'[1]NOTE 2'!B55:H55</f>
        <v>0</v>
      </c>
      <c r="C55" s="1681"/>
      <c r="D55" s="1681"/>
      <c r="E55" s="1681"/>
      <c r="F55" s="1681"/>
      <c r="G55" s="1681"/>
      <c r="H55" s="1682"/>
    </row>
    <row r="56" spans="2:8" ht="18" customHeight="1">
      <c r="B56" s="1680">
        <f>'[1]NOTE 2'!B56:H56</f>
        <v>0</v>
      </c>
      <c r="C56" s="1681"/>
      <c r="D56" s="1681"/>
      <c r="E56" s="1681"/>
      <c r="F56" s="1681"/>
      <c r="G56" s="1681"/>
      <c r="H56" s="1682"/>
    </row>
    <row r="57" spans="2:8" ht="18" customHeight="1">
      <c r="B57" s="1680">
        <f>'[1]NOTE 2'!B57:H57</f>
        <v>0</v>
      </c>
      <c r="C57" s="1681"/>
      <c r="D57" s="1681"/>
      <c r="E57" s="1681"/>
      <c r="F57" s="1681"/>
      <c r="G57" s="1681"/>
      <c r="H57" s="1682"/>
    </row>
    <row r="58" spans="2:8" ht="18" customHeight="1">
      <c r="B58" s="1692">
        <f>'[1]NOTE 2'!B58:H58</f>
        <v>0</v>
      </c>
      <c r="C58" s="1693"/>
      <c r="D58" s="1693"/>
      <c r="E58" s="1693"/>
      <c r="F58" s="1693"/>
      <c r="G58" s="1693"/>
      <c r="H58" s="1694"/>
    </row>
    <row r="59" spans="2:8" ht="18" customHeight="1" thickBot="1">
      <c r="B59" s="1695">
        <f>'[1]NOTE 2'!B59:H59</f>
        <v>0</v>
      </c>
      <c r="C59" s="1696"/>
      <c r="D59" s="1696"/>
      <c r="E59" s="1696"/>
      <c r="F59" s="1696"/>
      <c r="G59" s="1696"/>
      <c r="H59" s="1697"/>
    </row>
  </sheetData>
  <sheetProtection insertRows="0" selectLockedCells="1"/>
  <mergeCells count="51">
    <mergeCell ref="B57:H57"/>
    <mergeCell ref="B58:H58"/>
    <mergeCell ref="B59:H59"/>
    <mergeCell ref="B51:H51"/>
    <mergeCell ref="B52:H52"/>
    <mergeCell ref="B53:H53"/>
    <mergeCell ref="B54:H54"/>
    <mergeCell ref="B55:H55"/>
    <mergeCell ref="B56:H56"/>
    <mergeCell ref="B50:H50"/>
    <mergeCell ref="B39:H39"/>
    <mergeCell ref="B40:H40"/>
    <mergeCell ref="B41:H41"/>
    <mergeCell ref="B42:H42"/>
    <mergeCell ref="B43:H43"/>
    <mergeCell ref="B44:H44"/>
    <mergeCell ref="B45:H45"/>
    <mergeCell ref="B46:H46"/>
    <mergeCell ref="B47:H47"/>
    <mergeCell ref="B48:H48"/>
    <mergeCell ref="B49:H49"/>
    <mergeCell ref="B38:H38"/>
    <mergeCell ref="B27:H27"/>
    <mergeCell ref="B28:H28"/>
    <mergeCell ref="B29:H29"/>
    <mergeCell ref="B30:H30"/>
    <mergeCell ref="B31:H31"/>
    <mergeCell ref="B32:H32"/>
    <mergeCell ref="B33:H33"/>
    <mergeCell ref="B34:H34"/>
    <mergeCell ref="B35:H35"/>
    <mergeCell ref="B36:H36"/>
    <mergeCell ref="B37:H37"/>
    <mergeCell ref="B26:H26"/>
    <mergeCell ref="B15:H15"/>
    <mergeCell ref="B16:H16"/>
    <mergeCell ref="B17:H17"/>
    <mergeCell ref="B18:H18"/>
    <mergeCell ref="B19:H19"/>
    <mergeCell ref="B20:H20"/>
    <mergeCell ref="B21:H21"/>
    <mergeCell ref="B22:H22"/>
    <mergeCell ref="B23:H23"/>
    <mergeCell ref="B24:H24"/>
    <mergeCell ref="B25:H25"/>
    <mergeCell ref="B14:H14"/>
    <mergeCell ref="B1:H1"/>
    <mergeCell ref="G2:H3"/>
    <mergeCell ref="D8:E8"/>
    <mergeCell ref="B11:H11"/>
    <mergeCell ref="B13:H13"/>
  </mergeCells>
  <conditionalFormatting sqref="C7:E7 G6:H6 I6:J7 E5:J5 D6:E6">
    <cfRule type="expression" dxfId="47" priority="1">
      <formula>#REF!=1</formula>
    </cfRule>
  </conditionalFormatting>
  <printOptions horizontalCentered="1"/>
  <pageMargins left="0.78740157480314965" right="0" top="0.59055118110236227" bottom="0.19685039370078741" header="0.31496062992125984" footer="0.31496062992125984"/>
  <pageSetup paperSize="9" scale="76" fitToHeight="0" orientation="portrait" r:id="rId1"/>
  <headerFooter>
    <oddHeader>&amp;C&amp;"-,Gras"&amp;14Page &amp;P / &amp;N</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9">
    <pageSetUpPr fitToPage="1"/>
  </sheetPr>
  <dimension ref="A1:L43"/>
  <sheetViews>
    <sheetView showZeros="0" topLeftCell="A19" zoomScale="70" zoomScaleNormal="70" zoomScaleSheetLayoutView="80" workbookViewId="0">
      <selection activeCell="K37" sqref="K37"/>
    </sheetView>
  </sheetViews>
  <sheetFormatPr baseColWidth="10" defaultColWidth="11.42578125" defaultRowHeight="15"/>
  <cols>
    <col min="1" max="1" width="12" style="2" customWidth="1"/>
    <col min="2" max="2" width="25" style="2" customWidth="1"/>
    <col min="3" max="3" width="31.140625" style="2" customWidth="1"/>
    <col min="4" max="4" width="19.140625" style="2" customWidth="1"/>
    <col min="5" max="5" width="18.28515625" style="2" customWidth="1"/>
    <col min="6" max="6" width="17.28515625" style="2" customWidth="1"/>
    <col min="7" max="7" width="17.140625" style="2" customWidth="1"/>
    <col min="8" max="8" width="18" style="2" customWidth="1"/>
    <col min="9" max="9" width="23.140625" style="2" customWidth="1"/>
    <col min="10" max="10" width="20.7109375" style="2" customWidth="1"/>
    <col min="11" max="11" width="11.42578125" style="2"/>
    <col min="12" max="12" width="14.7109375" style="2" bestFit="1" customWidth="1"/>
    <col min="13" max="16384" width="11.42578125" style="2"/>
  </cols>
  <sheetData>
    <row r="1" spans="1:10">
      <c r="A1" s="1">
        <f>IF('[1]BALANCE N'!A3&gt;0,1,0)</f>
        <v>0</v>
      </c>
    </row>
    <row r="2" spans="1:10">
      <c r="A2" s="1">
        <f>'NOTE 2'!B1</f>
        <v>0</v>
      </c>
    </row>
    <row r="3" spans="1:10">
      <c r="A3" s="1">
        <f>A2+1</f>
        <v>1</v>
      </c>
    </row>
    <row r="4" spans="1:10">
      <c r="B4" s="1407"/>
      <c r="C4" s="1407"/>
      <c r="D4" s="1407"/>
      <c r="E4" s="1407"/>
      <c r="F4" s="1407"/>
      <c r="G4" s="1407"/>
      <c r="H4" s="1407"/>
      <c r="I4" s="1407"/>
      <c r="J4" s="1407"/>
    </row>
    <row r="5" spans="1:10" ht="15" customHeight="1">
      <c r="B5" s="144"/>
      <c r="C5" s="144"/>
      <c r="D5" s="144"/>
      <c r="E5" s="144"/>
      <c r="F5" s="144"/>
      <c r="G5" s="144"/>
      <c r="H5" s="144"/>
      <c r="I5" s="1650" t="str">
        <f>IF([1]ACCUEIL!B1=1,"NOTE 3 A
NORMAL SYSTEM","NOTE 3 A
SYSTEME NORMAL")</f>
        <v>NOTE 3 A
SYSTEME NORMAL</v>
      </c>
      <c r="J5" s="1651"/>
    </row>
    <row r="6" spans="1:10">
      <c r="B6" s="144"/>
      <c r="C6" s="144"/>
      <c r="D6" s="144"/>
      <c r="E6" s="312"/>
      <c r="F6" s="144"/>
      <c r="G6" s="144"/>
      <c r="H6" s="144"/>
      <c r="I6" s="1652"/>
      <c r="J6" s="1653"/>
    </row>
    <row r="7" spans="1:10">
      <c r="B7" s="43" t="str">
        <f>'NOTE 2'!B4</f>
        <v>Désignation entité:</v>
      </c>
      <c r="C7" s="313" t="str">
        <f>'NOTE 2'!C4</f>
        <v/>
      </c>
      <c r="D7" s="313"/>
      <c r="E7" s="428"/>
      <c r="F7" s="43"/>
      <c r="G7" s="43"/>
      <c r="H7" s="43"/>
      <c r="I7" s="43"/>
      <c r="J7" s="43"/>
    </row>
    <row r="8" spans="1:10">
      <c r="B8" s="315" t="str">
        <f>'NOTE 2'!B5</f>
        <v>Sigle usuel :</v>
      </c>
      <c r="C8" s="402" t="str">
        <f>'NOTE 2'!C5</f>
        <v/>
      </c>
      <c r="D8" s="175"/>
      <c r="E8" s="455"/>
      <c r="F8" s="455"/>
      <c r="G8" s="455"/>
      <c r="H8" s="1700"/>
      <c r="I8" s="1700"/>
      <c r="J8" s="1700"/>
    </row>
    <row r="9" spans="1:10">
      <c r="B9" s="43" t="str">
        <f>'NOTE 2'!B6</f>
        <v>Adresse:</v>
      </c>
      <c r="C9" s="402">
        <f>'NOTE 2'!C6</f>
        <v>0</v>
      </c>
      <c r="D9" s="402"/>
      <c r="E9" s="316"/>
      <c r="F9" s="428"/>
      <c r="G9" s="175"/>
      <c r="H9" s="172"/>
      <c r="I9" s="317" t="str">
        <f>'NOTE 2'!G6</f>
        <v>BP:</v>
      </c>
      <c r="J9" s="456" t="str">
        <f>'NOTE 2'!H6</f>
        <v/>
      </c>
    </row>
    <row r="10" spans="1:10">
      <c r="B10" s="43" t="str">
        <f>'NOTE 2'!B8</f>
        <v>Numéro d'identification:</v>
      </c>
      <c r="C10" s="402" t="str">
        <f>'NOTE 2'!C8</f>
        <v/>
      </c>
      <c r="D10" s="175"/>
      <c r="E10" s="175"/>
      <c r="F10" s="1701" t="str">
        <f>'NOTE 2'!D8</f>
        <v xml:space="preserve">   Exercice clos le 31 - 12- </v>
      </c>
      <c r="G10" s="1701"/>
      <c r="H10" s="402">
        <f>'NOTE 2'!F8</f>
        <v>2025</v>
      </c>
      <c r="I10" s="318" t="str">
        <f>'NOTE 2'!G8</f>
        <v xml:space="preserve">    Durée (en mois):</v>
      </c>
      <c r="J10" s="402">
        <f>'NOTE 2'!H8</f>
        <v>12</v>
      </c>
    </row>
    <row r="11" spans="1:10" ht="9" customHeight="1">
      <c r="B11" s="43"/>
      <c r="C11" s="319"/>
      <c r="D11" s="319"/>
      <c r="E11" s="43"/>
      <c r="F11" s="43"/>
      <c r="G11" s="43"/>
      <c r="H11" s="43"/>
      <c r="I11" s="43"/>
      <c r="J11" s="43"/>
    </row>
    <row r="12" spans="1:10" ht="9" customHeight="1">
      <c r="B12" s="43"/>
      <c r="C12" s="43"/>
      <c r="D12" s="43"/>
      <c r="E12" s="43"/>
      <c r="F12" s="43"/>
      <c r="G12" s="43"/>
      <c r="H12" s="43"/>
      <c r="I12" s="43"/>
      <c r="J12" s="43"/>
    </row>
    <row r="13" spans="1:10">
      <c r="B13" s="1617" t="str">
        <f>IF([1]ACCUEIL!B1=1,"NOTE 3 A GROSS FIXED ASSETS","NOTE 3 A IMMOBILISATION BRUTE")</f>
        <v>NOTE 3 A IMMOBILISATION BRUTE</v>
      </c>
      <c r="C13" s="1617"/>
      <c r="D13" s="1617"/>
      <c r="E13" s="1617"/>
      <c r="F13" s="1617"/>
      <c r="G13" s="1617"/>
      <c r="H13" s="1617"/>
      <c r="I13" s="1617"/>
      <c r="J13" s="1617"/>
    </row>
    <row r="14" spans="1:10">
      <c r="B14" s="152"/>
      <c r="C14" s="144"/>
      <c r="D14" s="144"/>
      <c r="E14" s="312"/>
      <c r="F14" s="144"/>
      <c r="G14" s="144"/>
      <c r="H14" s="457"/>
      <c r="I14" s="457"/>
      <c r="J14" s="144"/>
    </row>
    <row r="15" spans="1:10" ht="15" customHeight="1">
      <c r="B15" s="458"/>
      <c r="C15" s="459" t="str">
        <f>IF([1]ACCUEIL!B1=1,"SITUATIONS AND MOVEMENTS","SITUATIONS ET MOUVEMENTS")</f>
        <v>SITUATIONS ET MOUVEMENTS</v>
      </c>
      <c r="D15" s="1702" t="str">
        <f>IF([1]ACCUEIL!B1=1,"AMOUNT Gross at the beginning of the financial year","MONTANT Brut à l'ouverture de l'exercice")</f>
        <v>MONTANT Brut à l'ouverture de l'exercice</v>
      </c>
      <c r="E15" s="1702" t="str">
        <f>IF([1]ACCUEIL!B1=1,"Acquisition Creative contributions","Acquisition Apports créations")</f>
        <v>Acquisition Apports créations</v>
      </c>
      <c r="F15" s="1702" t="str">
        <f>IF([1]ACCUEIL!B1=1,"Item-to-item transfers","Virements de poste à poste")</f>
        <v>Virements de poste à poste</v>
      </c>
      <c r="G15" s="1703" t="str">
        <f>IF([1]ACCUEIL!B1=1,"Following a revaluation carried out during the financial year","Suite à une réévaluation pratiquée au cour de l'exercice")</f>
        <v>Suite à une réévaluation pratiquée au cour de l'exercice</v>
      </c>
      <c r="H15" s="1702" t="str">
        <f>IF([1]ACCUEIL!B1=1,"Disposal Split Out of Service","Cession Scission Hors Service")</f>
        <v>Cession Scission Hors Service</v>
      </c>
      <c r="I15" s="1702" t="str">
        <f>IF([1]ACCUEIL!B1=1,"Item-to-item transfers","Virements de poste à poste")</f>
        <v>Virements de poste à poste</v>
      </c>
      <c r="J15" s="1702" t="str">
        <f>IF([1]ACCUEIL!B1=1,"GROSS AMOUNT at the end of the financial year","MONTANT BRUT à la clôture de l'exercice")</f>
        <v>MONTANT BRUT à la clôture de l'exercice</v>
      </c>
    </row>
    <row r="16" spans="1:10" ht="51" customHeight="1">
      <c r="B16" s="1705" t="str">
        <f>IF([1]ACCUEIL!B1=1,"     HEADINGS","      RUBRIQUES")</f>
        <v xml:space="preserve">      RUBRIQUES</v>
      </c>
      <c r="C16" s="1706"/>
      <c r="D16" s="1702"/>
      <c r="E16" s="1702"/>
      <c r="F16" s="1702"/>
      <c r="G16" s="1704"/>
      <c r="H16" s="1702"/>
      <c r="I16" s="1702"/>
      <c r="J16" s="1702"/>
    </row>
    <row r="17" spans="2:12" s="9" customFormat="1" ht="20.45" customHeight="1">
      <c r="B17" s="1707" t="str">
        <f>IF([1]ACCUEIL!B1=1,"INTANGIBLE ASSETS","IMMOBILISATIONS INCORPORELLES")</f>
        <v>IMMOBILISATIONS INCORPORELLES</v>
      </c>
      <c r="C17" s="1708"/>
      <c r="D17" s="1313">
        <f>SUM(D18:D21)</f>
        <v>0</v>
      </c>
      <c r="E17" s="1313">
        <f t="shared" ref="E17:J17" si="0">SUM(E18:E21)</f>
        <v>0</v>
      </c>
      <c r="F17" s="1313">
        <f>SUM(F18:F21)</f>
        <v>0</v>
      </c>
      <c r="G17" s="1313">
        <f>SUM(G18:G21)</f>
        <v>0</v>
      </c>
      <c r="H17" s="1313">
        <f t="shared" si="0"/>
        <v>0</v>
      </c>
      <c r="I17" s="1313">
        <f t="shared" si="0"/>
        <v>0</v>
      </c>
      <c r="J17" s="1313">
        <f t="shared" si="0"/>
        <v>0</v>
      </c>
    </row>
    <row r="18" spans="2:12" s="9" customFormat="1" ht="20.45" customHeight="1">
      <c r="B18" s="1698" t="str">
        <f>+IF([1]ACCUEIL!B1=1,"Development and prospecting costs","Frais de développement et de prospection")</f>
        <v>Frais de développement et de prospection</v>
      </c>
      <c r="C18" s="1699"/>
      <c r="D18" s="1308">
        <f>'[1]CLASSE 2'!E5+'[1]CLASSE 2'!E27+'[1]CLASSE 2'!E39</f>
        <v>0</v>
      </c>
      <c r="E18" s="1309">
        <f>IF('[1]CLASSE 2'!G5+'[1]CLASSE 2'!G27+'[1]CLASSE 2'!G39&gt;0,'[1]CLASSE 2'!G5+'[1]CLASSE 2'!G27+'[1]CLASSE 2'!G39-F18-G18,0)</f>
        <v>0</v>
      </c>
      <c r="F18" s="1310">
        <f>'[1]NOTE 3 A'!F18</f>
        <v>0</v>
      </c>
      <c r="G18" s="1310">
        <f>'[1]NOTE 3 A'!G18</f>
        <v>0</v>
      </c>
      <c r="H18" s="1251">
        <f>'[1]CLASSE 2'!H5+'[1]CLASSE 2'!H27-I18</f>
        <v>0</v>
      </c>
      <c r="I18" s="1251">
        <f>'[1]NOTE 3 A'!I18</f>
        <v>0</v>
      </c>
      <c r="J18" s="1251">
        <f>ACTIF!H15</f>
        <v>0</v>
      </c>
      <c r="K18" s="1311"/>
    </row>
    <row r="19" spans="2:12" s="9" customFormat="1" ht="20.45" customHeight="1">
      <c r="B19" s="1698" t="str">
        <f>IF([1]ACCUEIL!B1=1,"Patents, licences, software and similar rights","Brevets, licences, logiciels, et droits similaires")</f>
        <v>Brevets, licences, logiciels, et droits similaires</v>
      </c>
      <c r="C19" s="1699"/>
      <c r="D19" s="1264">
        <f>'[1]CLASSE 2'!E15+'[1]CLASSE 2'!E21+'[1]CLASSE 2'!E22+'[1]CLASSE 2'!E41</f>
        <v>0</v>
      </c>
      <c r="E19" s="1251">
        <f>IF('[1]CLASSE 2'!G15+'[1]CLASSE 2'!G21+'[1]CLASSE 2'!G22+'[1]CLASSE 2'!G41&gt;0,'[1]CLASSE 2'!G15+'[1]CLASSE 2'!G21+'[1]CLASSE 2'!G22+'[1]CLASSE 2'!G41-F19-G19,0)</f>
        <v>0</v>
      </c>
      <c r="F19" s="1310">
        <f>'[1]NOTE 3 A'!F19</f>
        <v>0</v>
      </c>
      <c r="G19" s="1310">
        <f>'[1]NOTE 3 A'!G19</f>
        <v>0</v>
      </c>
      <c r="H19" s="1251">
        <f>'[1]CLASSE 2'!H15+'[1]CLASSE 2'!H21+'[1]CLASSE 2'!H22-I19</f>
        <v>0</v>
      </c>
      <c r="I19" s="1251">
        <f>'[1]NOTE 3 A'!I19</f>
        <v>0</v>
      </c>
      <c r="J19" s="1251">
        <f>ACTIF!H16</f>
        <v>0</v>
      </c>
    </row>
    <row r="20" spans="2:12" s="9" customFormat="1" ht="20.45" customHeight="1">
      <c r="B20" s="1698" t="str">
        <f>IF([1]ACCUEIL!B1=1,"Commercial property and tenancy law","Fonds commercial et droit au bail")</f>
        <v>Fonds commercial et droit au bail</v>
      </c>
      <c r="C20" s="1699"/>
      <c r="D20" s="1264">
        <f>'[1]CLASSE 2'!E23+'[1]CLASSE 2'!E24</f>
        <v>0</v>
      </c>
      <c r="E20" s="1251">
        <f>IF('[1]CLASSE 2'!G23+'[1]CLASSE 2'!G24&gt;0,'[1]CLASSE 2'!G23+'[1]CLASSE 2'!G24-F20-G20,0)</f>
        <v>0</v>
      </c>
      <c r="F20" s="1310">
        <f>'[1]NOTE 3 A'!F20</f>
        <v>0</v>
      </c>
      <c r="G20" s="1310">
        <f>'[1]NOTE 3 A'!G20</f>
        <v>0</v>
      </c>
      <c r="H20" s="1251">
        <f>'[1]CLASSE 2'!H23+'[1]CLASSE 2'!H24-I20</f>
        <v>0</v>
      </c>
      <c r="I20" s="1251">
        <f>'[1]NOTE 3 A'!I20</f>
        <v>0</v>
      </c>
      <c r="J20" s="1251">
        <f>ACTIF!H17</f>
        <v>0</v>
      </c>
    </row>
    <row r="21" spans="2:12" s="9" customFormat="1" ht="20.45" customHeight="1">
      <c r="B21" s="1698" t="str">
        <f>IF([1]ACCUEIL!B1=1,"Other intangible assets","Autres immobilisations incorporelles")</f>
        <v>Autres immobilisations incorporelles</v>
      </c>
      <c r="C21" s="1699"/>
      <c r="D21" s="1251">
        <f>'[1]CLASSE 2'!E25+'[1]CLASSE 2'!E29+'[1]CLASSE 2'!E31+'[1]CLASSE 2'!E33+'[1]CLASSE 2'!E35+'[1]CLASSE 2'!E43</f>
        <v>0</v>
      </c>
      <c r="E21" s="1251">
        <f>IF('[1]CLASSE 2'!G25+'[1]CLASSE 2'!G29+'[1]CLASSE 2'!G31+'[1]CLASSE 2'!G33+'[1]CLASSE 2'!G35+'[1]CLASSE 2'!G43&gt;0,'[1]CLASSE 2'!G25+'[1]CLASSE 2'!G29+'[1]CLASSE 2'!G31+'[1]CLASSE 2'!G33+'[1]CLASSE 2'!G35+'[1]CLASSE 2'!G43-F21-G21,0)</f>
        <v>0</v>
      </c>
      <c r="F21" s="1310">
        <f>'[1]NOTE 3 A'!F21</f>
        <v>0</v>
      </c>
      <c r="G21" s="1310">
        <f>'[1]NOTE 3 A'!G21</f>
        <v>0</v>
      </c>
      <c r="H21" s="1251">
        <f>'[1]CLASSE 2'!H25+'[1]CLASSE 2'!H29+'[1]CLASSE 2'!H31+'[1]CLASSE 2'!H33+'[1]CLASSE 2'!H35-I21</f>
        <v>0</v>
      </c>
      <c r="I21" s="1251">
        <f>'[1]NOTE 3 A'!I21</f>
        <v>0</v>
      </c>
      <c r="J21" s="1251">
        <f>ACTIF!H18</f>
        <v>0</v>
      </c>
    </row>
    <row r="22" spans="2:12" s="9" customFormat="1" ht="20.45" customHeight="1">
      <c r="B22" s="1707" t="str">
        <f>IF([1]ACCUEIL!B1=1,"TANGIBLE FIXED ASSETS","IMMOBILSATIONS CORPORELLES")</f>
        <v>IMMOBILSATIONS CORPORELLES</v>
      </c>
      <c r="C22" s="1708"/>
      <c r="D22" s="1267">
        <f>SUM(D23:D29)</f>
        <v>0</v>
      </c>
      <c r="E22" s="1267">
        <f t="shared" ref="E22:J22" si="1">SUM(E23:E29)</f>
        <v>0</v>
      </c>
      <c r="F22" s="1267">
        <f t="shared" si="1"/>
        <v>0</v>
      </c>
      <c r="G22" s="1267"/>
      <c r="H22" s="1267">
        <f t="shared" si="1"/>
        <v>0</v>
      </c>
      <c r="I22" s="1267">
        <f t="shared" si="1"/>
        <v>0</v>
      </c>
      <c r="J22" s="1267">
        <f t="shared" si="1"/>
        <v>0</v>
      </c>
    </row>
    <row r="23" spans="2:12" s="9" customFormat="1" ht="20.45" customHeight="1">
      <c r="B23" s="1698" t="str">
        <f>IF([1]ACCUEIL!B1=1,"Land excluding investment property","Terrains hors immeuble de placement")</f>
        <v>Terrains hors immeuble de placement</v>
      </c>
      <c r="C23" s="1699"/>
      <c r="D23" s="1308">
        <f>'[1]CLASSE 2'!E53+'[1]CLASSE 2'!E59+'[1]CLASSE 2'!E71+'[1]CLASSE 2'!E79+'[1]CLASSE 2'!E83+'[1]CLASSE 2'!E87+'[1]CLASSE 2'!E88+'[1]CLASSE 2'!E98-'[1]CLASSE 2'!E90+'[1]CLASSE 2'!E108</f>
        <v>0</v>
      </c>
      <c r="E23" s="1251">
        <f>IF('[1]CLASSE 2'!G53+'[1]CLASSE 2'!G59+'[1]CLASSE 2'!G71+'[1]CLASSE 2'!G79+'[1]CLASSE 2'!G83+'[1]CLASSE 2'!G87+'[1]CLASSE 2'!G88+'[1]CLASSE 2'!G98-'[1]CLASSE 2'!G90+'[1]CLASSE 2'!G108&gt;0,'[1]CLASSE 2'!G53+'[1]CLASSE 2'!G59+'[1]CLASSE 2'!G71+'[1]CLASSE 2'!G79+'[1]CLASSE 2'!G83+'[1]CLASSE 2'!G87+'[1]CLASSE 2'!G88+'[1]CLASSE 2'!G98-'[1]CLASSE 2'!G90+'[1]CLASSE 2'!G108-F23-G23,0)</f>
        <v>0</v>
      </c>
      <c r="F23" s="1312">
        <f>'[1]NOTE 3 A'!F23</f>
        <v>0</v>
      </c>
      <c r="G23" s="1312">
        <f>'[1]NOTE 3 A'!G23</f>
        <v>0</v>
      </c>
      <c r="H23" s="1309">
        <f>'[1]CLASSE 2'!H53+'[1]CLASSE 2'!H59+'[1]CLASSE 2'!H71+'[1]CLASSE 2'!H79+'[1]CLASSE 2'!H83+'[1]CLASSE 2'!H87+'[1]CLASSE 2'!H88+'[1]CLASSE 2'!H98-'[1]CLASSE 2'!H90-I23</f>
        <v>0</v>
      </c>
      <c r="I23" s="1251">
        <f>'[1]NOTE 3 A'!I23</f>
        <v>0</v>
      </c>
      <c r="J23" s="1251">
        <f>ACTIF!H20-'[1]CLASSE 2'!I90</f>
        <v>0</v>
      </c>
      <c r="K23" s="211"/>
    </row>
    <row r="24" spans="2:12" s="9" customFormat="1" ht="20.45" customHeight="1">
      <c r="B24" s="1698" t="str">
        <f>IF([1]ACCUEIL!B1=1,"Land investment property","Terrains  immeuble de placement")</f>
        <v>Terrains  immeuble de placement</v>
      </c>
      <c r="C24" s="1699"/>
      <c r="D24" s="1264">
        <f>'[1]CLASSE 2'!E90</f>
        <v>0</v>
      </c>
      <c r="E24" s="1251">
        <f>IF('[1]CLASSE 2'!G90&gt;0,'[1]CLASSE 2'!G90-F24-G24,0)</f>
        <v>0</v>
      </c>
      <c r="F24" s="1312">
        <f>'[1]NOTE 3 A'!F24</f>
        <v>0</v>
      </c>
      <c r="G24" s="1312">
        <f>'[1]NOTE 3 A'!G24</f>
        <v>0</v>
      </c>
      <c r="H24" s="1251">
        <f>'[1]CLASSE 2'!H90-I24</f>
        <v>0</v>
      </c>
      <c r="I24" s="1251">
        <f>'[1]NOTE 3 A'!I24</f>
        <v>0</v>
      </c>
      <c r="J24" s="1251">
        <f>'[1]CLASSE 2'!I90</f>
        <v>0</v>
      </c>
    </row>
    <row r="25" spans="2:12" s="9" customFormat="1" ht="20.45" customHeight="1">
      <c r="B25" s="1698" t="str">
        <f>IF([1]ACCUEIL!B1=1,"Buildings other than investment property","Bâtiments hors immeuble de placement")</f>
        <v>Bâtiments hors immeuble de placement</v>
      </c>
      <c r="C25" s="1699"/>
      <c r="D25" s="1264">
        <f>'[1]CLASSE 2'!E122+'[1]CLASSE 2'!E136+'[1]CLASSE 2'!E150+'[1]CLASSE 2'!E172+'[1]CLASSE 2'!E176-'[1]CLASSE 2'!E118-'[1]CLASSE 2'!E132+'[1]CLASSE 2'!E169</f>
        <v>0</v>
      </c>
      <c r="E25" s="1251">
        <f>IF('[1]CLASSE 2'!G122+'[1]CLASSE 2'!G136+'[1]CLASSE 2'!G150-'[1]CLASSE 2'!G118-'[1]CLASSE 2'!G132+'[1]CLASSE 2'!G169+'[1]CLASSE 2'!G172&gt;0,'[1]CLASSE 2'!G122+'[1]CLASSE 2'!G136+'[1]CLASSE 2'!G150-'[1]CLASSE 2'!G118-'[1]CLASSE 2'!G132+'[1]CLASSE 2'!G169+'[1]CLASSE 2'!G172-F25-G25,0)</f>
        <v>0</v>
      </c>
      <c r="F25" s="1312">
        <f>'[1]NOTE 3 A'!F25</f>
        <v>0</v>
      </c>
      <c r="G25" s="1312">
        <f>'[1]NOTE 3 A'!G25</f>
        <v>0</v>
      </c>
      <c r="H25" s="1251">
        <f>'[1]CLASSE 2'!H122+'[1]CLASSE 2'!H136+'[1]CLASSE 2'!H150-'[1]CLASSE 2'!H132+'[1]CLASSE 2'!H118+'[1]CLASSE 2'!H169-I25</f>
        <v>0</v>
      </c>
      <c r="I25" s="1251">
        <f>'[1]NOTE 3 A'!I25</f>
        <v>0</v>
      </c>
      <c r="J25" s="1251">
        <f>ACTIF!H22-'[1]CLASSE 2'!I132-'[1]CLASSE 2'!I118</f>
        <v>0</v>
      </c>
    </row>
    <row r="26" spans="2:12" s="9" customFormat="1" ht="20.45" customHeight="1">
      <c r="B26" s="1698" t="str">
        <f>IF([1]ACCUEIL!B1=1,"Buildings investment property","Bâtiments immeuble de placement")</f>
        <v>Bâtiments immeuble de placement</v>
      </c>
      <c r="C26" s="1699"/>
      <c r="D26" s="1251">
        <f>'[1]CLASSE 2'!E118+'[1]CLASSE 2'!E132</f>
        <v>0</v>
      </c>
      <c r="E26" s="1251">
        <f>IF('[1]CLASSE 2'!G118+'[1]CLASSE 2'!G132&gt;0,'[1]CLASSE 2'!G118+'[1]CLASSE 2'!G132-F26-G26,0)</f>
        <v>0</v>
      </c>
      <c r="F26" s="1312">
        <f>'[1]NOTE 3 A'!F26</f>
        <v>0</v>
      </c>
      <c r="G26" s="1312">
        <f>'[1]NOTE 3 A'!G26</f>
        <v>0</v>
      </c>
      <c r="H26" s="1251">
        <f>'[1]CLASSE 2'!H118+'[1]CLASSE 2'!H132-I26</f>
        <v>0</v>
      </c>
      <c r="I26" s="1251">
        <f>'[1]NOTE 3 A'!I26</f>
        <v>0</v>
      </c>
      <c r="J26" s="1251">
        <f>'[1]CLASSE 2'!I118+'[1]CLASSE 2'!I132</f>
        <v>0</v>
      </c>
    </row>
    <row r="27" spans="2:12" s="9" customFormat="1" ht="20.45" customHeight="1">
      <c r="B27" s="1698" t="str">
        <f>IF([1]ACCUEIL!B1=1,"Fittings, fixtures and installations","Aménagements, agencements et installations")</f>
        <v>Aménagements, agencements et installations</v>
      </c>
      <c r="C27" s="1699"/>
      <c r="D27" s="1308">
        <f>'[1]CLASSE 2'!E162+'[1]CLASSE 2'!E168+'[1]CLASSE 2'!E170+'[1]CLASSE 2'!E174+'[1]CLASSE 2'!E178+'[1]CLASSE 2'!E180+'[1]CLASSE 2'!E182+'[1]CLASSE 2'!E176</f>
        <v>0</v>
      </c>
      <c r="E27" s="1251">
        <f>IF('[1]CLASSE 2'!G162+'[1]CLASSE 2'!G168+'[1]CLASSE 2'!G170+'[1]CLASSE 2'!G174+'[1]CLASSE 2'!G178+'[1]CLASSE 2'!G180+'[1]CLASSE 2'!G182+'[1]CLASSE 2'!G176&gt;0,'[1]CLASSE 2'!G162+'[1]CLASSE 2'!G168+'[1]CLASSE 2'!G170+'[1]CLASSE 2'!G174+'[1]CLASSE 2'!G178+'[1]CLASSE 2'!G180+'[1]CLASSE 2'!G182+'[1]CLASSE 2'!G176-F27-G27,0)</f>
        <v>0</v>
      </c>
      <c r="F27" s="1312">
        <f>'[1]NOTE 3 A'!F27</f>
        <v>0</v>
      </c>
      <c r="G27" s="1312">
        <f>'[1]NOTE 3 A'!G27</f>
        <v>0</v>
      </c>
      <c r="H27" s="1251">
        <f>'[1]CLASSE 2'!H162+'[1]CLASSE 2'!H168+'[1]CLASSE 2'!H170-I27</f>
        <v>0</v>
      </c>
      <c r="I27" s="1251">
        <f>'[1]NOTE 3 A'!I27</f>
        <v>0</v>
      </c>
      <c r="J27" s="1251">
        <f>ACTIF!H24</f>
        <v>0</v>
      </c>
    </row>
    <row r="28" spans="2:12" s="9" customFormat="1" ht="20.45" customHeight="1">
      <c r="B28" s="1698" t="str">
        <f>IF([1]ACCUEIL!B1=1,"Equipment, furniture and biological assets","Matériel, mobilier et actifs biologiques")</f>
        <v>Matériel, mobilier et actifs biologiques</v>
      </c>
      <c r="C28" s="1699"/>
      <c r="D28" s="1264">
        <f>'[1]CLASSE 2'!E196+'[1]CLASSE 2'!E204+'[1]CLASSE 2'!E205+'[1]CLASSE 2'!E221+'[1]CLASSE 2'!E251+'[1]CLASSE 2'!E259+'[1]CLASSE 2'!E265+'[1]CLASSE 2'!E283-'[1]CLASSE 2'!E275</f>
        <v>0</v>
      </c>
      <c r="E28" s="1251">
        <f>IF('[1]CLASSE 2'!G196+'[1]CLASSE 2'!G204+'[1]CLASSE 2'!G205+'[1]CLASSE 2'!G221+'[1]CLASSE 2'!G251+'[1]CLASSE 2'!G259+'[1]CLASSE 2'!G265+'[1]CLASSE 2'!G283-'[1]CLASSE 2'!G275&gt;0,'[1]CLASSE 2'!G196+'[1]CLASSE 2'!G204+'[1]CLASSE 2'!G205+'[1]CLASSE 2'!G221+'[1]CLASSE 2'!G251+'[1]CLASSE 2'!G259+'[1]CLASSE 2'!G265+'[1]CLASSE 2'!G283-'[1]CLASSE 2'!G275-G28-F28,0)</f>
        <v>0</v>
      </c>
      <c r="F28" s="1312">
        <f>'[1]NOTE 3 A'!F28</f>
        <v>0</v>
      </c>
      <c r="G28" s="1312">
        <f>'[1]NOTE 3 A'!G28</f>
        <v>0</v>
      </c>
      <c r="H28" s="1251">
        <f>'[1]CLASSE 2'!H196+'[1]CLASSE 2'!H204+'[1]CLASSE 2'!H205+'[1]CLASSE 2'!H221+'[1]CLASSE 2'!H251+'[1]CLASSE 2'!H259+'[1]CLASSE 2'!H265-I28</f>
        <v>0</v>
      </c>
      <c r="I28" s="1251">
        <f>'[1]NOTE 3 A'!I28</f>
        <v>0</v>
      </c>
      <c r="J28" s="1251">
        <f>ACTIF!H25</f>
        <v>0</v>
      </c>
      <c r="K28" s="211"/>
    </row>
    <row r="29" spans="2:12" s="9" customFormat="1" ht="20.45" customHeight="1">
      <c r="B29" s="213" t="str">
        <f>IF([1]ACCUEIL!B1=1,"Transport equipment","Matériel de transport")</f>
        <v>Matériel de transport</v>
      </c>
      <c r="C29" s="215"/>
      <c r="D29" s="1264">
        <f>'[1]CLASSE 2'!E239+'[1]CLASSE 2'!E275</f>
        <v>0</v>
      </c>
      <c r="E29" s="1251">
        <f>IF('[1]CLASSE 2'!G239+'[1]CLASSE 2'!G275&gt;0,'[1]CLASSE 2'!G239+'[1]CLASSE 2'!G275-F29-G29,0)</f>
        <v>0</v>
      </c>
      <c r="F29" s="1312">
        <f>'[1]NOTE 3 A'!F29</f>
        <v>0</v>
      </c>
      <c r="G29" s="1312">
        <f>'[1]NOTE 3 A'!G29</f>
        <v>0</v>
      </c>
      <c r="H29" s="1251">
        <f>'[1]CLASSE 2'!H239-I29</f>
        <v>0</v>
      </c>
      <c r="I29" s="1251">
        <f>'[1]NOTE 3 A'!I29</f>
        <v>0</v>
      </c>
      <c r="J29" s="1251">
        <f>ACTIF!H26</f>
        <v>0</v>
      </c>
    </row>
    <row r="30" spans="2:12" ht="20.45" customHeight="1">
      <c r="B30" s="238" t="str">
        <f>IF([1]ACCUEIL!B1=1,"ADVANCES AND DOWN PAYMENTS ON FIXED ASSETS","AVANCES ET ACOMPTES VERSES SUR IMMOBILISATIONS")</f>
        <v>AVANCES ET ACOMPTES VERSES SUR IMMOBILISATIONS</v>
      </c>
      <c r="C30" s="460"/>
      <c r="D30" s="1314">
        <f>SUM(D31:D32)</f>
        <v>0</v>
      </c>
      <c r="E30" s="1314">
        <f t="shared" ref="E30:J30" si="2">SUM(E31:E32)</f>
        <v>0</v>
      </c>
      <c r="F30" s="1314">
        <f t="shared" si="2"/>
        <v>0</v>
      </c>
      <c r="G30" s="1314">
        <f t="shared" si="2"/>
        <v>0</v>
      </c>
      <c r="H30" s="1314">
        <f t="shared" si="2"/>
        <v>0</v>
      </c>
      <c r="I30" s="1314">
        <f t="shared" si="2"/>
        <v>0</v>
      </c>
      <c r="J30" s="1314">
        <f t="shared" si="2"/>
        <v>0</v>
      </c>
      <c r="K30" s="461" t="str">
        <f>IF(J30=ACTIF!H27,"","REVOYEZ LA VENTILATION DES AVANCES")</f>
        <v/>
      </c>
      <c r="L30" s="220"/>
    </row>
    <row r="31" spans="2:12" s="9" customFormat="1" ht="20.45" customHeight="1">
      <c r="B31" s="1698" t="str">
        <f>IF([1]ACCUEIL!B1=1,"Intangible fixed assets","Immobilisations incorporelles")</f>
        <v>Immobilisations incorporelles</v>
      </c>
      <c r="C31" s="1699"/>
      <c r="D31" s="1308">
        <f>'[1]CLASSE 2'!E284</f>
        <v>0</v>
      </c>
      <c r="E31" s="1251">
        <f>'[1]CLASSE 2'!G284-F31</f>
        <v>0</v>
      </c>
      <c r="F31" s="1251">
        <f>'[1]NOTE 3 A'!F34</f>
        <v>0</v>
      </c>
      <c r="G31" s="1309">
        <f>IF((D31+E31+F31-H31-I31-J31)&lt;0,-(D31+E31+F31-H31-I31-J31),0)</f>
        <v>0</v>
      </c>
      <c r="H31" s="1251"/>
      <c r="I31" s="1251">
        <f>'[1]CLASSE 2'!H284</f>
        <v>0</v>
      </c>
      <c r="J31" s="1251">
        <f>'[1]CLASSE 2'!I284</f>
        <v>0</v>
      </c>
      <c r="L31" s="211"/>
    </row>
    <row r="32" spans="2:12" s="9" customFormat="1" ht="20.45" customHeight="1">
      <c r="B32" s="1698" t="str">
        <f>IF([1]ACCUEIL!B1=1,"Property, plant and equipment","Immobilisations corporelles")</f>
        <v>Immobilisations corporelles</v>
      </c>
      <c r="C32" s="1699"/>
      <c r="D32" s="1264">
        <f>'[1]CLASSE 2'!E285</f>
        <v>0</v>
      </c>
      <c r="E32" s="1251">
        <f>'[1]CLASSE 2'!G285-F32</f>
        <v>0</v>
      </c>
      <c r="F32" s="1251">
        <f>'[1]NOTE 3 A'!F35</f>
        <v>0</v>
      </c>
      <c r="G32" s="1309">
        <f>IF((D32+E32+F32-H32-I32-J32)&lt;0,-(D32+E32+F32-H32-I32-J32),0)</f>
        <v>0</v>
      </c>
      <c r="H32" s="1251"/>
      <c r="I32" s="1251">
        <f>'[1]CLASSE 2'!H285</f>
        <v>0</v>
      </c>
      <c r="J32" s="1251">
        <f>'[1]CLASSE 2'!I285</f>
        <v>0</v>
      </c>
      <c r="L32" s="211"/>
    </row>
    <row r="33" spans="2:10" s="9" customFormat="1" ht="20.45" customHeight="1">
      <c r="B33" s="1707" t="str">
        <f>IF([1]ACCUEIL!B1=1,"FINANCIAL ASSETS","IMMOBILISATIONS FINANCIERES")</f>
        <v>IMMOBILISATIONS FINANCIERES</v>
      </c>
      <c r="C33" s="1708"/>
      <c r="D33" s="1267">
        <f>SUM(D34:D35)</f>
        <v>0</v>
      </c>
      <c r="E33" s="1267">
        <f t="shared" ref="E33:J33" si="3">SUM(E34:E35)</f>
        <v>0</v>
      </c>
      <c r="F33" s="1267">
        <f t="shared" si="3"/>
        <v>0</v>
      </c>
      <c r="G33" s="1267">
        <f>SUM(G34:G35)</f>
        <v>0</v>
      </c>
      <c r="H33" s="1267">
        <f t="shared" si="3"/>
        <v>0</v>
      </c>
      <c r="I33" s="1267">
        <f t="shared" si="3"/>
        <v>0</v>
      </c>
      <c r="J33" s="1267">
        <f t="shared" si="3"/>
        <v>0</v>
      </c>
    </row>
    <row r="34" spans="2:10" s="9" customFormat="1" ht="20.45" customHeight="1">
      <c r="B34" s="213" t="str">
        <f>IF([1]ACCUEIL!B1=1,"Equity securities","Titres de participation")</f>
        <v>Titres de participation</v>
      </c>
      <c r="C34" s="215"/>
      <c r="D34" s="1251">
        <f>SUM('[1]CLASSE 2'!E286:E291)</f>
        <v>0</v>
      </c>
      <c r="E34" s="1309">
        <f>SUM('[1]CLASSE 2'!G286:G291)-F34</f>
        <v>0</v>
      </c>
      <c r="F34" s="1309"/>
      <c r="G34" s="1309">
        <f>IF((D34+E34+F34-H34-I34-J34)&lt;0,-(D34+E34+F34-H34-I34-J34),0)</f>
        <v>0</v>
      </c>
      <c r="H34" s="1251">
        <f>SUM('[1]CLASSE 2'!H286:H291)-I34</f>
        <v>0</v>
      </c>
      <c r="I34" s="1251">
        <f>'[1]NOTE 3 A'!I34</f>
        <v>0</v>
      </c>
      <c r="J34" s="1251">
        <f>ACTIF!H29</f>
        <v>0</v>
      </c>
    </row>
    <row r="35" spans="2:10" s="9" customFormat="1" ht="20.45" customHeight="1">
      <c r="B35" s="1698" t="str">
        <f>IF([1]ACCUEIL!B1=1,"Other financial fixed assets","Autres immobilisations financières")</f>
        <v>Autres immobilisations financières</v>
      </c>
      <c r="C35" s="1699"/>
      <c r="D35" s="1264">
        <f>'[1]CLASSE 2'!E303+'[1]CLASSE 2'!E311+'[1]CLASSE 2'!E321+'[1]CLASSE 2'!E337+'[1]CLASSE 2'!E355+'[1]CLASSE 2'!E371+'[1]CLASSE 2'!E387+'[1]CLASSE 2'!E377</f>
        <v>0</v>
      </c>
      <c r="E35" s="1251">
        <f>'[1]CLASSE 2'!G303+'[1]CLASSE 2'!G311+'[1]CLASSE 2'!G321+'[1]CLASSE 2'!G337+'[1]CLASSE 2'!G355+'[1]CLASSE 2'!G377+'[1]CLASSE 2'!G387-F35+'[1]CLASSE 2'!G371</f>
        <v>0</v>
      </c>
      <c r="F35" s="1251"/>
      <c r="G35" s="1309">
        <f>IF((D35+E35+F35-H35-I35-J35)&lt;0,-(D35+E35+F35-H35-I35-J35),0)</f>
        <v>0</v>
      </c>
      <c r="H35" s="1251">
        <f>'[1]CLASSE 2'!H303+'[1]CLASSE 2'!H311+'[1]CLASSE 2'!H321+'[1]CLASSE 2'!H337+'[1]CLASSE 2'!H355+'[1]CLASSE 2'!H377+'[1]CLASSE 2'!H387+'[1]CLASSE 2'!H371-I35</f>
        <v>0</v>
      </c>
      <c r="I35" s="1251">
        <f>'[1]NOTE 3 A'!I35</f>
        <v>0</v>
      </c>
      <c r="J35" s="1251">
        <f>ACTIF!H30</f>
        <v>0</v>
      </c>
    </row>
    <row r="36" spans="2:10" s="9" customFormat="1" ht="20.45" customHeight="1">
      <c r="B36" s="206" t="s">
        <v>58</v>
      </c>
      <c r="C36" s="208"/>
      <c r="D36" s="1315">
        <f>D33+D30+D22+D17</f>
        <v>0</v>
      </c>
      <c r="E36" s="1267">
        <f t="shared" ref="E36:J36" si="4">E33+E30+E22+E17</f>
        <v>0</v>
      </c>
      <c r="F36" s="1267">
        <f t="shared" si="4"/>
        <v>0</v>
      </c>
      <c r="G36" s="1267">
        <f>IF('[1]CLASSE 1'!J55-'[1]CLASSE 1'!F55+'[1]CLASSE 1'!J126-'[1]CLASSE 1'!F126&gt;0,'[1]CLASSE 1'!J55-'[1]CLASSE 1'!F55+'[1]CLASSE 1'!J126-'[1]CLASSE 1'!F126,0)+'[1]CLASSE 1'!H133</f>
        <v>0</v>
      </c>
      <c r="H36" s="1267">
        <f>H33+H30+H22+H17</f>
        <v>0</v>
      </c>
      <c r="I36" s="1267">
        <f t="shared" si="4"/>
        <v>0</v>
      </c>
      <c r="J36" s="1267">
        <f t="shared" si="4"/>
        <v>0</v>
      </c>
    </row>
    <row r="37" spans="2:10" ht="20.45" customHeight="1">
      <c r="G37" s="220"/>
    </row>
    <row r="38" spans="2:10" ht="20.45" customHeight="1">
      <c r="B38" s="43" t="str">
        <f>'NOTE 1'!B51</f>
        <v>COMMENTAIRE</v>
      </c>
      <c r="C38" s="1709">
        <f>'[1]NOTE 3 A'!C38:J38</f>
        <v>0</v>
      </c>
      <c r="D38" s="1709"/>
      <c r="E38" s="1709"/>
      <c r="F38" s="1709"/>
      <c r="G38" s="1709"/>
      <c r="H38" s="1709"/>
      <c r="I38" s="1709"/>
      <c r="J38" s="1709"/>
    </row>
    <row r="39" spans="2:10" ht="20.45" customHeight="1">
      <c r="C39" s="1709">
        <f>'[1]NOTE 3 A'!C39:J39</f>
        <v>0</v>
      </c>
      <c r="D39" s="1709"/>
      <c r="E39" s="1709"/>
      <c r="F39" s="1709"/>
      <c r="G39" s="1709"/>
      <c r="H39" s="1709"/>
      <c r="I39" s="1709"/>
      <c r="J39" s="1709"/>
    </row>
    <row r="40" spans="2:10" ht="20.45" customHeight="1">
      <c r="C40" s="1709">
        <f>'[1]NOTE 3 A'!C40:J40</f>
        <v>0</v>
      </c>
      <c r="D40" s="1709"/>
      <c r="E40" s="1709"/>
      <c r="F40" s="1709"/>
      <c r="G40" s="1709"/>
      <c r="H40" s="1709"/>
      <c r="I40" s="1709"/>
      <c r="J40" s="1709"/>
    </row>
    <row r="41" spans="2:10" ht="20.45" customHeight="1">
      <c r="C41" s="1709">
        <f>'[1]NOTE 3 A'!C41:J41</f>
        <v>0</v>
      </c>
      <c r="D41" s="1709"/>
      <c r="E41" s="1709"/>
      <c r="F41" s="1709"/>
      <c r="G41" s="1709"/>
      <c r="H41" s="1709"/>
      <c r="I41" s="1709"/>
      <c r="J41" s="1709"/>
    </row>
    <row r="42" spans="2:10" ht="20.45" customHeight="1">
      <c r="C42" s="1709">
        <f>'[1]NOTE 3 A'!C42:J42</f>
        <v>0</v>
      </c>
      <c r="D42" s="1709"/>
      <c r="E42" s="1709"/>
      <c r="F42" s="1709"/>
      <c r="G42" s="1709"/>
      <c r="H42" s="1709"/>
      <c r="I42" s="1709"/>
      <c r="J42" s="1709"/>
    </row>
    <row r="43" spans="2:10" ht="20.45" customHeight="1">
      <c r="C43" s="1709">
        <f>'[1]NOTE 3 A'!C43:J43</f>
        <v>0</v>
      </c>
      <c r="D43" s="1709"/>
      <c r="E43" s="1709"/>
      <c r="F43" s="1709"/>
      <c r="G43" s="1709"/>
      <c r="H43" s="1709"/>
      <c r="I43" s="1709"/>
      <c r="J43" s="1709"/>
    </row>
  </sheetData>
  <sheetProtection selectLockedCells="1"/>
  <mergeCells count="35">
    <mergeCell ref="C43:J43"/>
    <mergeCell ref="B35:C35"/>
    <mergeCell ref="C38:J38"/>
    <mergeCell ref="C39:J39"/>
    <mergeCell ref="C40:J40"/>
    <mergeCell ref="C41:J41"/>
    <mergeCell ref="C42:J42"/>
    <mergeCell ref="B33:C33"/>
    <mergeCell ref="B20:C20"/>
    <mergeCell ref="B21:C21"/>
    <mergeCell ref="B22:C22"/>
    <mergeCell ref="B23:C23"/>
    <mergeCell ref="B24:C24"/>
    <mergeCell ref="B25:C25"/>
    <mergeCell ref="B26:C26"/>
    <mergeCell ref="B27:C27"/>
    <mergeCell ref="B28:C28"/>
    <mergeCell ref="B31:C31"/>
    <mergeCell ref="B32:C32"/>
    <mergeCell ref="B19:C19"/>
    <mergeCell ref="B4:J4"/>
    <mergeCell ref="I5:J6"/>
    <mergeCell ref="H8:J8"/>
    <mergeCell ref="F10:G10"/>
    <mergeCell ref="B13:J13"/>
    <mergeCell ref="D15:D16"/>
    <mergeCell ref="E15:E16"/>
    <mergeCell ref="F15:F16"/>
    <mergeCell ref="G15:G16"/>
    <mergeCell ref="H15:H16"/>
    <mergeCell ref="I15:I16"/>
    <mergeCell ref="J15:J16"/>
    <mergeCell ref="B16:C16"/>
    <mergeCell ref="B17:C17"/>
    <mergeCell ref="B18:C18"/>
  </mergeCells>
  <conditionalFormatting sqref="I9 E8:J8 B8:B9">
    <cfRule type="expression" dxfId="46" priority="1">
      <formula>#REF!=1</formula>
    </cfRule>
  </conditionalFormatting>
  <printOptions horizontalCentered="1"/>
  <pageMargins left="0.78740157480314965" right="0" top="0.59055118110236227" bottom="0.19685039370078741" header="0.31496062992125984" footer="0.31496062992125984"/>
  <pageSetup paperSize="9" scale="71" orientation="landscape" r:id="rId1"/>
  <headerFooter>
    <oddHeader>&amp;C&amp;"-,Gras"&amp;14Page &amp;P / &amp;N</oddHead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20">
    <pageSetUpPr fitToPage="1"/>
  </sheetPr>
  <dimension ref="A1:M29"/>
  <sheetViews>
    <sheetView showGridLines="0" showRowColHeaders="0" showZeros="0" topLeftCell="A7" zoomScale="80" zoomScaleNormal="80" zoomScaleSheetLayoutView="100" workbookViewId="0">
      <selection activeCell="B17" sqref="B17:C17"/>
    </sheetView>
  </sheetViews>
  <sheetFormatPr baseColWidth="10" defaultColWidth="11.42578125" defaultRowHeight="15"/>
  <cols>
    <col min="1" max="1" width="11" style="2" customWidth="1"/>
    <col min="2" max="2" width="25.7109375" style="2" customWidth="1"/>
    <col min="3" max="3" width="19.7109375" style="2" customWidth="1"/>
    <col min="4" max="4" width="15.28515625" style="2" customWidth="1"/>
    <col min="5" max="5" width="17.7109375" style="2" customWidth="1"/>
    <col min="6" max="6" width="17" style="2" customWidth="1"/>
    <col min="7" max="7" width="16.42578125" style="2" customWidth="1"/>
    <col min="8" max="8" width="18.140625" style="2" customWidth="1"/>
    <col min="9" max="9" width="15.85546875" style="2" customWidth="1"/>
    <col min="10" max="10" width="22" style="2" customWidth="1"/>
    <col min="11" max="11" width="15.85546875" style="2" customWidth="1"/>
    <col min="12" max="16384" width="11.42578125" style="2"/>
  </cols>
  <sheetData>
    <row r="1" spans="1:13">
      <c r="A1" s="444">
        <f>IF(SUM(D17:K17)&gt;1,1,0)</f>
        <v>0</v>
      </c>
      <c r="B1" s="1407"/>
      <c r="C1" s="1407"/>
      <c r="D1" s="1407"/>
      <c r="E1" s="1407"/>
      <c r="F1" s="1407"/>
      <c r="G1" s="1407"/>
      <c r="H1" s="1407"/>
      <c r="I1" s="1407"/>
      <c r="J1" s="1407"/>
      <c r="K1" s="1407"/>
    </row>
    <row r="2" spans="1:13" ht="15" customHeight="1">
      <c r="A2" s="1">
        <f>'NOTE 3 A'!B4</f>
        <v>0</v>
      </c>
      <c r="B2" s="144"/>
      <c r="C2" s="144"/>
      <c r="D2" s="144"/>
      <c r="E2" s="144"/>
      <c r="F2" s="144"/>
      <c r="G2" s="144"/>
      <c r="H2" s="144"/>
      <c r="I2" s="144"/>
      <c r="J2" s="1650" t="str">
        <f>IF([1]ACCUEIL!B1=1,"NOTE 3 B
NORMAL SYSTEM","NOTE 3 B
SYSTEME NORMAL")</f>
        <v>NOTE 3 B
SYSTEME NORMAL</v>
      </c>
      <c r="K2" s="1651"/>
    </row>
    <row r="3" spans="1:13" ht="15" customHeight="1">
      <c r="A3" s="1">
        <f>A2+1</f>
        <v>1</v>
      </c>
      <c r="B3" s="144"/>
      <c r="C3" s="144"/>
      <c r="D3" s="144"/>
      <c r="E3" s="312"/>
      <c r="F3" s="144"/>
      <c r="G3" s="144"/>
      <c r="H3" s="144"/>
      <c r="I3" s="144"/>
      <c r="J3" s="1652"/>
      <c r="K3" s="1653"/>
    </row>
    <row r="4" spans="1:13">
      <c r="B4" s="43" t="str">
        <f>'NOTE 3 A'!B7</f>
        <v>Désignation entité:</v>
      </c>
      <c r="C4" s="373" t="str">
        <f>'NOTE 3 A'!C7</f>
        <v/>
      </c>
      <c r="D4" s="373"/>
      <c r="E4" s="462"/>
      <c r="F4" s="43"/>
      <c r="G4" s="462"/>
      <c r="H4" s="462"/>
      <c r="I4" s="462"/>
      <c r="J4" s="462"/>
      <c r="K4" s="374"/>
    </row>
    <row r="5" spans="1:13" ht="15.75">
      <c r="B5" s="315" t="str">
        <f>'NOTE 3 A'!B8</f>
        <v>Sigle usuel :</v>
      </c>
      <c r="C5" s="373" t="str">
        <f>'NOTE 3 A'!C8</f>
        <v/>
      </c>
      <c r="E5" s="463"/>
      <c r="F5" s="464"/>
      <c r="G5" s="378"/>
      <c r="H5" s="1710"/>
      <c r="I5" s="1710"/>
      <c r="J5" s="1710"/>
      <c r="K5" s="463"/>
      <c r="L5" s="451"/>
      <c r="M5" s="451"/>
    </row>
    <row r="6" spans="1:13">
      <c r="B6" s="43" t="str">
        <f>'NOTE 3 A'!B9</f>
        <v>Adresse:</v>
      </c>
      <c r="C6" s="373">
        <f>'NOTE 3 A'!C9</f>
        <v>0</v>
      </c>
      <c r="D6" s="464"/>
      <c r="E6" s="378"/>
      <c r="F6" s="378"/>
      <c r="G6" s="379"/>
      <c r="H6" s="379"/>
      <c r="I6" s="379"/>
      <c r="J6" s="317" t="str">
        <f>'NOTE 3 A'!I9</f>
        <v>BP:</v>
      </c>
      <c r="K6" s="380" t="str">
        <f>'NOTE 3 A'!J9</f>
        <v/>
      </c>
    </row>
    <row r="7" spans="1:13">
      <c r="B7" s="43" t="str">
        <f>'NOTE 3 A'!B10</f>
        <v>Numéro d'identification:</v>
      </c>
      <c r="C7" s="380" t="str">
        <f>'NOTE 3 A'!C10</f>
        <v/>
      </c>
      <c r="D7" s="380"/>
      <c r="E7" s="462"/>
      <c r="F7" s="379"/>
      <c r="G7" s="1711" t="str">
        <f>'NOTE 3 A'!F10</f>
        <v xml:space="preserve">   Exercice clos le 31 - 12- </v>
      </c>
      <c r="H7" s="1711"/>
      <c r="I7" s="373">
        <f>'NOTE 3 A'!H10</f>
        <v>2025</v>
      </c>
      <c r="J7" s="318" t="str">
        <f>'NOTE 3 A'!I10</f>
        <v xml:space="preserve">    Durée (en mois):</v>
      </c>
      <c r="K7" s="373">
        <f>'NOTE 3 A'!J10</f>
        <v>12</v>
      </c>
    </row>
    <row r="8" spans="1:13" ht="6" customHeight="1">
      <c r="B8" s="43"/>
      <c r="C8" s="43"/>
      <c r="D8" s="376"/>
      <c r="E8" s="43"/>
      <c r="F8" s="43"/>
      <c r="G8" s="43"/>
      <c r="H8" s="43"/>
      <c r="I8" s="43"/>
      <c r="J8" s="43"/>
      <c r="K8" s="381"/>
    </row>
    <row r="9" spans="1:13" ht="33.75" customHeight="1">
      <c r="B9" s="1712" t="str">
        <f>IF([1]ACCUEIL!B1=1,"NOTE 3 B LEASED PROPERTIES ACQUISITIONS","NOTE 3 B BIENS PRIS EN LOCATIONS ACQUISITIONS")</f>
        <v>NOTE 3 B BIENS PRIS EN LOCATIONS ACQUISITIONS</v>
      </c>
      <c r="C9" s="1712"/>
      <c r="D9" s="1712"/>
      <c r="E9" s="1712"/>
      <c r="F9" s="1712"/>
      <c r="G9" s="1712"/>
      <c r="H9" s="1712"/>
      <c r="I9" s="1712"/>
      <c r="J9" s="1712"/>
      <c r="K9" s="1712"/>
    </row>
    <row r="10" spans="1:13">
      <c r="B10" s="465"/>
      <c r="C10" s="459" t="str">
        <f>'NOTE 3 A'!C15</f>
        <v>SITUATIONS ET MOUVEMENTS</v>
      </c>
      <c r="D10" s="466"/>
      <c r="E10" s="467" t="s">
        <v>92</v>
      </c>
      <c r="F10" s="1713" t="s">
        <v>100</v>
      </c>
      <c r="G10" s="1714"/>
      <c r="H10" s="1715"/>
      <c r="I10" s="1716" t="s">
        <v>102</v>
      </c>
      <c r="J10" s="1716"/>
      <c r="K10" s="467" t="s">
        <v>104</v>
      </c>
    </row>
    <row r="11" spans="1:13" ht="69.75" customHeight="1">
      <c r="B11" s="1705" t="str">
        <f>'NOTE 3 A'!B16:C16</f>
        <v xml:space="preserve">      RUBRIQUES</v>
      </c>
      <c r="C11" s="1706"/>
      <c r="D11" s="468" t="str">
        <f>IF([1]ACCUEIL!B1=1,"TYPE OF CONTRACT","NATURE DU CONTRAT")</f>
        <v>NATURE DU CONTRAT</v>
      </c>
      <c r="E11" s="468" t="str">
        <f>IF([1]ACCUEIL!B1=1,"GROSS AMOUNT AT THE BEGINNING OF THE FINANCIAL YEAR","MONTANT BRUT A L'OUVERTURE DE L'EXERCICE")</f>
        <v>MONTANT BRUT A L'OUVERTURE DE L'EXERCICE</v>
      </c>
      <c r="F11" s="468" t="str">
        <f>IF([1]ACCUEIL!B1=1,"ACQUISITIONS CONTRIBUTIONS CREATIONS ","ACQUISITIONS APPORTS CREATIONS ")</f>
        <v xml:space="preserve">ACQUISITIONS APPORTS CREATIONS </v>
      </c>
      <c r="G11" s="468" t="str">
        <f>'NOTE 3 A'!F15</f>
        <v>Virements de poste à poste</v>
      </c>
      <c r="H11" s="468" t="str">
        <f>'NOTE 3 A'!G15</f>
        <v>Suite à une réévaluation pratiquée au cour de l'exercice</v>
      </c>
      <c r="I11" s="469" t="str">
        <f>'NOTE 3 A'!H15</f>
        <v>Cession Scission Hors Service</v>
      </c>
      <c r="J11" s="469" t="str">
        <f>'NOTE 3 A'!I15</f>
        <v>Virements de poste à poste</v>
      </c>
      <c r="K11" s="469" t="str">
        <f>'NOTE 3 A'!J15</f>
        <v>MONTANT BRUT à la clôture de l'exercice</v>
      </c>
    </row>
    <row r="12" spans="1:13" ht="24" customHeight="1">
      <c r="B12" s="1306" t="str">
        <f>IF([1]ACCUEIL!B1=1,"Land","Terrains")</f>
        <v>Terrains</v>
      </c>
      <c r="C12" s="1307"/>
      <c r="D12" s="470">
        <f>'[1]NOTE 3 B'!D12</f>
        <v>0</v>
      </c>
      <c r="E12" s="470">
        <f>'[1]NOTE 3 B'!E12</f>
        <v>0</v>
      </c>
      <c r="F12" s="470">
        <f>'[1]NOTE 3 B'!F12</f>
        <v>0</v>
      </c>
      <c r="G12" s="470">
        <f>'[1]NOTE 3 B'!G12</f>
        <v>0</v>
      </c>
      <c r="H12" s="470">
        <f>'[1]NOTE 3 B'!H12</f>
        <v>0</v>
      </c>
      <c r="I12" s="470">
        <f>'[1]NOTE 3 B'!I12</f>
        <v>0</v>
      </c>
      <c r="J12" s="470">
        <f>'[1]NOTE 3 B'!J12</f>
        <v>0</v>
      </c>
      <c r="K12" s="470">
        <f>'[1]NOTE 3 B'!K12</f>
        <v>0</v>
      </c>
    </row>
    <row r="13" spans="1:13" ht="24" customHeight="1">
      <c r="B13" s="1306" t="str">
        <f>IF([1]ACCUEIL!B1=1,"Buildings","Bâtiments")</f>
        <v>Bâtiments</v>
      </c>
      <c r="C13" s="1307"/>
      <c r="D13" s="470">
        <f>'[1]NOTE 3 B'!D13</f>
        <v>0</v>
      </c>
      <c r="E13" s="470">
        <f>'[1]NOTE 3 B'!E13</f>
        <v>0</v>
      </c>
      <c r="F13" s="470">
        <f>'[1]NOTE 3 B'!F13</f>
        <v>0</v>
      </c>
      <c r="G13" s="470">
        <f>'[1]NOTE 3 B'!G13</f>
        <v>0</v>
      </c>
      <c r="H13" s="470">
        <f>'[1]NOTE 3 B'!H13</f>
        <v>0</v>
      </c>
      <c r="I13" s="470">
        <f>'[1]NOTE 3 B'!I13</f>
        <v>0</v>
      </c>
      <c r="J13" s="470">
        <f>'[1]NOTE 3 B'!J13</f>
        <v>0</v>
      </c>
      <c r="K13" s="470">
        <f>'[1]NOTE 3 B'!K13</f>
        <v>0</v>
      </c>
    </row>
    <row r="14" spans="1:13" ht="24" customHeight="1">
      <c r="B14" s="1717" t="str">
        <f>IF([1]ACCUEIL!B1=1,"Fittings, fixtures and installations","Aménagements, agencements et installations")</f>
        <v>Aménagements, agencements et installations</v>
      </c>
      <c r="C14" s="1718"/>
      <c r="D14" s="470">
        <f>'[1]NOTE 3 B'!D14</f>
        <v>0</v>
      </c>
      <c r="E14" s="470">
        <f>'[1]NOTE 3 B'!E14</f>
        <v>0</v>
      </c>
      <c r="F14" s="470">
        <f>'[1]NOTE 3 B'!F14</f>
        <v>0</v>
      </c>
      <c r="G14" s="470">
        <f>'[1]NOTE 3 B'!G14</f>
        <v>0</v>
      </c>
      <c r="H14" s="470">
        <f>'[1]NOTE 3 B'!H14</f>
        <v>0</v>
      </c>
      <c r="I14" s="470">
        <f>'[1]NOTE 3 B'!I14</f>
        <v>0</v>
      </c>
      <c r="J14" s="470">
        <f>'[1]NOTE 3 B'!J14</f>
        <v>0</v>
      </c>
      <c r="K14" s="470">
        <f>'[1]NOTE 3 B'!K14</f>
        <v>0</v>
      </c>
    </row>
    <row r="15" spans="1:13" ht="24" customHeight="1">
      <c r="B15" s="1717" t="str">
        <f>IF([1]ACCUEIL!B1=1,"Equipment, furniture and biological assets","Matériel, mobilier et actifs biologiques")</f>
        <v>Matériel, mobilier et actifs biologiques</v>
      </c>
      <c r="C15" s="1718"/>
      <c r="D15" s="470">
        <f>'[1]NOTE 3 B'!D15</f>
        <v>0</v>
      </c>
      <c r="E15" s="470">
        <f>'[1]NOTE 3 B'!E15</f>
        <v>0</v>
      </c>
      <c r="F15" s="470">
        <f>'[1]NOTE 3 B'!F15</f>
        <v>0</v>
      </c>
      <c r="G15" s="470">
        <f>'[1]NOTE 3 B'!G15</f>
        <v>0</v>
      </c>
      <c r="H15" s="470">
        <f>'[1]NOTE 3 B'!H15</f>
        <v>0</v>
      </c>
      <c r="I15" s="470">
        <f>'[1]NOTE 3 B'!I15</f>
        <v>0</v>
      </c>
      <c r="J15" s="470">
        <f>'[1]NOTE 3 B'!J15</f>
        <v>0</v>
      </c>
      <c r="K15" s="470">
        <f>'[1]NOTE 3 B'!K15</f>
        <v>0</v>
      </c>
    </row>
    <row r="16" spans="1:13" ht="24" customHeight="1">
      <c r="B16" s="1306" t="str">
        <f>IF([1]ACCUEIL!B1=1,"Transport equipment","Matériel de transport")</f>
        <v>Matériel de transport</v>
      </c>
      <c r="C16" s="1307"/>
      <c r="D16" s="470">
        <f>'[1]NOTE 3 B'!D16</f>
        <v>0</v>
      </c>
      <c r="E16" s="470">
        <f>'[1]NOTE 3 B'!E16</f>
        <v>0</v>
      </c>
      <c r="F16" s="470">
        <f>'[1]NOTE 3 B'!F16</f>
        <v>0</v>
      </c>
      <c r="G16" s="470">
        <f>'[1]NOTE 3 B'!G16</f>
        <v>0</v>
      </c>
      <c r="H16" s="470">
        <f>'[1]NOTE 3 B'!H16</f>
        <v>0</v>
      </c>
      <c r="I16" s="470">
        <f>'[1]NOTE 3 B'!I16</f>
        <v>0</v>
      </c>
      <c r="J16" s="470">
        <f>'[1]NOTE 3 B'!J16</f>
        <v>0</v>
      </c>
      <c r="K16" s="470">
        <f>'[1]NOTE 3 B'!K16</f>
        <v>0</v>
      </c>
    </row>
    <row r="17" spans="2:11" ht="33" customHeight="1">
      <c r="B17" s="1719" t="str">
        <f>IF([1]ACCUEIL!B1=1,"TOTAL LEASED ASSETS ACQUISITION","TOTAL IMMOBILISATIONS EN LOCATIONS ACQUISITION")</f>
        <v>TOTAL IMMOBILISATIONS EN LOCATIONS ACQUISITION</v>
      </c>
      <c r="C17" s="1720"/>
      <c r="D17" s="472">
        <f>SUM(D12:D16)</f>
        <v>0</v>
      </c>
      <c r="E17" s="473">
        <f>SUM(E12:E16)</f>
        <v>0</v>
      </c>
      <c r="F17" s="473">
        <f t="shared" ref="F17:K17" si="0">SUM(F12:F16)</f>
        <v>0</v>
      </c>
      <c r="G17" s="473">
        <f t="shared" si="0"/>
        <v>0</v>
      </c>
      <c r="H17" s="473">
        <f t="shared" si="0"/>
        <v>0</v>
      </c>
      <c r="I17" s="473">
        <f t="shared" si="0"/>
        <v>0</v>
      </c>
      <c r="J17" s="473">
        <f t="shared" si="0"/>
        <v>0</v>
      </c>
      <c r="K17" s="473">
        <f t="shared" si="0"/>
        <v>0</v>
      </c>
    </row>
    <row r="18" spans="2:11">
      <c r="B18" s="81"/>
      <c r="C18" s="81"/>
      <c r="E18" s="81"/>
      <c r="F18" s="81"/>
      <c r="G18" s="81"/>
      <c r="H18" s="81"/>
      <c r="I18" s="81"/>
      <c r="J18" s="81"/>
      <c r="K18" s="81"/>
    </row>
    <row r="19" spans="2:11">
      <c r="D19" s="81" t="str">
        <f>IF([1]ACCUEIL!B1=1," (1) I: Real estate leases; M: Equipment leases; A: Other contracts (split the item if significant amounts)."," (1) I : Crédit-bail immobilier ; M : Crédit-bail mobilier ; A : Autres contrats (dédoubler le poste si montants significatifs).")</f>
        <v xml:space="preserve"> (1) I : Crédit-bail immobilier ; M : Crédit-bail mobilier ; A : Autres contrats (dédoubler le poste si montants significatifs).</v>
      </c>
    </row>
    <row r="20" spans="2:11" ht="24.6" customHeight="1">
      <c r="C20" s="1660">
        <f>'[1]NOTE 3 B'!C20:K20</f>
        <v>0</v>
      </c>
      <c r="D20" s="1660"/>
      <c r="E20" s="1660"/>
      <c r="F20" s="1660"/>
      <c r="G20" s="1660"/>
      <c r="H20" s="1660"/>
      <c r="I20" s="1660"/>
      <c r="J20" s="1660"/>
      <c r="K20" s="1660"/>
    </row>
    <row r="21" spans="2:11" ht="24.6" customHeight="1">
      <c r="B21" s="43" t="str">
        <f>'NOTE 3 A'!B38</f>
        <v>COMMENTAIRE</v>
      </c>
      <c r="C21" s="1660">
        <f>'[1]NOTE 3 B'!C24:K24</f>
        <v>0</v>
      </c>
      <c r="D21" s="1660"/>
      <c r="E21" s="1660"/>
      <c r="F21" s="1660"/>
      <c r="G21" s="1660"/>
      <c r="H21" s="1660"/>
      <c r="I21" s="1660"/>
      <c r="J21" s="1660"/>
      <c r="K21" s="1660"/>
    </row>
    <row r="22" spans="2:11" ht="24.6" customHeight="1">
      <c r="C22" s="1660">
        <f>'[1]NOTE 3 B'!C25:K25</f>
        <v>0</v>
      </c>
      <c r="D22" s="1660"/>
      <c r="E22" s="1660"/>
      <c r="F22" s="1660"/>
      <c r="G22" s="1660"/>
      <c r="H22" s="1660"/>
      <c r="I22" s="1660"/>
      <c r="J22" s="1660"/>
      <c r="K22" s="1660"/>
    </row>
    <row r="23" spans="2:11" ht="24.6" customHeight="1">
      <c r="C23" s="1660">
        <f>'[1]NOTE 3 B'!C26:K26</f>
        <v>0</v>
      </c>
      <c r="D23" s="1660"/>
      <c r="E23" s="1660"/>
      <c r="F23" s="1660"/>
      <c r="G23" s="1660"/>
      <c r="H23" s="1660"/>
      <c r="I23" s="1660"/>
      <c r="J23" s="1660"/>
      <c r="K23" s="1660"/>
    </row>
    <row r="24" spans="2:11" ht="24.6" customHeight="1">
      <c r="C24" s="1660">
        <f>'[1]NOTE 3 B'!C27:K27</f>
        <v>0</v>
      </c>
      <c r="D24" s="1660"/>
      <c r="E24" s="1660"/>
      <c r="F24" s="1660"/>
      <c r="G24" s="1660"/>
      <c r="H24" s="1660"/>
      <c r="I24" s="1660"/>
      <c r="J24" s="1660"/>
      <c r="K24" s="1660"/>
    </row>
    <row r="25" spans="2:11" ht="24.6" customHeight="1">
      <c r="C25" s="1660">
        <f>'[1]NOTE 3 B'!C28:K28</f>
        <v>0</v>
      </c>
      <c r="D25" s="1660"/>
      <c r="E25" s="1660"/>
      <c r="F25" s="1660"/>
      <c r="G25" s="1660"/>
      <c r="H25" s="1660"/>
      <c r="I25" s="1660"/>
      <c r="J25" s="1660"/>
      <c r="K25" s="1660"/>
    </row>
    <row r="26" spans="2:11" ht="24.6" customHeight="1">
      <c r="C26" s="1660">
        <f>'[1]NOTE 3 B'!C29:K29</f>
        <v>0</v>
      </c>
      <c r="D26" s="1660"/>
      <c r="E26" s="1660"/>
      <c r="F26" s="1660"/>
      <c r="G26" s="1660"/>
      <c r="H26" s="1660"/>
      <c r="I26" s="1660"/>
      <c r="J26" s="1660"/>
      <c r="K26" s="1660"/>
    </row>
    <row r="27" spans="2:11" ht="24.6" customHeight="1">
      <c r="C27" s="1660"/>
      <c r="D27" s="1660"/>
      <c r="E27" s="1660"/>
      <c r="F27" s="1660"/>
      <c r="G27" s="1660"/>
      <c r="H27" s="1660"/>
      <c r="I27" s="1660"/>
      <c r="J27" s="1660"/>
      <c r="K27" s="1660"/>
    </row>
    <row r="28" spans="2:11" ht="24.6" customHeight="1">
      <c r="C28" s="1660"/>
      <c r="D28" s="1660"/>
      <c r="E28" s="1660"/>
      <c r="F28" s="1660"/>
      <c r="G28" s="1660"/>
      <c r="H28" s="1660"/>
      <c r="I28" s="1660"/>
      <c r="J28" s="1660"/>
      <c r="K28" s="1660"/>
    </row>
    <row r="29" spans="2:11" ht="24.6" customHeight="1">
      <c r="C29" s="1660"/>
      <c r="D29" s="1660"/>
      <c r="E29" s="1660"/>
      <c r="F29" s="1660"/>
      <c r="G29" s="1660"/>
      <c r="H29" s="1660"/>
      <c r="I29" s="1660"/>
      <c r="J29" s="1660"/>
      <c r="K29" s="1660"/>
    </row>
  </sheetData>
  <sheetProtection selectLockedCells="1"/>
  <mergeCells count="21">
    <mergeCell ref="C28:K28"/>
    <mergeCell ref="C29:K29"/>
    <mergeCell ref="C22:K22"/>
    <mergeCell ref="C23:K23"/>
    <mergeCell ref="C24:K24"/>
    <mergeCell ref="C25:K25"/>
    <mergeCell ref="C26:K26"/>
    <mergeCell ref="C27:K27"/>
    <mergeCell ref="C21:K21"/>
    <mergeCell ref="B1:K1"/>
    <mergeCell ref="J2:K3"/>
    <mergeCell ref="H5:J5"/>
    <mergeCell ref="G7:H7"/>
    <mergeCell ref="B9:K9"/>
    <mergeCell ref="F10:H10"/>
    <mergeCell ref="I10:J10"/>
    <mergeCell ref="B11:C11"/>
    <mergeCell ref="B14:C14"/>
    <mergeCell ref="B15:C15"/>
    <mergeCell ref="B17:C17"/>
    <mergeCell ref="C20:K20"/>
  </mergeCells>
  <conditionalFormatting sqref="J6 E5:M5 D6:F6">
    <cfRule type="expression" dxfId="45" priority="1">
      <formula>#REF!=1</formula>
    </cfRule>
  </conditionalFormatting>
  <printOptions horizontalCentered="1"/>
  <pageMargins left="0.78740157480314965" right="0" top="0.59055118110236227" bottom="0.19685039370078741" header="0.31496062992125984" footer="0.31496062992125984"/>
  <pageSetup paperSize="9" scale="74" orientation="landscape" r:id="rId1"/>
  <headerFooter>
    <oddHeader>&amp;C&amp;"-,Gras"&amp;14Page &amp;P / &amp;N</oddHead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21">
    <pageSetUpPr fitToPage="1"/>
  </sheetPr>
  <dimension ref="A1:J36"/>
  <sheetViews>
    <sheetView showGridLines="0" showZeros="0" topLeftCell="A13" zoomScale="60" zoomScaleNormal="60" zoomScaleSheetLayoutView="100" workbookViewId="0">
      <selection activeCell="B12" sqref="B12:C15"/>
    </sheetView>
  </sheetViews>
  <sheetFormatPr baseColWidth="10" defaultColWidth="11.42578125" defaultRowHeight="15.75"/>
  <cols>
    <col min="1" max="1" width="10.28515625" style="211" customWidth="1"/>
    <col min="2" max="2" width="27.5703125" style="211" customWidth="1"/>
    <col min="3" max="3" width="53.7109375" style="211" customWidth="1"/>
    <col min="4" max="7" width="25.7109375" style="211" customWidth="1"/>
    <col min="8" max="16384" width="11.42578125" style="211"/>
  </cols>
  <sheetData>
    <row r="1" spans="1:10">
      <c r="A1" s="1213">
        <f>'NOTE 3 A'!A1</f>
        <v>0</v>
      </c>
      <c r="B1" s="1723"/>
      <c r="C1" s="1723"/>
      <c r="D1" s="1723"/>
      <c r="E1" s="1723"/>
      <c r="F1" s="1723"/>
      <c r="G1" s="1723"/>
    </row>
    <row r="2" spans="1:10" ht="15" customHeight="1">
      <c r="A2" s="1213">
        <f>'NOTE 3 B'!B1</f>
        <v>0</v>
      </c>
      <c r="B2" s="1214"/>
      <c r="C2" s="1214"/>
      <c r="D2" s="1214"/>
      <c r="E2" s="1214"/>
      <c r="F2" s="1724" t="str">
        <f>IF([1]ACCUEIL!B1=1,"NOTE 3 C
NORMAL SYSTEM","NOTE 3 C
SYSTEME NORMAL")</f>
        <v>NOTE 3 C
SYSTEME NORMAL</v>
      </c>
      <c r="G2" s="1725"/>
    </row>
    <row r="3" spans="1:10">
      <c r="B3" s="1214"/>
      <c r="C3" s="1214"/>
      <c r="D3" s="1202"/>
      <c r="E3" s="1214"/>
      <c r="F3" s="1726"/>
      <c r="G3" s="1727"/>
    </row>
    <row r="4" spans="1:10">
      <c r="B4" s="1100" t="str">
        <f>'NOTE 3 B'!B4</f>
        <v>Désignation entité:</v>
      </c>
      <c r="C4" s="1215" t="str">
        <f>'NOTE 3 B'!C4</f>
        <v/>
      </c>
      <c r="D4" s="1216"/>
      <c r="E4" s="1100"/>
      <c r="F4" s="1100"/>
      <c r="G4" s="1100"/>
    </row>
    <row r="5" spans="1:10">
      <c r="B5" s="1100" t="str">
        <f>'NOTE 3 B'!B5</f>
        <v>Sigle usuel :</v>
      </c>
      <c r="C5" s="1217" t="str">
        <f>'NOTE 3 B'!C5</f>
        <v/>
      </c>
      <c r="E5" s="1218"/>
      <c r="F5" s="1218"/>
      <c r="G5" s="1218"/>
      <c r="H5" s="479"/>
      <c r="I5" s="479"/>
      <c r="J5" s="479"/>
    </row>
    <row r="6" spans="1:10">
      <c r="B6" s="1100" t="str">
        <f>'NOTE 3 B'!B6</f>
        <v>Adresse:</v>
      </c>
      <c r="C6" s="1219">
        <f>'NOTE 3 B'!C6</f>
        <v>0</v>
      </c>
      <c r="D6" s="1219"/>
      <c r="E6" s="1220"/>
      <c r="F6" s="1221" t="str">
        <f>'NOTE 3 B'!J6</f>
        <v>BP:</v>
      </c>
      <c r="G6" s="1222" t="str">
        <f>'NOTE 3 B'!K6</f>
        <v/>
      </c>
      <c r="H6" s="480"/>
      <c r="I6" s="480"/>
    </row>
    <row r="7" spans="1:10">
      <c r="B7" s="1100" t="str">
        <f>'NOTE 3 B'!B7</f>
        <v>Numéro d'identification:</v>
      </c>
      <c r="C7" s="1223" t="str">
        <f>'NOTE 3 B'!C7</f>
        <v/>
      </c>
      <c r="D7" s="1108" t="str">
        <f>'NOTE 3 B'!G7</f>
        <v xml:space="preserve">   Exercice clos le 31 - 12- </v>
      </c>
      <c r="E7" s="1222">
        <f>'NOTE 3 B'!I7</f>
        <v>2025</v>
      </c>
      <c r="F7" s="1108" t="str">
        <f>'NOTE 3 B'!J7</f>
        <v xml:space="preserve">    Durée (en mois):</v>
      </c>
      <c r="G7" s="1224">
        <f>'NOTE 3 B'!K7</f>
        <v>12</v>
      </c>
    </row>
    <row r="8" spans="1:10" ht="6.75" customHeight="1">
      <c r="B8" s="1100"/>
      <c r="C8" s="1100"/>
      <c r="D8" s="1100"/>
      <c r="E8" s="1225"/>
      <c r="F8" s="1100"/>
      <c r="G8" s="1225"/>
    </row>
    <row r="9" spans="1:10" ht="30.75" customHeight="1">
      <c r="B9" s="1728" t="str">
        <f>IF([1]ACCUEIL!B1=1,"NOTE 3 C FIXED ASSETS (DEPRECIATION)","NOTE 3 C IMMOBILISATIONS (AMORTISSEMENTS)")</f>
        <v>NOTE 3 C IMMOBILISATIONS (AMORTISSEMENTS)</v>
      </c>
      <c r="C9" s="1728"/>
      <c r="D9" s="1728"/>
      <c r="E9" s="1728"/>
      <c r="F9" s="1728"/>
      <c r="G9" s="1728"/>
    </row>
    <row r="10" spans="1:10">
      <c r="B10" s="1729" t="str">
        <f>'NOTE 3 B'!C10</f>
        <v>SITUATIONS ET MOUVEMENTS</v>
      </c>
      <c r="C10" s="1730"/>
      <c r="D10" s="1226" t="s">
        <v>92</v>
      </c>
      <c r="E10" s="1226" t="s">
        <v>100</v>
      </c>
      <c r="F10" s="1227" t="s">
        <v>249</v>
      </c>
      <c r="G10" s="1226" t="s">
        <v>250</v>
      </c>
    </row>
    <row r="11" spans="1:10" ht="70.5" customHeight="1">
      <c r="B11" s="1731" t="str">
        <f>'NOTE 3 B'!B11:C11</f>
        <v xml:space="preserve">      RUBRIQUES</v>
      </c>
      <c r="C11" s="1732"/>
      <c r="D11" s="1228" t="str">
        <f>IF([1]ACCUEIL!B1=1,"ACCUMULATED DEPRECIATION AT THE BEGINNING OF THE FINANCIAL YEAR","AMORTISSEMENTS CUMULES A L'OUVERTURE DE L'EXERCICE")</f>
        <v>AMORTISSEMENTS CUMULES A L'OUVERTURE DE L'EXERCICE</v>
      </c>
      <c r="E11" s="1228" t="str">
        <f>IF([1]ACCUEIL!B1=1,"INCREASES FOR THE YEAR","AUGMENTATIONS DOTATIONS DE L'EXERCICE ")</f>
        <v xml:space="preserve">AUGMENTATIONS DOTATIONS DE L'EXERCICE </v>
      </c>
      <c r="F11" s="1228" t="str">
        <f>IF([1]ACCUEIL!B1=1,"DECREASE IN DEPRECIATION OF DEPRECIATION ON DISPOSALS OF ASSETS","DIMINUTIONS amortissement relatif aux éléments sortis de l'actif")</f>
        <v>DIMINUTIONS amortissement relatif aux éléments sortis de l'actif</v>
      </c>
      <c r="G11" s="1229" t="str">
        <f>IF([1]ACCUEIL!B1=1,"Accumulated depreciation at the end of the financial year","Cumul des amortissements à la clôture de l'exercice")</f>
        <v>Cumul des amortissements à la clôture de l'exercice</v>
      </c>
    </row>
    <row r="12" spans="1:10" ht="24" customHeight="1">
      <c r="B12" s="1721" t="str">
        <f>IF([1]ACCUEIL!B1=1,"Development and prospecting costs","Frais de développement et de prospection")</f>
        <v>Frais de développement et de prospection</v>
      </c>
      <c r="C12" s="1722"/>
      <c r="D12" s="1230">
        <f>'[1]CLASSE 2'!F389</f>
        <v>0</v>
      </c>
      <c r="E12" s="1230">
        <f>'[1]CLASSE 2'!H389</f>
        <v>0</v>
      </c>
      <c r="F12" s="1230">
        <f>'[1]CLASSE 2'!G389</f>
        <v>0</v>
      </c>
      <c r="G12" s="1230">
        <f>'[1]CLASSE 2'!J389</f>
        <v>0</v>
      </c>
    </row>
    <row r="13" spans="1:10" ht="24" customHeight="1">
      <c r="B13" s="1721" t="str">
        <f>IF([1]ACCUEIL!B1=1,"Patents, licences, software and similar rights","Brevets, licences, logiciels et droits similaires")</f>
        <v>Brevets, licences, logiciels et droits similaires</v>
      </c>
      <c r="C13" s="1722"/>
      <c r="D13" s="1211">
        <f>'[1]CLASSE 2'!F391+'[1]CLASSE 2'!F393+'[1]CLASSE 2'!F395</f>
        <v>0</v>
      </c>
      <c r="E13" s="1211">
        <f>'[1]CLASSE 2'!H391+'[1]CLASSE 2'!H393+'[1]CLASSE 2'!H395</f>
        <v>0</v>
      </c>
      <c r="F13" s="1211">
        <f>'[1]CLASSE 2'!G391+'[1]CLASSE 2'!G393+'[1]CLASSE 2'!G395</f>
        <v>0</v>
      </c>
      <c r="G13" s="1211">
        <f>'[1]CLASSE 2'!J391+'[1]CLASSE 2'!J393+'[1]CLASSE 2'!J395</f>
        <v>0</v>
      </c>
    </row>
    <row r="14" spans="1:10" ht="24" customHeight="1">
      <c r="B14" s="1721" t="str">
        <f>IF([1]ACCUEIL!B1=1,"Commercial funds and right to lease","Fonds commercial et droit au bail")</f>
        <v>Fonds commercial et droit au bail</v>
      </c>
      <c r="C14" s="1722"/>
      <c r="D14" s="1211">
        <f>'[1]CLASSE 2'!F397+'[1]CLASSE 2'!F399</f>
        <v>0</v>
      </c>
      <c r="E14" s="1211">
        <f>'[1]CLASSE 2'!H397+'[1]CLASSE 2'!H399</f>
        <v>0</v>
      </c>
      <c r="F14" s="1211">
        <f>'[1]CLASSE 2'!G397+'[1]CLASSE 2'!G399</f>
        <v>0</v>
      </c>
      <c r="G14" s="1211">
        <f>'[1]CLASSE 2'!J397+'[1]CLASSE 2'!J399</f>
        <v>0</v>
      </c>
    </row>
    <row r="15" spans="1:10" ht="24" customHeight="1">
      <c r="B15" s="1721" t="str">
        <f>IF([1]ACCUEIL!B1=1,"Other intangible assets","Autres immobilisations incorporelles")</f>
        <v>Autres immobilisations incorporelles</v>
      </c>
      <c r="C15" s="1722"/>
      <c r="D15" s="1211">
        <f>'[1]CLASSE 2'!F401+'[1]CLASSE 2'!F404+'[1]CLASSE 2'!F403</f>
        <v>0</v>
      </c>
      <c r="E15" s="1211">
        <f>+'[1]CLASSE 2'!H401+'[1]CLASSE 2'!H403+'[1]CLASSE 2'!H404</f>
        <v>0</v>
      </c>
      <c r="F15" s="1211">
        <f>'[1]CLASSE 2'!G401+'[1]CLASSE 2'!G403+'[1]CLASSE 2'!G404</f>
        <v>0</v>
      </c>
      <c r="G15" s="1211">
        <f>+'[1]CLASSE 2'!J401+'[1]CLASSE 2'!J403+'[1]CLASSE 2'!J404</f>
        <v>0</v>
      </c>
    </row>
    <row r="16" spans="1:10" ht="24" customHeight="1">
      <c r="B16" s="1734" t="str">
        <f>IF([1]ACCUEIL!B1=1,"SUB-TOTAL: INTANGIBLE ASSETS","SOUS TOTAL: IMMOBILISATIONS INCORPORELLES")</f>
        <v>SOUS TOTAL: IMMOBILISATIONS INCORPORELLES</v>
      </c>
      <c r="C16" s="1735"/>
      <c r="D16" s="1231">
        <f>SUBTOTAL(9,D12:D15)</f>
        <v>0</v>
      </c>
      <c r="E16" s="210">
        <f>SUBTOTAL(9,E12:E15)</f>
        <v>0</v>
      </c>
      <c r="F16" s="210">
        <f>SUBTOTAL(9,F12:F15)</f>
        <v>0</v>
      </c>
      <c r="G16" s="210">
        <f>SUBTOTAL(9,G12:G15)</f>
        <v>0</v>
      </c>
    </row>
    <row r="17" spans="2:7" ht="24" customHeight="1">
      <c r="B17" s="1721" t="str">
        <f>IF([1]ACCUEIL!B1=1,"Land excluding investment properties","Terrains hors immeubles de placement")</f>
        <v>Terrains hors immeubles de placement</v>
      </c>
      <c r="C17" s="1722"/>
      <c r="D17" s="1232">
        <f>'[1]CLASSE 2'!F410-D18</f>
        <v>0</v>
      </c>
      <c r="E17" s="216">
        <f>'[1]CLASSE 2'!H410-E18</f>
        <v>0</v>
      </c>
      <c r="F17" s="216">
        <f>'[1]CLASSE 2'!G410-F18</f>
        <v>0</v>
      </c>
      <c r="G17" s="1211">
        <f>'[1]CLASSE 2'!F410-G18</f>
        <v>0</v>
      </c>
    </row>
    <row r="18" spans="2:7" ht="24" customHeight="1">
      <c r="B18" s="1721" t="str">
        <f>IF([1]ACCUEIL!B1=1,"Land - investment properties ","Terrains-immeuble de placement ")</f>
        <v xml:space="preserve">Terrains-immeuble de placement </v>
      </c>
      <c r="C18" s="1722"/>
      <c r="D18" s="1232">
        <f>'[1]NOTE 3 C'!D18</f>
        <v>0</v>
      </c>
      <c r="E18" s="216">
        <f>'[1]NOTE 3 C'!E18</f>
        <v>0</v>
      </c>
      <c r="F18" s="216">
        <f>'[1]NOTE 3 C'!F18</f>
        <v>0</v>
      </c>
      <c r="G18" s="1211">
        <f>D18+E18-F18</f>
        <v>0</v>
      </c>
    </row>
    <row r="19" spans="2:7" ht="24.95" customHeight="1">
      <c r="B19" s="1721" t="str">
        <f>IF([1]ACCUEIL!B1=1,"Buildings other than investment property","Bâtiments hors immeuble de placement")</f>
        <v>Bâtiments hors immeuble de placement</v>
      </c>
      <c r="C19" s="1722"/>
      <c r="D19" s="1232">
        <f>'[1]CLASSE 2'!F412+'[1]CLASSE 2'!F414+'[1]CLASSE 2'!F416-D20</f>
        <v>0</v>
      </c>
      <c r="E19" s="216">
        <f>'[1]CLASSE 2'!H412+'[1]CLASSE 2'!H414+'[1]CLASSE 2'!H416-E20</f>
        <v>0</v>
      </c>
      <c r="F19" s="216">
        <f>'[1]CLASSE 2'!G412+'[1]CLASSE 2'!G414+'[1]CLASSE 2'!G416-F20</f>
        <v>0</v>
      </c>
      <c r="G19" s="1211">
        <f>'[1]CLASSE 2'!J412+'[1]CLASSE 2'!J414+'[1]CLASSE 2'!J416-G20</f>
        <v>0</v>
      </c>
    </row>
    <row r="20" spans="2:7" ht="24" customHeight="1">
      <c r="B20" s="1721" t="str">
        <f>IF([1]ACCUEIL!B1=1,"Investment property buildings","Bâtiments-immeuble de placement")</f>
        <v>Bâtiments-immeuble de placement</v>
      </c>
      <c r="C20" s="1722"/>
      <c r="D20" s="1232">
        <f>'[1]NOTE 3 C'!D20</f>
        <v>0</v>
      </c>
      <c r="E20" s="1232">
        <f>'[1]NOTE 3 C'!E20</f>
        <v>0</v>
      </c>
      <c r="F20" s="1232">
        <f>'[1]NOTE 3 C'!F20</f>
        <v>0</v>
      </c>
      <c r="G20" s="1211">
        <f>D20+E20-F20</f>
        <v>0</v>
      </c>
    </row>
    <row r="21" spans="2:7" ht="24" customHeight="1">
      <c r="B21" s="1721" t="str">
        <f>IF([1]ACCUEIL!B1=1,"Fittings, fixtures and installations","Aménagements, agencements et installations")</f>
        <v>Aménagements, agencements et installations</v>
      </c>
      <c r="C21" s="1722"/>
      <c r="D21" s="1211">
        <f>'[1]CLASSE 2'!F418+'[1]CLASSE 2'!F420+'[1]CLASSE 2'!F424</f>
        <v>0</v>
      </c>
      <c r="E21" s="1211">
        <f>'[1]CLASSE 2'!H418+'[1]CLASSE 2'!H420+'[1]CLASSE 2'!H424</f>
        <v>0</v>
      </c>
      <c r="F21" s="216">
        <f>D21+E21-G21</f>
        <v>0</v>
      </c>
      <c r="G21" s="1211">
        <f>'[1]CLASSE 2'!J418+'[1]CLASSE 2'!J420+'[1]CLASSE 2'!J424</f>
        <v>0</v>
      </c>
    </row>
    <row r="22" spans="2:7" ht="24" customHeight="1">
      <c r="B22" s="1721" t="str">
        <f>IF([1]ACCUEIL!B1=1,"Equipment, furniture and biological assets","Matériel, mobilier et actifs biologiques")</f>
        <v>Matériel, mobilier et actifs biologiques</v>
      </c>
      <c r="C22" s="1722"/>
      <c r="D22" s="1211">
        <f>'[1]CLASSE 2'!F444-'[1]CLASSE 2'!F436</f>
        <v>0</v>
      </c>
      <c r="E22" s="1211">
        <f>'[1]CLASSE 2'!H444-'[1]CLASSE 2'!H436</f>
        <v>0</v>
      </c>
      <c r="F22" s="216">
        <f>D22+E22-G22</f>
        <v>0</v>
      </c>
      <c r="G22" s="1211">
        <f>'[1]CLASSE 2'!J444-'[1]CLASSE 2'!J436</f>
        <v>0</v>
      </c>
    </row>
    <row r="23" spans="2:7" ht="24" customHeight="1">
      <c r="B23" s="1233" t="str">
        <f>IF([1]ACCUEIL!B1=1,"Transport equipment","Matériel de transport")</f>
        <v>Matériel de transport</v>
      </c>
      <c r="C23" s="219"/>
      <c r="D23" s="1211">
        <f>'[1]CLASSE 2'!F436</f>
        <v>0</v>
      </c>
      <c r="E23" s="1211">
        <f>'[1]CLASSE 2'!H436</f>
        <v>0</v>
      </c>
      <c r="F23" s="216">
        <f>D23+E23-G23</f>
        <v>0</v>
      </c>
      <c r="G23" s="1211">
        <f>'[1]CLASSE 2'!J436</f>
        <v>0</v>
      </c>
    </row>
    <row r="24" spans="2:7" ht="24" customHeight="1">
      <c r="B24" s="1734" t="str">
        <f>IF([1]ACCUEIL!B1=1,"SOUS TOTAL: IMMOBILISATIONS CORPORATES","SOUS TOTAL: IMMOBILISATIONS CORPORELLES")</f>
        <v>SOUS TOTAL: IMMOBILISATIONS CORPORELLES</v>
      </c>
      <c r="C24" s="1735"/>
      <c r="D24" s="1231">
        <f>SUBTOTAL(9,D17:D23)</f>
        <v>0</v>
      </c>
      <c r="E24" s="210">
        <f>SUBTOTAL(9,E17:E23)</f>
        <v>0</v>
      </c>
      <c r="F24" s="210">
        <f>SUBTOTAL(9,F17:F23)</f>
        <v>0</v>
      </c>
      <c r="G24" s="210">
        <f>SUBTOTAL(9,G17:G23)</f>
        <v>0</v>
      </c>
    </row>
    <row r="25" spans="2:7" ht="24" customHeight="1">
      <c r="B25" s="1237" t="s">
        <v>58</v>
      </c>
      <c r="C25" s="1234"/>
      <c r="D25" s="1231">
        <f>D16+D24</f>
        <v>0</v>
      </c>
      <c r="E25" s="210">
        <f>E16+E24</f>
        <v>0</v>
      </c>
      <c r="F25" s="210">
        <f>F16+F24</f>
        <v>0</v>
      </c>
      <c r="G25" s="210">
        <f>G16+G24</f>
        <v>0</v>
      </c>
    </row>
    <row r="26" spans="2:7">
      <c r="B26" s="1214"/>
      <c r="C26" s="1214"/>
      <c r="D26" s="1235"/>
      <c r="E26" s="1235"/>
      <c r="F26" s="1236"/>
      <c r="G26" s="1214"/>
    </row>
    <row r="27" spans="2:7">
      <c r="B27" s="1214"/>
      <c r="C27" s="1214"/>
      <c r="D27" s="1214"/>
      <c r="E27" s="1214"/>
      <c r="F27" s="1214"/>
      <c r="G27" s="1214"/>
    </row>
    <row r="28" spans="2:7">
      <c r="B28" s="1100" t="str">
        <f>'NOTE 3 B'!B21</f>
        <v>COMMENTAIRE</v>
      </c>
      <c r="C28" s="1733">
        <f>'[1]NOTE 3 C'!C28:G28</f>
        <v>0</v>
      </c>
      <c r="D28" s="1733"/>
      <c r="E28" s="1733"/>
      <c r="F28" s="1733"/>
      <c r="G28" s="1733"/>
    </row>
    <row r="29" spans="2:7">
      <c r="B29" s="1214"/>
      <c r="C29" s="1733">
        <f>'[1]NOTE 3 C'!C29:G29</f>
        <v>0</v>
      </c>
      <c r="D29" s="1733"/>
      <c r="E29" s="1733"/>
      <c r="F29" s="1733"/>
      <c r="G29" s="1733"/>
    </row>
    <row r="30" spans="2:7">
      <c r="B30" s="1214"/>
      <c r="C30" s="1733">
        <f>'[1]NOTE 3 C'!C30:G30</f>
        <v>0</v>
      </c>
      <c r="D30" s="1733"/>
      <c r="E30" s="1733"/>
      <c r="F30" s="1733"/>
      <c r="G30" s="1733"/>
    </row>
    <row r="31" spans="2:7">
      <c r="B31" s="1214"/>
      <c r="C31" s="1733">
        <f>'[1]NOTE 3 C'!C31:G31</f>
        <v>0</v>
      </c>
      <c r="D31" s="1733"/>
      <c r="E31" s="1733"/>
      <c r="F31" s="1733"/>
      <c r="G31" s="1733"/>
    </row>
    <row r="32" spans="2:7">
      <c r="C32" s="1733">
        <f>'[1]NOTE 3 C'!C32:G32</f>
        <v>0</v>
      </c>
      <c r="D32" s="1733"/>
      <c r="E32" s="1733"/>
      <c r="F32" s="1733"/>
      <c r="G32" s="1733"/>
    </row>
    <row r="33" spans="3:7">
      <c r="C33" s="1733">
        <f>'[1]NOTE 3 C'!C33:G33</f>
        <v>0</v>
      </c>
      <c r="D33" s="1733"/>
      <c r="E33" s="1733"/>
      <c r="F33" s="1733"/>
      <c r="G33" s="1733"/>
    </row>
    <row r="34" spans="3:7">
      <c r="C34" s="1733">
        <f>'[1]NOTE 3 C'!C34:G34</f>
        <v>0</v>
      </c>
      <c r="D34" s="1733"/>
      <c r="E34" s="1733"/>
      <c r="F34" s="1733"/>
      <c r="G34" s="1733"/>
    </row>
    <row r="35" spans="3:7">
      <c r="C35" s="1733">
        <f>'[1]NOTE 3 C'!C35:G35</f>
        <v>0</v>
      </c>
      <c r="D35" s="1733"/>
      <c r="E35" s="1733"/>
      <c r="F35" s="1733"/>
      <c r="G35" s="1733"/>
    </row>
    <row r="36" spans="3:7">
      <c r="C36" s="1733">
        <f>'[1]NOTE 3 C'!C36:G36</f>
        <v>0</v>
      </c>
      <c r="D36" s="1733"/>
      <c r="E36" s="1733"/>
      <c r="F36" s="1733"/>
      <c r="G36" s="1733"/>
    </row>
  </sheetData>
  <sheetProtection selectLockedCells="1"/>
  <mergeCells count="26">
    <mergeCell ref="C35:G35"/>
    <mergeCell ref="C36:G36"/>
    <mergeCell ref="C29:G29"/>
    <mergeCell ref="C30:G30"/>
    <mergeCell ref="C31:G31"/>
    <mergeCell ref="C32:G32"/>
    <mergeCell ref="C33:G33"/>
    <mergeCell ref="C34:G34"/>
    <mergeCell ref="C28:G28"/>
    <mergeCell ref="B13:C13"/>
    <mergeCell ref="B14:C14"/>
    <mergeCell ref="B15:C15"/>
    <mergeCell ref="B16:C16"/>
    <mergeCell ref="B17:C17"/>
    <mergeCell ref="B18:C18"/>
    <mergeCell ref="B19:C19"/>
    <mergeCell ref="B20:C20"/>
    <mergeCell ref="B21:C21"/>
    <mergeCell ref="B22:C22"/>
    <mergeCell ref="B24:C24"/>
    <mergeCell ref="B12:C12"/>
    <mergeCell ref="B1:G1"/>
    <mergeCell ref="F2:G3"/>
    <mergeCell ref="B9:G9"/>
    <mergeCell ref="B10:C10"/>
    <mergeCell ref="B11:C11"/>
  </mergeCells>
  <conditionalFormatting sqref="C6:D6 F6:I6 E5:J5 C5">
    <cfRule type="expression" dxfId="44" priority="3">
      <formula>#REF!=1</formula>
    </cfRule>
  </conditionalFormatting>
  <conditionalFormatting sqref="E7">
    <cfRule type="expression" dxfId="43" priority="2">
      <formula>#REF!=1</formula>
    </cfRule>
  </conditionalFormatting>
  <conditionalFormatting sqref="C7">
    <cfRule type="expression" dxfId="42" priority="1">
      <formula>#REF!=1</formula>
    </cfRule>
  </conditionalFormatting>
  <printOptions horizontalCentered="1"/>
  <pageMargins left="0.78740157480314965" right="0" top="0.66" bottom="0.19685039370078741" header="0.31496062992125984" footer="0.31496062992125984"/>
  <pageSetup paperSize="9" scale="73" orientation="landscape" r:id="rId1"/>
  <headerFooter>
    <oddHeader>&amp;C&amp;"-,Gras"&amp;14Page &amp;P / &amp;N</oddHeader>
  </headerFooter>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6">
    <pageSetUpPr fitToPage="1"/>
  </sheetPr>
  <dimension ref="B2:L35"/>
  <sheetViews>
    <sheetView showGridLines="0" showZeros="0" topLeftCell="A10" zoomScale="90" zoomScaleNormal="90" workbookViewId="0">
      <selection activeCell="N16" sqref="N16"/>
    </sheetView>
  </sheetViews>
  <sheetFormatPr baseColWidth="10" defaultColWidth="11.42578125" defaultRowHeight="15"/>
  <cols>
    <col min="1" max="1" width="7.85546875" customWidth="1"/>
    <col min="3" max="3" width="14.42578125" customWidth="1"/>
    <col min="4" max="4" width="25" customWidth="1"/>
    <col min="5" max="6" width="13.28515625" customWidth="1"/>
    <col min="7" max="7" width="12" customWidth="1"/>
    <col min="8" max="12" width="13.28515625" customWidth="1"/>
  </cols>
  <sheetData>
    <row r="2" spans="2:12" ht="15" customHeight="1">
      <c r="B2" s="488"/>
      <c r="C2" s="488"/>
      <c r="D2" s="488"/>
      <c r="E2" s="488"/>
      <c r="F2" s="488"/>
      <c r="G2" s="488"/>
      <c r="H2" s="488"/>
      <c r="I2" s="488"/>
      <c r="J2" s="488"/>
      <c r="K2" s="1650" t="str">
        <f>IF([1]ACCUEIL!B1=1,"NOTE 3C BIS
NORMAL SYSTEM","NOTE 3C BIS
SYSTEME NORMAL")</f>
        <v>NOTE 3C BIS
SYSTEME NORMAL</v>
      </c>
      <c r="L2" s="1651"/>
    </row>
    <row r="3" spans="2:12" ht="15" customHeight="1">
      <c r="B3" s="489"/>
      <c r="C3" s="489"/>
      <c r="D3" s="489"/>
      <c r="E3" s="489"/>
      <c r="F3" s="489"/>
      <c r="G3" s="489"/>
      <c r="H3" s="489"/>
      <c r="I3" s="490"/>
      <c r="J3" s="490"/>
      <c r="K3" s="1652"/>
      <c r="L3" s="1653"/>
    </row>
    <row r="4" spans="2:12">
      <c r="B4" s="491" t="str">
        <f>'NOTE 3 C'!B4</f>
        <v>Désignation entité:</v>
      </c>
      <c r="C4" s="492"/>
      <c r="D4" s="477" t="str">
        <f>+'NOTE 3 C'!C4</f>
        <v/>
      </c>
      <c r="E4" s="477"/>
      <c r="F4" s="477"/>
      <c r="G4" s="477"/>
      <c r="H4" s="477"/>
      <c r="I4" s="477"/>
      <c r="J4" s="477"/>
      <c r="K4" s="477"/>
      <c r="L4" s="477"/>
    </row>
    <row r="5" spans="2:12">
      <c r="B5" s="491" t="str">
        <f>'NOTE 3 C'!B5</f>
        <v>Sigle usuel :</v>
      </c>
      <c r="C5" s="478"/>
      <c r="D5" s="477" t="str">
        <f>+'NOTE 3 C'!C5</f>
        <v/>
      </c>
      <c r="E5" s="477"/>
      <c r="F5" s="493"/>
      <c r="G5" s="493"/>
      <c r="H5" s="493"/>
      <c r="I5" s="493"/>
      <c r="J5" s="493"/>
      <c r="K5" s="494"/>
      <c r="L5" s="494"/>
    </row>
    <row r="6" spans="2:12">
      <c r="B6" s="491" t="str">
        <f>'NOTE 3 C'!B6</f>
        <v>Adresse:</v>
      </c>
      <c r="C6" s="492"/>
      <c r="D6" s="477">
        <f>+'NOTE 3 C'!C6</f>
        <v>0</v>
      </c>
      <c r="E6" s="477"/>
      <c r="F6" s="495"/>
      <c r="G6" s="495"/>
      <c r="H6" s="495"/>
      <c r="I6" s="496"/>
      <c r="J6" s="497"/>
      <c r="K6" s="481" t="str">
        <f>'NOTE 3 C'!F6</f>
        <v>BP:</v>
      </c>
      <c r="L6" s="405" t="str">
        <f>+'NOTE 3 C'!G6</f>
        <v/>
      </c>
    </row>
    <row r="7" spans="2:12">
      <c r="B7" s="491" t="str">
        <f>'NOTE 3 C'!B7</f>
        <v>Numéro d'identification:</v>
      </c>
      <c r="C7" s="492"/>
      <c r="D7" s="477" t="str">
        <f>+'NOTE 3 C'!C7</f>
        <v/>
      </c>
      <c r="E7" s="477"/>
      <c r="F7" s="1736" t="str">
        <f>'NOTE 3 C'!D7</f>
        <v xml:space="preserve">   Exercice clos le 31 - 12- </v>
      </c>
      <c r="G7" s="1736"/>
      <c r="H7" s="498">
        <f>+'NOTE 3 C'!E7</f>
        <v>2025</v>
      </c>
      <c r="I7" s="499"/>
      <c r="J7" s="1737" t="str">
        <f>'NOTE 3 C'!F7</f>
        <v xml:space="preserve">    Durée (en mois):</v>
      </c>
      <c r="K7" s="1737"/>
      <c r="L7" s="493">
        <f>+'NOTE 3 C'!G7</f>
        <v>12</v>
      </c>
    </row>
    <row r="8" spans="2:12" ht="35.1" customHeight="1">
      <c r="B8" s="1738" t="str">
        <f>IF([1]ACCUEIL!B1=1,"NOTE 3C BIS: FIXED ASSETS (DEPRECIATIONS)","NOTE 3C BIS : IMMOBILISATIONS (DEPRECIATIONS)")</f>
        <v>NOTE 3C BIS : IMMOBILISATIONS (DEPRECIATIONS)</v>
      </c>
      <c r="C8" s="1738"/>
      <c r="D8" s="1738"/>
      <c r="E8" s="1738"/>
      <c r="F8" s="1738"/>
      <c r="G8" s="1738"/>
      <c r="H8" s="1738"/>
      <c r="I8" s="1738"/>
      <c r="J8" s="1738"/>
      <c r="K8" s="1738"/>
      <c r="L8" s="1738"/>
    </row>
    <row r="9" spans="2:12">
      <c r="B9" s="1739" t="str">
        <f>'NOTE 3 C'!B10:C10</f>
        <v>SITUATIONS ET MOUVEMENTS</v>
      </c>
      <c r="C9" s="1740"/>
      <c r="D9" s="1741"/>
      <c r="E9" s="1742" t="s">
        <v>92</v>
      </c>
      <c r="F9" s="1742"/>
      <c r="G9" s="1742" t="s">
        <v>100</v>
      </c>
      <c r="H9" s="1742"/>
      <c r="I9" s="1743" t="s">
        <v>102</v>
      </c>
      <c r="J9" s="1744"/>
      <c r="K9" s="1742" t="s">
        <v>251</v>
      </c>
      <c r="L9" s="1742"/>
    </row>
    <row r="10" spans="2:12">
      <c r="B10" s="1745"/>
      <c r="C10" s="1746"/>
      <c r="D10" s="1747"/>
      <c r="E10" s="1748" t="str">
        <f>IF([1]ACCUEIL!B1=1,"ACCUMULATED DEPRECIATION AT THE BEGINNING OF THE FINANCIAL YEAR","DEPRECIATIONS CUMULES A L'OUVERTURE DE L'EXERCICE")</f>
        <v>DEPRECIATIONS CUMULES A L'OUVERTURE DE L'EXERCICE</v>
      </c>
      <c r="F10" s="1748"/>
      <c r="G10" s="1748" t="str">
        <f>IF([1]ACCUEIL!B1=1,"INCREASES: ALLOCATIONS FOR THE YEAR","AUGMENTATIONS: DOTATIONS DE L'EXERCICE")</f>
        <v>AUGMENTATIONS: DOTATIONS DE L'EXERCICE</v>
      </c>
      <c r="H10" s="1748"/>
      <c r="I10" s="1748" t="str">
        <f>IF([1]ACCUEIL!B1=1,"DECREASES: REVERSALS FOR THE YEAR","DIMINUTIONS : REPRISES DE L'EXERCICE")</f>
        <v>DIMINUTIONS : REPRISES DE L'EXERCICE</v>
      </c>
      <c r="J10" s="1748"/>
      <c r="K10" s="1748" t="str">
        <f>IF([1]ACCUEIL!B1=1,"ACCUMULATED DEPRECIATION AT THE END OF THE YEAR","CUMUL DES DEPRECIATIONS A LA CLOTURE DE L'EXERCICE")</f>
        <v>CUMUL DES DEPRECIATIONS A LA CLOTURE DE L'EXERCICE</v>
      </c>
      <c r="L10" s="1748"/>
    </row>
    <row r="11" spans="2:12" ht="44.25" customHeight="1">
      <c r="B11" s="1749" t="str">
        <f>'NOTE 3 C'!B11:C11</f>
        <v xml:space="preserve">      RUBRIQUES</v>
      </c>
      <c r="C11" s="1750"/>
      <c r="D11" s="1751"/>
      <c r="E11" s="1748"/>
      <c r="F11" s="1748"/>
      <c r="G11" s="1748"/>
      <c r="H11" s="1748"/>
      <c r="I11" s="1748"/>
      <c r="J11" s="1748"/>
      <c r="K11" s="1748"/>
      <c r="L11" s="1748"/>
    </row>
    <row r="12" spans="2:12" ht="24.95" customHeight="1">
      <c r="B12" s="1759" t="str">
        <f>IF([1]ACCUEIL!B1=1,"Development and prospecting costs ","Frais de développement et de prospection ")</f>
        <v xml:space="preserve">Frais de développement et de prospection </v>
      </c>
      <c r="C12" s="1760"/>
      <c r="D12" s="1761"/>
      <c r="E12" s="1755">
        <f>+'[1]CLASSE 2'!F446</f>
        <v>0</v>
      </c>
      <c r="F12" s="1756"/>
      <c r="G12" s="1755">
        <f>+'[1]CLASSE 2'!H446</f>
        <v>0</v>
      </c>
      <c r="H12" s="1756"/>
      <c r="I12" s="1755">
        <f>+'[1]CLASSE 2'!G446</f>
        <v>0</v>
      </c>
      <c r="J12" s="1756"/>
      <c r="K12" s="1757">
        <f>+'[1]CLASSE 2'!J446</f>
        <v>0</v>
      </c>
      <c r="L12" s="1758"/>
    </row>
    <row r="13" spans="2:12" ht="24.95" customHeight="1">
      <c r="B13" s="1752" t="str">
        <f>IF([1]ACCUEIL!B1=1,"Patents, licences, software and similar rights ","Brevets, licences, logiciels et droits similaires ")</f>
        <v xml:space="preserve">Brevets, licences, logiciels et droits similaires </v>
      </c>
      <c r="C13" s="1753"/>
      <c r="D13" s="1754"/>
      <c r="E13" s="1755">
        <f>+'[1]CLASSE 2'!F448+'[1]CLASSE 2'!F450+'[1]CLASSE 2'!F452</f>
        <v>0</v>
      </c>
      <c r="F13" s="1756"/>
      <c r="G13" s="1755">
        <f>+'[1]CLASSE 2'!H448+'[1]CLASSE 2'!H450+'[1]CLASSE 2'!H452</f>
        <v>0</v>
      </c>
      <c r="H13" s="1756"/>
      <c r="I13" s="1755">
        <f>+'[1]CLASSE 2'!G448+'[1]CLASSE 2'!G450+'[1]CLASSE 2'!G452</f>
        <v>0</v>
      </c>
      <c r="J13" s="1756"/>
      <c r="K13" s="1757">
        <f>+'[1]CLASSE 2'!J448+'[1]CLASSE 2'!J450+'[1]CLASSE 2'!J452</f>
        <v>0</v>
      </c>
      <c r="L13" s="1758"/>
    </row>
    <row r="14" spans="2:12" ht="24.95" customHeight="1">
      <c r="B14" s="1752" t="str">
        <f>IF([1]ACCUEIL!B1=1,"Commercial property and tenancy law","Fonds commercial et droit au bail")</f>
        <v>Fonds commercial et droit au bail</v>
      </c>
      <c r="C14" s="1753"/>
      <c r="D14" s="1754"/>
      <c r="E14" s="1755">
        <f>+'[1]CLASSE 2'!F454+'[1]CLASSE 2'!F456</f>
        <v>0</v>
      </c>
      <c r="F14" s="1756"/>
      <c r="G14" s="1755">
        <f>+'[1]CLASSE 2'!H454+'[1]CLASSE 2'!H456</f>
        <v>0</v>
      </c>
      <c r="H14" s="1756"/>
      <c r="I14" s="1755">
        <f>+'[1]CLASSE 2'!G454+'[1]CLASSE 2'!G456</f>
        <v>0</v>
      </c>
      <c r="J14" s="1756"/>
      <c r="K14" s="1757">
        <f>+'[1]CLASSE 2'!J454+'[1]CLASSE 2'!J456</f>
        <v>0</v>
      </c>
      <c r="L14" s="1758"/>
    </row>
    <row r="15" spans="2:12" ht="24.95" customHeight="1">
      <c r="B15" s="1752" t="str">
        <f>IF([1]ACCUEIL!B1=1,"Other intangible assets","Autres immobilisations incorporelles")</f>
        <v>Autres immobilisations incorporelles</v>
      </c>
      <c r="C15" s="1753"/>
      <c r="D15" s="1754"/>
      <c r="E15" s="1755">
        <f>+SUM('[1]CLASSE 2'!F458:F466)</f>
        <v>0</v>
      </c>
      <c r="F15" s="1756"/>
      <c r="G15" s="1755">
        <f>+SUM('[1]CLASSE 2'!H458:H466)</f>
        <v>0</v>
      </c>
      <c r="H15" s="1756"/>
      <c r="I15" s="1755">
        <f>+SUM('[1]CLASSE 2'!G458:G466)</f>
        <v>0</v>
      </c>
      <c r="J15" s="1756"/>
      <c r="K15" s="1757">
        <f>+SUM('[1]CLASSE 2'!J458:J466)</f>
        <v>0</v>
      </c>
      <c r="L15" s="1758"/>
    </row>
    <row r="16" spans="2:12" ht="24.95" customHeight="1">
      <c r="B16" s="1762" t="str">
        <f>IF([1]ACCUEIL!B1=1,"INTANGIBLE ASSETS","IMMOBILISATIONS INCORPORELLES")</f>
        <v>IMMOBILISATIONS INCORPORELLES</v>
      </c>
      <c r="C16" s="1763"/>
      <c r="D16" s="1764"/>
      <c r="E16" s="1765">
        <f>SUM(E12:F15)</f>
        <v>0</v>
      </c>
      <c r="F16" s="1766"/>
      <c r="G16" s="1765">
        <f>SUM(G12:H15)</f>
        <v>0</v>
      </c>
      <c r="H16" s="1766"/>
      <c r="I16" s="1765">
        <f>SUM(I12:J15)</f>
        <v>0</v>
      </c>
      <c r="J16" s="1766"/>
      <c r="K16" s="1765">
        <f>SUM(K12:L15)</f>
        <v>0</v>
      </c>
      <c r="L16" s="1766"/>
    </row>
    <row r="17" spans="2:12" ht="24.95" customHeight="1">
      <c r="B17" s="1752" t="str">
        <f>IF([1]ACCUEIL!B1=1,"Land excluding investment property ","Terrains hors immeuble de placement ")</f>
        <v xml:space="preserve">Terrains hors immeuble de placement </v>
      </c>
      <c r="C17" s="1753"/>
      <c r="D17" s="1754"/>
      <c r="E17" s="1755">
        <f>+'[1]CLASSE 2'!F487</f>
        <v>0</v>
      </c>
      <c r="F17" s="1756"/>
      <c r="G17" s="1755">
        <f>+'[1]CLASSE 2'!H487</f>
        <v>0</v>
      </c>
      <c r="H17" s="1756"/>
      <c r="I17" s="1755">
        <f>+'[1]CLASSE 2'!G487</f>
        <v>0</v>
      </c>
      <c r="J17" s="1756"/>
      <c r="K17" s="1757">
        <f>'[1]CLASSE 2'!J487</f>
        <v>0</v>
      </c>
      <c r="L17" s="1758"/>
    </row>
    <row r="18" spans="2:12" ht="24.95" customHeight="1">
      <c r="B18" s="1752" t="str">
        <f>IF([1]ACCUEIL!B1=1,"Land - investment property  ","Terrains - immeuble de  placement  ")</f>
        <v xml:space="preserve">Terrains - immeuble de  placement  </v>
      </c>
      <c r="C18" s="1753"/>
      <c r="D18" s="1754"/>
      <c r="E18" s="1755">
        <f>'[1]NOTE 3C Bis'!E18:F18</f>
        <v>0</v>
      </c>
      <c r="F18" s="1756"/>
      <c r="G18" s="1755">
        <f>'[1]NOTE 3C Bis'!G18:H18</f>
        <v>0</v>
      </c>
      <c r="H18" s="1756"/>
      <c r="I18" s="1755">
        <f>'[1]NOTE 3C Bis'!I18:J18</f>
        <v>0</v>
      </c>
      <c r="J18" s="1756"/>
      <c r="K18" s="1757">
        <f t="shared" ref="K18:K23" si="0">E18+G18-I18</f>
        <v>0</v>
      </c>
      <c r="L18" s="1758"/>
    </row>
    <row r="19" spans="2:12" ht="24.95" customHeight="1">
      <c r="B19" s="1752" t="str">
        <f>IF([1]ACCUEIL!B1=1,"Buildings other than investment property ","Bâtiments hors immeuble de placement ")</f>
        <v xml:space="preserve">Bâtiments hors immeuble de placement </v>
      </c>
      <c r="C19" s="1753"/>
      <c r="D19" s="1754"/>
      <c r="E19" s="1755">
        <f>+'[1]CLASSE 2'!F489+'[1]CLASSE 2'!F491+'[1]CLASSE 2'!F493+'[1]CLASSE 2'!F503+'[1]CLASSE 2'!F499</f>
        <v>0</v>
      </c>
      <c r="F19" s="1756"/>
      <c r="G19" s="1755">
        <f>+'[1]CLASSE 2'!H489+'[1]CLASSE 2'!H491+'[1]CLASSE 2'!H493+'[1]CLASSE 2'!H503+'[1]CLASSE 2'!H499</f>
        <v>0</v>
      </c>
      <c r="H19" s="1756"/>
      <c r="I19" s="1755">
        <f>+'[1]CLASSE 2'!G489+'[1]CLASSE 2'!G491+'[1]CLASSE 2'!G493+'[1]CLASSE 2'!G503+'[1]CLASSE 2'!G499</f>
        <v>0</v>
      </c>
      <c r="J19" s="1756"/>
      <c r="K19" s="1757">
        <f>E19+G19-I19</f>
        <v>0</v>
      </c>
      <c r="L19" s="1758"/>
    </row>
    <row r="20" spans="2:12" ht="24.95" customHeight="1">
      <c r="B20" s="1752" t="str">
        <f>IF([1]ACCUEIL!B1=1,"Buildings - investment property ","Bâtiments - immeuble de placement ")</f>
        <v xml:space="preserve">Bâtiments - immeuble de placement </v>
      </c>
      <c r="C20" s="1753"/>
      <c r="D20" s="1754"/>
      <c r="E20" s="1755">
        <f>'[1]NOTE 3C Bis'!E20:F20</f>
        <v>0</v>
      </c>
      <c r="F20" s="1756"/>
      <c r="G20" s="1755">
        <f>'[1]NOTE 3C Bis'!G20:H20</f>
        <v>0</v>
      </c>
      <c r="H20" s="1756"/>
      <c r="I20" s="1755">
        <f>'[1]NOTE 3C Bis'!I20:J20</f>
        <v>0</v>
      </c>
      <c r="J20" s="1756"/>
      <c r="K20" s="1757">
        <f>E20+G20-I20</f>
        <v>0</v>
      </c>
      <c r="L20" s="1758"/>
    </row>
    <row r="21" spans="2:12" ht="24.95" customHeight="1">
      <c r="B21" s="1752" t="str">
        <f>IF([1]ACCUEIL!B1=1,"Fittings, fixtures and installations ","Aménagements, agencements et installations ")</f>
        <v xml:space="preserve">Aménagements, agencements et installations </v>
      </c>
      <c r="C21" s="1753"/>
      <c r="D21" s="1754"/>
      <c r="E21" s="1755">
        <f>+'[1]CLASSE 2'!F495+'[1]CLASSE 2'!F497+'[1]CLASSE 2'!F501+'[1]CLASSE 2'!F505</f>
        <v>0</v>
      </c>
      <c r="F21" s="1756"/>
      <c r="G21" s="1755">
        <f>+'[1]CLASSE 2'!H495+'[1]CLASSE 2'!H497+'[1]CLASSE 2'!H501+'[1]CLASSE 2'!H505</f>
        <v>0</v>
      </c>
      <c r="H21" s="1756"/>
      <c r="I21" s="1755">
        <f>+'[1]CLASSE 2'!G495+'[1]CLASSE 2'!G497+'[1]CLASSE 2'!G501+'[1]CLASSE 2'!G505</f>
        <v>0</v>
      </c>
      <c r="J21" s="1756"/>
      <c r="K21" s="1757">
        <f t="shared" si="0"/>
        <v>0</v>
      </c>
      <c r="L21" s="1758"/>
    </row>
    <row r="22" spans="2:12" ht="24.95" customHeight="1">
      <c r="B22" s="1752" t="str">
        <f>IF([1]ACCUEIL!B1=1,"Equipment, furniture and biological assets","Matériel, mobilier et actifs biologiques")</f>
        <v>Matériel, mobilier et actifs biologiques</v>
      </c>
      <c r="C22" s="1753"/>
      <c r="D22" s="1754"/>
      <c r="E22" s="1755">
        <f>+'[1]CLASSE 2'!F527-'[1]CLASSE 2'!F516</f>
        <v>0</v>
      </c>
      <c r="F22" s="1756"/>
      <c r="G22" s="1755">
        <f>+'[1]CLASSE 2'!H527-'[1]CLASSE 2'!H516</f>
        <v>0</v>
      </c>
      <c r="H22" s="1756"/>
      <c r="I22" s="1755">
        <f>+'[1]CLASSE 2'!G527-'[1]CLASSE 2'!G516</f>
        <v>0</v>
      </c>
      <c r="J22" s="1756"/>
      <c r="K22" s="1757">
        <f t="shared" si="0"/>
        <v>0</v>
      </c>
      <c r="L22" s="1758"/>
    </row>
    <row r="23" spans="2:12" ht="24.95" customHeight="1">
      <c r="B23" s="1752" t="str">
        <f>IF([1]ACCUEIL!B1=1,"Matériel de transport","Matériel de transport")</f>
        <v>Matériel de transport</v>
      </c>
      <c r="C23" s="1753"/>
      <c r="D23" s="1754"/>
      <c r="E23" s="1755">
        <f>'[1]CLASSE 2'!F516</f>
        <v>0</v>
      </c>
      <c r="F23" s="1756"/>
      <c r="G23" s="1755">
        <f>'[1]CLASSE 2'!H516</f>
        <v>0</v>
      </c>
      <c r="H23" s="1756"/>
      <c r="I23" s="1755">
        <f>'[1]CLASSE 2'!G516</f>
        <v>0</v>
      </c>
      <c r="J23" s="1756"/>
      <c r="K23" s="1757">
        <f t="shared" si="0"/>
        <v>0</v>
      </c>
      <c r="L23" s="1758"/>
    </row>
    <row r="24" spans="2:12" ht="24.95" customHeight="1">
      <c r="B24" s="1762" t="str">
        <f>IF([1]ACCUEIL!B1=1,"TANGIBLE FIXED ASSETS","IMMOBILISATIONS CORPORELLES")</f>
        <v>IMMOBILISATIONS CORPORELLES</v>
      </c>
      <c r="C24" s="1763"/>
      <c r="D24" s="1764"/>
      <c r="E24" s="1765">
        <f>SUM(E17:F23)</f>
        <v>0</v>
      </c>
      <c r="F24" s="1766"/>
      <c r="G24" s="1765">
        <f>SUM(G17:H23)</f>
        <v>0</v>
      </c>
      <c r="H24" s="1766"/>
      <c r="I24" s="1765">
        <f>SUM(I17:J23)</f>
        <v>0</v>
      </c>
      <c r="J24" s="1766"/>
      <c r="K24" s="1765">
        <f>SUM(K17:L23)</f>
        <v>0</v>
      </c>
      <c r="L24" s="1766"/>
    </row>
    <row r="25" spans="2:12" ht="24.95" customHeight="1">
      <c r="B25" s="1767" t="s">
        <v>58</v>
      </c>
      <c r="C25" s="1768"/>
      <c r="D25" s="1769"/>
      <c r="E25" s="1770">
        <f>E16+E24</f>
        <v>0</v>
      </c>
      <c r="F25" s="1771"/>
      <c r="G25" s="1770">
        <f>G16+G24</f>
        <v>0</v>
      </c>
      <c r="H25" s="1771"/>
      <c r="I25" s="1770">
        <f>I16+I24</f>
        <v>0</v>
      </c>
      <c r="J25" s="1771"/>
      <c r="K25" s="1770">
        <f>K16+K24</f>
        <v>0</v>
      </c>
      <c r="L25" s="1771"/>
    </row>
    <row r="26" spans="2:12" s="502" customFormat="1" ht="11.25">
      <c r="B26" s="500"/>
      <c r="C26" s="501"/>
      <c r="D26" s="501"/>
      <c r="E26" s="501"/>
      <c r="F26" s="501"/>
      <c r="G26" s="501"/>
      <c r="H26" s="501"/>
      <c r="I26" s="501"/>
      <c r="J26" s="501"/>
      <c r="K26" s="501"/>
      <c r="L26" s="501"/>
    </row>
    <row r="27" spans="2:12" s="502" customFormat="1" ht="11.25">
      <c r="B27" s="503" t="str">
        <f>IF([1]ACCUEIL!B1=1,"● Indicate the events and circumstances that led to the impairment and reversal.","●   Indiquer les événements et circonstances qui ont conduit à la dépréciation et à la reprise.")</f>
        <v>●   Indiquer les événements et circonstances qui ont conduit à la dépréciation et à la reprise.</v>
      </c>
      <c r="C27" s="501"/>
      <c r="D27" s="501"/>
      <c r="E27" s="501"/>
      <c r="F27" s="501"/>
      <c r="G27" s="501"/>
      <c r="H27" s="501"/>
      <c r="I27" s="501"/>
      <c r="J27" s="501"/>
      <c r="K27" s="501"/>
      <c r="L27" s="501"/>
    </row>
    <row r="28" spans="2:12">
      <c r="B28" s="504" t="str">
        <f>'NOTE 3 C'!B28</f>
        <v>COMMENTAIRE</v>
      </c>
      <c r="D28" s="1772"/>
      <c r="E28" s="1772"/>
      <c r="F28" s="1772"/>
      <c r="G28" s="1772"/>
      <c r="H28" s="1772"/>
      <c r="I28" s="1772"/>
      <c r="J28" s="1772"/>
      <c r="K28" s="1772"/>
      <c r="L28" s="1772"/>
    </row>
    <row r="29" spans="2:12" ht="15.75">
      <c r="B29" s="505" t="s">
        <v>252</v>
      </c>
      <c r="C29" s="505"/>
      <c r="D29" s="1660">
        <f>'[1]NOTE 3C Bis'!D29:L29</f>
        <v>0</v>
      </c>
      <c r="E29" s="1660"/>
      <c r="F29" s="1660"/>
      <c r="G29" s="1660"/>
      <c r="H29" s="1660"/>
      <c r="I29" s="1660"/>
      <c r="J29" s="1660"/>
      <c r="K29" s="1660"/>
      <c r="L29" s="1660"/>
    </row>
    <row r="30" spans="2:12">
      <c r="D30" s="1660">
        <f>'[1]NOTE 3C Bis'!D30:L30</f>
        <v>0</v>
      </c>
      <c r="E30" s="1660"/>
      <c r="F30" s="1660"/>
      <c r="G30" s="1660"/>
      <c r="H30" s="1660"/>
      <c r="I30" s="1660"/>
      <c r="J30" s="1660"/>
      <c r="K30" s="1660"/>
      <c r="L30" s="1660"/>
    </row>
    <row r="31" spans="2:12">
      <c r="D31" s="1660">
        <f>'[1]NOTE 3C Bis'!D31:L31</f>
        <v>0</v>
      </c>
      <c r="E31" s="1660"/>
      <c r="F31" s="1660"/>
      <c r="G31" s="1660"/>
      <c r="H31" s="1660"/>
      <c r="I31" s="1660"/>
      <c r="J31" s="1660"/>
      <c r="K31" s="1660"/>
      <c r="L31" s="1660"/>
    </row>
    <row r="32" spans="2:12">
      <c r="D32" s="1660">
        <f>'[1]NOTE 3C Bis'!D32:L32</f>
        <v>0</v>
      </c>
      <c r="E32" s="1660"/>
      <c r="F32" s="1660"/>
      <c r="G32" s="1660"/>
      <c r="H32" s="1660"/>
      <c r="I32" s="1660"/>
      <c r="J32" s="1660"/>
      <c r="K32" s="1660"/>
      <c r="L32" s="1660"/>
    </row>
    <row r="33" spans="4:12">
      <c r="D33" s="1660">
        <f>'[1]NOTE 3C Bis'!D33:L33</f>
        <v>0</v>
      </c>
      <c r="E33" s="1660"/>
      <c r="F33" s="1660"/>
      <c r="G33" s="1660"/>
      <c r="H33" s="1660"/>
      <c r="I33" s="1660"/>
      <c r="J33" s="1660"/>
      <c r="K33" s="1660"/>
      <c r="L33" s="1660"/>
    </row>
    <row r="34" spans="4:12">
      <c r="D34" s="1660">
        <f>'[1]NOTE 3C Bis'!D34:L34</f>
        <v>0</v>
      </c>
      <c r="E34" s="1660"/>
      <c r="F34" s="1660"/>
      <c r="G34" s="1660"/>
      <c r="H34" s="1660"/>
      <c r="I34" s="1660"/>
      <c r="J34" s="1660"/>
      <c r="K34" s="1660"/>
      <c r="L34" s="1660"/>
    </row>
    <row r="35" spans="4:12">
      <c r="D35" s="1660">
        <f>'[1]NOTE 3C Bis'!D35:L35</f>
        <v>0</v>
      </c>
      <c r="E35" s="1660"/>
      <c r="F35" s="1660"/>
      <c r="G35" s="1660"/>
      <c r="H35" s="1660"/>
      <c r="I35" s="1660"/>
      <c r="J35" s="1660"/>
      <c r="K35" s="1660"/>
      <c r="L35" s="1660"/>
    </row>
  </sheetData>
  <mergeCells count="93">
    <mergeCell ref="D34:L34"/>
    <mergeCell ref="D35:L35"/>
    <mergeCell ref="D28:L28"/>
    <mergeCell ref="D29:L29"/>
    <mergeCell ref="D30:L30"/>
    <mergeCell ref="D31:L31"/>
    <mergeCell ref="D32:L32"/>
    <mergeCell ref="D33:L33"/>
    <mergeCell ref="B24:D24"/>
    <mergeCell ref="E24:F24"/>
    <mergeCell ref="G24:H24"/>
    <mergeCell ref="I24:J24"/>
    <mergeCell ref="K24:L24"/>
    <mergeCell ref="B25:D25"/>
    <mergeCell ref="E25:F25"/>
    <mergeCell ref="G25:H25"/>
    <mergeCell ref="I25:J25"/>
    <mergeCell ref="K25:L25"/>
    <mergeCell ref="B22:D22"/>
    <mergeCell ref="E22:F22"/>
    <mergeCell ref="G22:H22"/>
    <mergeCell ref="I22:J22"/>
    <mergeCell ref="K22:L22"/>
    <mergeCell ref="B23:D23"/>
    <mergeCell ref="E23:F23"/>
    <mergeCell ref="G23:H23"/>
    <mergeCell ref="I23:J23"/>
    <mergeCell ref="K23:L23"/>
    <mergeCell ref="B20:D20"/>
    <mergeCell ref="E20:F20"/>
    <mergeCell ref="G20:H20"/>
    <mergeCell ref="I20:J20"/>
    <mergeCell ref="K20:L20"/>
    <mergeCell ref="B21:D21"/>
    <mergeCell ref="E21:F21"/>
    <mergeCell ref="G21:H21"/>
    <mergeCell ref="I21:J21"/>
    <mergeCell ref="K21:L21"/>
    <mergeCell ref="B18:D18"/>
    <mergeCell ref="E18:F18"/>
    <mergeCell ref="G18:H18"/>
    <mergeCell ref="I18:J18"/>
    <mergeCell ref="K18:L18"/>
    <mergeCell ref="B19:D19"/>
    <mergeCell ref="E19:F19"/>
    <mergeCell ref="G19:H19"/>
    <mergeCell ref="I19:J19"/>
    <mergeCell ref="K19:L19"/>
    <mergeCell ref="B16:D16"/>
    <mergeCell ref="E16:F16"/>
    <mergeCell ref="G16:H16"/>
    <mergeCell ref="I16:J16"/>
    <mergeCell ref="K16:L16"/>
    <mergeCell ref="B17:D17"/>
    <mergeCell ref="E17:F17"/>
    <mergeCell ref="G17:H17"/>
    <mergeCell ref="I17:J17"/>
    <mergeCell ref="K17:L17"/>
    <mergeCell ref="B14:D14"/>
    <mergeCell ref="E14:F14"/>
    <mergeCell ref="G14:H14"/>
    <mergeCell ref="I14:J14"/>
    <mergeCell ref="K14:L14"/>
    <mergeCell ref="B15:D15"/>
    <mergeCell ref="E15:F15"/>
    <mergeCell ref="G15:H15"/>
    <mergeCell ref="I15:J15"/>
    <mergeCell ref="K15:L15"/>
    <mergeCell ref="B12:D12"/>
    <mergeCell ref="E12:F12"/>
    <mergeCell ref="G12:H12"/>
    <mergeCell ref="I12:J12"/>
    <mergeCell ref="K12:L12"/>
    <mergeCell ref="B13:D13"/>
    <mergeCell ref="E13:F13"/>
    <mergeCell ref="G13:H13"/>
    <mergeCell ref="I13:J13"/>
    <mergeCell ref="K13:L13"/>
    <mergeCell ref="B10:D10"/>
    <mergeCell ref="E10:F11"/>
    <mergeCell ref="G10:H11"/>
    <mergeCell ref="I10:J11"/>
    <mergeCell ref="K10:L11"/>
    <mergeCell ref="B11:D11"/>
    <mergeCell ref="K2:L3"/>
    <mergeCell ref="F7:G7"/>
    <mergeCell ref="J7:K7"/>
    <mergeCell ref="B8:L8"/>
    <mergeCell ref="B9:D9"/>
    <mergeCell ref="E9:F9"/>
    <mergeCell ref="G9:H9"/>
    <mergeCell ref="I9:J9"/>
    <mergeCell ref="K9:L9"/>
  </mergeCells>
  <conditionalFormatting sqref="C5 F5:J5">
    <cfRule type="expression" dxfId="41" priority="3">
      <formula>#REF!=1</formula>
    </cfRule>
  </conditionalFormatting>
  <conditionalFormatting sqref="L6">
    <cfRule type="expression" dxfId="40" priority="2">
      <formula>#REF!=1</formula>
    </cfRule>
  </conditionalFormatting>
  <conditionalFormatting sqref="H7">
    <cfRule type="expression" dxfId="39" priority="1">
      <formula>#REF!=1</formula>
    </cfRule>
  </conditionalFormatting>
  <dataValidations count="1">
    <dataValidation type="whole" allowBlank="1" showInputMessage="1" showErrorMessage="1" errorTitle="Attention !" error="Valeur numérique attendue" sqref="E12:J15 E17:J23" xr:uid="{00000000-0002-0000-1000-000000000000}">
      <formula1>-9999999999999</formula1>
      <formula2>9999999999999</formula2>
    </dataValidation>
  </dataValidations>
  <printOptions horizontalCentered="1"/>
  <pageMargins left="0.1965278" right="0.1965278" top="0.3541667" bottom="0.3541667" header="0.3152778" footer="0.3152778"/>
  <pageSetup paperSize="9" scale="79" orientation="landscape" r:id="rId1"/>
  <rowBreaks count="1" manualBreakCount="1">
    <brk id="27" min="1"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1]!ACCEUIL">
                <anchor moveWithCells="1" sizeWithCells="1">
                  <from>
                    <xdr:col>12</xdr:col>
                    <xdr:colOff>533400</xdr:colOff>
                    <xdr:row>2</xdr:row>
                    <xdr:rowOff>0</xdr:rowOff>
                  </from>
                  <to>
                    <xdr:col>14</xdr:col>
                    <xdr:colOff>361950</xdr:colOff>
                    <xdr:row>3</xdr:row>
                    <xdr:rowOff>95250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22">
    <pageSetUpPr fitToPage="1"/>
  </sheetPr>
  <dimension ref="A1:I32"/>
  <sheetViews>
    <sheetView showZeros="0" topLeftCell="A12" zoomScale="90" zoomScaleNormal="90" zoomScaleSheetLayoutView="100" workbookViewId="0">
      <selection activeCell="J19" sqref="J19"/>
    </sheetView>
  </sheetViews>
  <sheetFormatPr baseColWidth="10" defaultColWidth="11.42578125" defaultRowHeight="15"/>
  <cols>
    <col min="1" max="1" width="10.7109375" style="2" customWidth="1"/>
    <col min="2" max="2" width="24.85546875" style="2" customWidth="1"/>
    <col min="3" max="3" width="23" style="2" customWidth="1"/>
    <col min="4" max="4" width="20.85546875" style="2" customWidth="1"/>
    <col min="5" max="5" width="24" style="2" customWidth="1"/>
    <col min="6" max="6" width="20" style="2" customWidth="1"/>
    <col min="7" max="7" width="22.42578125" style="2" bestFit="1" customWidth="1"/>
    <col min="8" max="8" width="20" style="2" customWidth="1"/>
    <col min="9" max="9" width="9.85546875" style="2" hidden="1" customWidth="1"/>
    <col min="10" max="16384" width="11.42578125" style="2"/>
  </cols>
  <sheetData>
    <row r="1" spans="1:8">
      <c r="A1" s="506">
        <f>'NOTE 3 C'!A1</f>
        <v>0</v>
      </c>
      <c r="B1" s="1649"/>
      <c r="C1" s="1649"/>
      <c r="D1" s="1649"/>
      <c r="E1" s="1649"/>
      <c r="F1" s="1649"/>
      <c r="G1" s="1649"/>
      <c r="H1" s="1649"/>
    </row>
    <row r="2" spans="1:8">
      <c r="A2" s="506">
        <f>'NOTE 3 C'!B1</f>
        <v>0</v>
      </c>
      <c r="B2" s="144"/>
      <c r="C2" s="144"/>
      <c r="D2" s="144"/>
      <c r="E2" s="144"/>
      <c r="F2" s="144"/>
      <c r="G2" s="1650" t="str">
        <f>IF([1]ACCUEIL!B1=1,"NOTE 3 D
NORMAL SYSTEM","NOTE 3 D
SYSTEME NORMAL")</f>
        <v>NOTE 3 D
SYSTEME NORMAL</v>
      </c>
      <c r="H2" s="1651"/>
    </row>
    <row r="3" spans="1:8">
      <c r="B3" s="144"/>
      <c r="C3" s="144"/>
      <c r="D3" s="312"/>
      <c r="E3" s="144"/>
      <c r="F3" s="144"/>
      <c r="G3" s="1652"/>
      <c r="H3" s="1653"/>
    </row>
    <row r="4" spans="1:8">
      <c r="B4" s="476" t="str">
        <f>'NOTE 3C Bis'!B4</f>
        <v>Désignation entité:</v>
      </c>
      <c r="C4" s="319" t="str">
        <f>'NOTE 3 C'!C4</f>
        <v/>
      </c>
      <c r="D4" s="43"/>
      <c r="E4" s="43"/>
      <c r="F4" s="43"/>
      <c r="G4" s="43"/>
      <c r="H4" s="43"/>
    </row>
    <row r="5" spans="1:8">
      <c r="B5" s="476" t="str">
        <f>'NOTE 3C Bis'!B5</f>
        <v>Sigle usuel :</v>
      </c>
      <c r="C5" s="402" t="str">
        <f>'NOTE 3 C'!C5</f>
        <v/>
      </c>
      <c r="D5" s="175"/>
      <c r="E5" s="507"/>
      <c r="F5" s="507"/>
      <c r="G5" s="507"/>
      <c r="H5" s="430"/>
    </row>
    <row r="6" spans="1:8">
      <c r="B6" s="476" t="str">
        <f>'NOTE 3C Bis'!B6</f>
        <v>Adresse:</v>
      </c>
      <c r="C6" s="402">
        <f>'NOTE 3 C'!C6</f>
        <v>0</v>
      </c>
      <c r="D6" s="508"/>
      <c r="E6" s="509"/>
      <c r="F6" s="509"/>
      <c r="G6" s="317" t="str">
        <f>'NOTE 3C Bis'!K6</f>
        <v>BP:</v>
      </c>
      <c r="H6" s="402" t="str">
        <f>'NOTE 3 C'!G6</f>
        <v/>
      </c>
    </row>
    <row r="7" spans="1:8">
      <c r="B7" s="476" t="str">
        <f>'NOTE 3C Bis'!B7</f>
        <v>Numéro d'identification:</v>
      </c>
      <c r="C7" s="510" t="str">
        <f>'NOTE 3 C'!C7</f>
        <v/>
      </c>
      <c r="D7" s="511" t="s">
        <v>253</v>
      </c>
      <c r="E7" s="481" t="str">
        <f>'NOTE 3C Bis'!F7</f>
        <v xml:space="preserve">   Exercice clos le 31 - 12- </v>
      </c>
      <c r="F7" s="512">
        <f>'NOTE 3 C'!E7</f>
        <v>2025</v>
      </c>
      <c r="G7" s="481" t="str">
        <f>'NOTE 3C Bis'!J7</f>
        <v xml:space="preserve">    Durée (en mois):</v>
      </c>
      <c r="H7" s="402">
        <f>'NOTE 3 C'!G7</f>
        <v>12</v>
      </c>
    </row>
    <row r="8" spans="1:8">
      <c r="B8" s="43"/>
      <c r="C8" s="43"/>
      <c r="D8" s="43"/>
      <c r="E8" s="43"/>
      <c r="F8" s="43"/>
      <c r="G8" s="43"/>
      <c r="H8" s="43"/>
    </row>
    <row r="9" spans="1:8" ht="29.25" customHeight="1">
      <c r="B9" s="1712" t="str">
        <f>IF([1]ACCUEIL!B1=1,"NOTE 3 D FIXED ASSETS: GAINS AND LOSSES ON DISPOSALS OF FIXED ASSETS","NOTE 3 D IMMOBILISATION: PLUS-VALUES ET MOINS VALUE DE CESSION")</f>
        <v>NOTE 3 D IMMOBILISATION: PLUS-VALUES ET MOINS VALUE DE CESSION</v>
      </c>
      <c r="C9" s="1712"/>
      <c r="D9" s="1712"/>
      <c r="E9" s="1712"/>
      <c r="F9" s="1712"/>
      <c r="G9" s="1712"/>
      <c r="H9" s="1712"/>
    </row>
    <row r="10" spans="1:8">
      <c r="B10" s="1773" t="str">
        <f>'NOTE 3C Bis'!B11:D11</f>
        <v xml:space="preserve">      RUBRIQUES</v>
      </c>
      <c r="C10" s="1568"/>
      <c r="D10" s="513" t="s">
        <v>92</v>
      </c>
      <c r="E10" s="513" t="s">
        <v>100</v>
      </c>
      <c r="F10" s="513" t="s">
        <v>102</v>
      </c>
      <c r="G10" s="514" t="s">
        <v>104</v>
      </c>
      <c r="H10" s="514" t="s">
        <v>254</v>
      </c>
    </row>
    <row r="11" spans="1:8" ht="44.25" customHeight="1">
      <c r="B11" s="1572"/>
      <c r="C11" s="1574"/>
      <c r="D11" s="515" t="str">
        <f>IF([1]ACCUEIL!B1=1,"GROSS AMOUNT","MONTANT BRUT")</f>
        <v>MONTANT BRUT</v>
      </c>
      <c r="E11" s="515" t="str">
        <f>IF([1]ACCUEIL!B1=1,"PRACTICAL DEPRECIATION ","AMORTISSEMENTS PRATIQUEES ")</f>
        <v xml:space="preserve">AMORTISSEMENTS PRATIQUEES </v>
      </c>
      <c r="F11" s="515" t="str">
        <f>IF([1]ACCUEIL!B1=1,"NET ACCOUNTING VALUE C = A-B","VALEUR COMPTABLE NETTE C=A-B")</f>
        <v>VALEUR COMPTABLE NETTE C=A-B</v>
      </c>
      <c r="G11" s="516" t="str">
        <f>IF([1]ACCUEIL!B1=1,"SALE PRICE","PRIX DE CESSION ")</f>
        <v xml:space="preserve">PRIX DE CESSION </v>
      </c>
      <c r="H11" s="516" t="str">
        <f>IF([1]ACCUEIL!B1=1,"MORE OR LESS VALUES","PLUS OU MOINS VALUES ")</f>
        <v xml:space="preserve">PLUS OU MOINS VALUES </v>
      </c>
    </row>
    <row r="12" spans="1:8" s="522" customFormat="1" ht="24.95" customHeight="1">
      <c r="B12" s="567" t="str">
        <f>IF([1]ACCUEIL!B1=1,"Development and prospecting costs","Frais de développement et de prospection")</f>
        <v>Frais de développement et de prospection</v>
      </c>
      <c r="C12" s="620"/>
      <c r="D12" s="484">
        <f>'NOTE 3 A'!H18</f>
        <v>0</v>
      </c>
      <c r="E12" s="484">
        <f>'NOTE 3 C'!F12</f>
        <v>0</v>
      </c>
      <c r="F12" s="484">
        <f>D12-E12</f>
        <v>0</v>
      </c>
      <c r="G12" s="1316">
        <f>+'[1]NOTE 3 D'!G12</f>
        <v>0</v>
      </c>
      <c r="H12" s="691">
        <f>G12-F12</f>
        <v>0</v>
      </c>
    </row>
    <row r="13" spans="1:8" s="522" customFormat="1" ht="24.95" customHeight="1">
      <c r="B13" s="567" t="str">
        <f>IF([1]ACCUEIL!B1=1,"Patents, licences, software and similar rights","Brevets, licences, logiciels et droits similaires")</f>
        <v>Brevets, licences, logiciels et droits similaires</v>
      </c>
      <c r="C13" s="620"/>
      <c r="D13" s="484">
        <f>'NOTE 3 A'!H19</f>
        <v>0</v>
      </c>
      <c r="E13" s="484">
        <f>'NOTE 3 C'!F13</f>
        <v>0</v>
      </c>
      <c r="F13" s="484">
        <f>D13-E13</f>
        <v>0</v>
      </c>
      <c r="G13" s="1316">
        <f>+'[1]NOTE 3 D'!G13</f>
        <v>0</v>
      </c>
      <c r="H13" s="691">
        <f>G13-F13</f>
        <v>0</v>
      </c>
    </row>
    <row r="14" spans="1:8" s="522" customFormat="1" ht="24.95" customHeight="1">
      <c r="B14" s="567" t="str">
        <f>IF([1]ACCUEIL!B1=1,"Commercial property and tenancy law","Fonds commercial et droit au bail")</f>
        <v>Fonds commercial et droit au bail</v>
      </c>
      <c r="C14" s="620"/>
      <c r="D14" s="484">
        <f>'NOTE 3 A'!H20</f>
        <v>0</v>
      </c>
      <c r="E14" s="484">
        <f>'NOTE 3 C'!F14</f>
        <v>0</v>
      </c>
      <c r="F14" s="484">
        <f>D14-E14</f>
        <v>0</v>
      </c>
      <c r="G14" s="1316">
        <f>+'[1]NOTE 3 D'!G14</f>
        <v>0</v>
      </c>
      <c r="H14" s="691">
        <f>G14-F14</f>
        <v>0</v>
      </c>
    </row>
    <row r="15" spans="1:8" s="522" customFormat="1" ht="24.95" customHeight="1">
      <c r="B15" s="567" t="str">
        <f>IF([1]ACCUEIL!B1=1,"Other intangible assets","Autres immobilisations incorporelles")</f>
        <v>Autres immobilisations incorporelles</v>
      </c>
      <c r="C15" s="620"/>
      <c r="D15" s="484">
        <f>'NOTE 3 A'!H21</f>
        <v>0</v>
      </c>
      <c r="E15" s="484">
        <f>'NOTE 3 C'!F15</f>
        <v>0</v>
      </c>
      <c r="F15" s="484">
        <f>D15-E15</f>
        <v>0</v>
      </c>
      <c r="G15" s="1316">
        <f>+'[1]NOTE 3 D'!G15</f>
        <v>0</v>
      </c>
      <c r="H15" s="691">
        <f>G15-F15</f>
        <v>0</v>
      </c>
    </row>
    <row r="16" spans="1:8" s="522" customFormat="1" ht="24.95" customHeight="1">
      <c r="B16" s="62" t="str">
        <f>IF([1]ACCUEIL!B1=1,"SUB-TOTAL: INTANGIBLE ASSETS","SOUS TOTAL: IMMOBILISATIONS INCORPORELLES")</f>
        <v>SOUS TOTAL: IMMOBILISATIONS INCORPORELLES</v>
      </c>
      <c r="C16" s="621"/>
      <c r="D16" s="483">
        <f>SUM(D12:D15)</f>
        <v>0</v>
      </c>
      <c r="E16" s="483">
        <f>SUM(E12:E15)</f>
        <v>0</v>
      </c>
      <c r="F16" s="483">
        <f>SUM(F12:F15)</f>
        <v>0</v>
      </c>
      <c r="G16" s="483">
        <f>SUM(G12:G15)</f>
        <v>0</v>
      </c>
      <c r="H16" s="661">
        <f>SUM(H12:H15)</f>
        <v>0</v>
      </c>
    </row>
    <row r="17" spans="2:9" s="522" customFormat="1" ht="24.95" customHeight="1">
      <c r="B17" s="567" t="str">
        <f>IF([1]ACCUEIL!B1=1,"Land ","Terrains ")</f>
        <v xml:space="preserve">Terrains </v>
      </c>
      <c r="C17" s="620"/>
      <c r="D17" s="484">
        <f>'NOTE 3 A'!H23+'NOTE 3 A'!H24</f>
        <v>0</v>
      </c>
      <c r="E17" s="484">
        <f>'NOTE 3 C'!F17+'NOTE 3 C'!F18</f>
        <v>0</v>
      </c>
      <c r="F17" s="484">
        <f>D17-E17</f>
        <v>0</v>
      </c>
      <c r="G17" s="551">
        <f>+'[1]NOTE 3 D'!G17</f>
        <v>0</v>
      </c>
      <c r="H17" s="691">
        <f>G17-F17</f>
        <v>0</v>
      </c>
    </row>
    <row r="18" spans="2:9" s="522" customFormat="1" ht="24.95" customHeight="1">
      <c r="B18" s="567" t="str">
        <f>IF([1]ACCUEIL!B1=1,"Buildings","Bâtiments")</f>
        <v>Bâtiments</v>
      </c>
      <c r="C18" s="620"/>
      <c r="D18" s="484">
        <f>'NOTE 3 A'!H25+'NOTE 3 A'!H26</f>
        <v>0</v>
      </c>
      <c r="E18" s="484">
        <f>'NOTE 3 C'!F19+'NOTE 3 C'!F20</f>
        <v>0</v>
      </c>
      <c r="F18" s="484">
        <f>D18-E18</f>
        <v>0</v>
      </c>
      <c r="G18" s="551">
        <f>+'[1]NOTE 3 D'!G18</f>
        <v>0</v>
      </c>
      <c r="H18" s="691">
        <f>G18-F18</f>
        <v>0</v>
      </c>
    </row>
    <row r="19" spans="2:9" s="522" customFormat="1" ht="24.95" customHeight="1">
      <c r="B19" s="567" t="str">
        <f>IF([1]ACCUEIL!B1=1,"Fittings, fixtures and installations","Aménagements, agencements et installations")</f>
        <v>Aménagements, agencements et installations</v>
      </c>
      <c r="C19" s="620"/>
      <c r="D19" s="484">
        <f>'NOTE 3 A'!H27</f>
        <v>0</v>
      </c>
      <c r="E19" s="484">
        <f>'NOTE 3 C'!F21</f>
        <v>0</v>
      </c>
      <c r="F19" s="484">
        <f>D19-E19</f>
        <v>0</v>
      </c>
      <c r="G19" s="551">
        <f>+'[1]NOTE 3 D'!G19</f>
        <v>0</v>
      </c>
      <c r="H19" s="691">
        <f>G19-F19</f>
        <v>0</v>
      </c>
    </row>
    <row r="20" spans="2:9" s="522" customFormat="1" ht="24.95" customHeight="1">
      <c r="B20" s="567" t="str">
        <f>IF([1]ACCUEIL!B1=1,"Equipment, furniture and biological assets","Matériel, mobilier et actifs biologiques")</f>
        <v>Matériel, mobilier et actifs biologiques</v>
      </c>
      <c r="C20" s="620"/>
      <c r="D20" s="484">
        <f>'NOTE 3 A'!H28</f>
        <v>0</v>
      </c>
      <c r="E20" s="484">
        <f>'NOTE 3 C'!F22</f>
        <v>0</v>
      </c>
      <c r="F20" s="484">
        <f>D20-E20</f>
        <v>0</v>
      </c>
      <c r="G20" s="551">
        <f>+'[1]NOTE 3 D'!G20</f>
        <v>0</v>
      </c>
      <c r="H20" s="691">
        <f>G20-F20</f>
        <v>0</v>
      </c>
    </row>
    <row r="21" spans="2:9" s="522" customFormat="1" ht="24.95" customHeight="1">
      <c r="B21" s="567" t="str">
        <f>IF([1]ACCUEIL!B1=1,"Transport equipment","Matériel de transport")</f>
        <v>Matériel de transport</v>
      </c>
      <c r="C21" s="620"/>
      <c r="D21" s="484">
        <f>'NOTE 3 A'!H29</f>
        <v>0</v>
      </c>
      <c r="E21" s="484">
        <f>'NOTE 3 C'!F23</f>
        <v>0</v>
      </c>
      <c r="F21" s="484">
        <f>D21-E21</f>
        <v>0</v>
      </c>
      <c r="G21" s="551">
        <f>+'[1]NOTE 3 D'!G21</f>
        <v>0</v>
      </c>
      <c r="H21" s="691">
        <f>G21-F21</f>
        <v>0</v>
      </c>
    </row>
    <row r="22" spans="2:9" s="522" customFormat="1" ht="24.95" customHeight="1">
      <c r="B22" s="62" t="str">
        <f>IF([1]ACCUEIL!B1=1,"SUB-TOTAL: TANGIBLE FIXED ASSETS","SOUS TOTAL: IMMOBILISATIONS CORPORELLES")</f>
        <v>SOUS TOTAL: IMMOBILISATIONS CORPORELLES</v>
      </c>
      <c r="C22" s="621"/>
      <c r="D22" s="483">
        <f>SUM(D17:D21)</f>
        <v>0</v>
      </c>
      <c r="E22" s="483">
        <f>SUM(E17:E21)</f>
        <v>0</v>
      </c>
      <c r="F22" s="483">
        <f>SUM(F17:F21)</f>
        <v>0</v>
      </c>
      <c r="G22" s="483">
        <f>SUM(G17:G21)</f>
        <v>0</v>
      </c>
      <c r="H22" s="661">
        <f>SUM(H17:H21)</f>
        <v>0</v>
      </c>
    </row>
    <row r="23" spans="2:9" s="522" customFormat="1" ht="24.95" customHeight="1">
      <c r="B23" s="567" t="str">
        <f>IF([1]ACCUEIL!B1=1,"Equity securities","Titres de participations")</f>
        <v>Titres de participations</v>
      </c>
      <c r="C23" s="620"/>
      <c r="D23" s="484">
        <f>'NOTE 3 A'!H34</f>
        <v>0</v>
      </c>
      <c r="E23" s="484"/>
      <c r="F23" s="484">
        <f>D23-E23</f>
        <v>0</v>
      </c>
      <c r="G23" s="551">
        <f>+'[1]NOTE 3 D'!G23</f>
        <v>0</v>
      </c>
      <c r="H23" s="691">
        <f>G23-F23</f>
        <v>0</v>
      </c>
      <c r="I23" s="580"/>
    </row>
    <row r="24" spans="2:9" s="522" customFormat="1" ht="24.95" customHeight="1">
      <c r="B24" s="567" t="str">
        <f>IF([1]ACCUEIL!B1=1,"Other financial assets","Autres immobilisations financiéres")</f>
        <v>Autres immobilisations financiéres</v>
      </c>
      <c r="C24" s="620"/>
      <c r="D24" s="484">
        <f>'NOTE 3 A'!H35</f>
        <v>0</v>
      </c>
      <c r="E24" s="484"/>
      <c r="F24" s="484">
        <f>D24-E24</f>
        <v>0</v>
      </c>
      <c r="G24" s="551">
        <f>+'[1]NOTE 3 D'!G24</f>
        <v>0</v>
      </c>
      <c r="H24" s="691">
        <f>G24-F24</f>
        <v>0</v>
      </c>
    </row>
    <row r="25" spans="2:9" s="522" customFormat="1" ht="24.95" customHeight="1">
      <c r="B25" s="62" t="str">
        <f>IF([1]ACCUEIL!B1=1,"SUB-TOTAL: FINANCIAL FIXED ASSETS","SOUS TOTAL: IMMOBILISATIONS FINANCIERES")</f>
        <v>SOUS TOTAL: IMMOBILISATIONS FINANCIERES</v>
      </c>
      <c r="C25" s="621"/>
      <c r="D25" s="483">
        <f>SUM(D23:D24)</f>
        <v>0</v>
      </c>
      <c r="E25" s="483">
        <f>SUM(E23:E24)</f>
        <v>0</v>
      </c>
      <c r="F25" s="483">
        <f>SUM(F23:F24)</f>
        <v>0</v>
      </c>
      <c r="G25" s="483">
        <f>SUM(G23:G24)</f>
        <v>0</v>
      </c>
      <c r="H25" s="661">
        <f>SUM(H23:H24)</f>
        <v>0</v>
      </c>
    </row>
    <row r="26" spans="2:9" s="522" customFormat="1" ht="24.95" customHeight="1">
      <c r="B26" s="571" t="s">
        <v>58</v>
      </c>
      <c r="C26" s="622"/>
      <c r="D26" s="483">
        <f>D16+D22+D25</f>
        <v>0</v>
      </c>
      <c r="E26" s="483">
        <f>E16+E22+E25</f>
        <v>0</v>
      </c>
      <c r="F26" s="483">
        <f>F16+F22+F25</f>
        <v>0</v>
      </c>
      <c r="G26" s="483">
        <f>G16+G22+G25</f>
        <v>0</v>
      </c>
      <c r="H26" s="661">
        <f>H16+H22+H25</f>
        <v>0</v>
      </c>
      <c r="I26" s="1317">
        <f ca="1">+'[1]CLASSE 8'!J9+'[1]CLASSE 8'!J8+'[1]CLASSE 8'!J10</f>
        <v>0</v>
      </c>
    </row>
    <row r="27" spans="2:9">
      <c r="B27" s="81"/>
      <c r="C27" s="81"/>
      <c r="D27" s="81"/>
      <c r="E27" s="81"/>
      <c r="F27" s="34"/>
      <c r="H27" s="81"/>
    </row>
    <row r="28" spans="2:9">
      <c r="B28" s="518" t="str">
        <f>'NOTE 3C Bis'!B28</f>
        <v>COMMENTAIRE</v>
      </c>
      <c r="C28" s="1660">
        <f>'[1]NOTE 3 D'!C28:H28</f>
        <v>0</v>
      </c>
      <c r="D28" s="1660"/>
      <c r="E28" s="1660"/>
      <c r="F28" s="1660"/>
      <c r="G28" s="1660"/>
      <c r="H28" s="1660"/>
    </row>
    <row r="29" spans="2:9">
      <c r="B29" s="81"/>
      <c r="C29" s="1660">
        <f>'[1]NOTE 3 D'!C29:H29</f>
        <v>0</v>
      </c>
      <c r="D29" s="1660"/>
      <c r="E29" s="1660"/>
      <c r="F29" s="1660"/>
      <c r="G29" s="1660"/>
      <c r="H29" s="1660"/>
    </row>
    <row r="30" spans="2:9">
      <c r="B30" s="81"/>
      <c r="C30" s="1660">
        <f>'[1]NOTE 3 D'!C30:H30</f>
        <v>0</v>
      </c>
      <c r="D30" s="1660"/>
      <c r="E30" s="1660"/>
      <c r="F30" s="1660"/>
      <c r="G30" s="1660"/>
      <c r="H30" s="1660"/>
    </row>
    <row r="31" spans="2:9">
      <c r="B31" s="81"/>
      <c r="C31" s="1660">
        <f>'[1]NOTE 3 D'!C31:H31</f>
        <v>0</v>
      </c>
      <c r="D31" s="1660"/>
      <c r="E31" s="1660"/>
      <c r="F31" s="1660"/>
      <c r="G31" s="1660"/>
      <c r="H31" s="1660"/>
    </row>
    <row r="32" spans="2:9">
      <c r="B32" s="81"/>
      <c r="C32" s="1660">
        <f>'[1]NOTE 3 D'!C32:H32</f>
        <v>0</v>
      </c>
      <c r="D32" s="1660"/>
      <c r="E32" s="1660"/>
      <c r="F32" s="1660"/>
      <c r="G32" s="1660"/>
      <c r="H32" s="1660"/>
    </row>
  </sheetData>
  <sheetProtection selectLockedCells="1"/>
  <mergeCells count="9">
    <mergeCell ref="C29:H29"/>
    <mergeCell ref="C30:H30"/>
    <mergeCell ref="C31:H31"/>
    <mergeCell ref="C32:H32"/>
    <mergeCell ref="B1:H1"/>
    <mergeCell ref="G2:H3"/>
    <mergeCell ref="B9:H9"/>
    <mergeCell ref="B10:C11"/>
    <mergeCell ref="C28:H28"/>
  </mergeCells>
  <conditionalFormatting sqref="E5:G5 D6 G6">
    <cfRule type="expression" dxfId="38" priority="1">
      <formula>#REF!=1</formula>
    </cfRule>
  </conditionalFormatting>
  <printOptions horizontalCentered="1"/>
  <pageMargins left="0.78740157480314965" right="0" top="0.59055118110236227" bottom="0.19685039370078741" header="0.31496062992125984" footer="0.31496062992125984"/>
  <pageSetup paperSize="9" scale="82" orientation="landscape" r:id="rId1"/>
  <headerFooter>
    <oddHeader>&amp;C&amp;"-,Gras"&amp;14Page &amp;P / &amp;N</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23">
    <pageSetUpPr fitToPage="1"/>
  </sheetPr>
  <dimension ref="B1:K58"/>
  <sheetViews>
    <sheetView showGridLines="0" showZeros="0" zoomScale="63" zoomScaleNormal="100" zoomScaleSheetLayoutView="100" workbookViewId="0">
      <selection activeCell="J18" sqref="J18"/>
    </sheetView>
  </sheetViews>
  <sheetFormatPr baseColWidth="10" defaultColWidth="11.42578125" defaultRowHeight="15"/>
  <cols>
    <col min="1" max="1" width="12.140625" style="2" customWidth="1"/>
    <col min="2" max="2" width="25.140625" style="2" customWidth="1"/>
    <col min="3" max="3" width="23.140625" style="2" customWidth="1"/>
    <col min="4" max="4" width="24.7109375" style="2" customWidth="1"/>
    <col min="5" max="5" width="11.42578125" style="2"/>
    <col min="6" max="7" width="19.7109375" style="2" customWidth="1"/>
    <col min="8" max="8" width="22.42578125" style="2" bestFit="1" customWidth="1"/>
    <col min="9" max="9" width="21.42578125" style="2" customWidth="1"/>
    <col min="10" max="10" width="19.42578125" style="2" customWidth="1"/>
    <col min="11" max="16384" width="11.42578125" style="2"/>
  </cols>
  <sheetData>
    <row r="1" spans="2:11">
      <c r="B1" s="1649"/>
      <c r="C1" s="1649"/>
      <c r="D1" s="1649"/>
      <c r="E1" s="1649"/>
      <c r="F1" s="1649"/>
      <c r="G1" s="1649"/>
      <c r="H1" s="1649"/>
      <c r="I1" s="1649"/>
    </row>
    <row r="2" spans="2:11">
      <c r="B2" s="144"/>
      <c r="C2" s="144"/>
      <c r="D2" s="144"/>
      <c r="E2" s="144"/>
      <c r="F2" s="144"/>
      <c r="G2" s="144"/>
      <c r="H2" s="1650" t="str">
        <f>IF([1]ACCUEIL!B1=1,"NOTE 3 E
NORMAL SYSTEM","NOTE 3 E
SYSTEME NORMAL")</f>
        <v>NOTE 3 E
SYSTEME NORMAL</v>
      </c>
      <c r="I2" s="1651"/>
    </row>
    <row r="3" spans="2:11">
      <c r="B3" s="43"/>
      <c r="C3" s="43"/>
      <c r="D3" s="43"/>
      <c r="E3" s="43"/>
      <c r="F3" s="43"/>
      <c r="G3" s="43"/>
      <c r="H3" s="1652"/>
      <c r="I3" s="1653"/>
    </row>
    <row r="4" spans="2:11">
      <c r="B4" s="476" t="str">
        <f>'NOTE 3 D'!B4</f>
        <v>Désignation entité:</v>
      </c>
      <c r="C4" s="313" t="str">
        <f>'NOTE 3 D'!C4</f>
        <v/>
      </c>
      <c r="D4" s="314"/>
      <c r="E4" s="43"/>
      <c r="F4" s="144"/>
      <c r="G4" s="144"/>
      <c r="H4" s="144"/>
      <c r="I4" s="144"/>
    </row>
    <row r="5" spans="2:11" ht="15.75">
      <c r="B5" s="476" t="str">
        <f>'NOTE 3 D'!B5</f>
        <v>Sigle usuel :</v>
      </c>
      <c r="C5" s="402" t="str">
        <f>'NOTE 3 D'!C5</f>
        <v/>
      </c>
      <c r="D5" s="175"/>
      <c r="E5" s="316"/>
      <c r="F5" s="507"/>
      <c r="G5" s="507"/>
      <c r="H5" s="507"/>
      <c r="I5" s="507"/>
      <c r="J5" s="519"/>
    </row>
    <row r="6" spans="2:11" ht="15.75">
      <c r="B6" s="476" t="str">
        <f>'NOTE 3 D'!B6</f>
        <v>Adresse:</v>
      </c>
      <c r="C6" s="402">
        <f>'NOTE 3 D'!C6</f>
        <v>0</v>
      </c>
      <c r="D6" s="316"/>
      <c r="E6" s="508"/>
      <c r="F6" s="172"/>
      <c r="G6" s="520"/>
      <c r="H6" s="317" t="str">
        <f>'NOTE 3 D'!G6</f>
        <v>BP:</v>
      </c>
      <c r="I6" s="402" t="str">
        <f>'NOTE 3 D'!H6</f>
        <v/>
      </c>
      <c r="J6" s="451"/>
      <c r="K6" s="235"/>
    </row>
    <row r="7" spans="2:11">
      <c r="B7" s="476" t="str">
        <f>'NOTE 3 D'!B7</f>
        <v>Numéro d'identification:</v>
      </c>
      <c r="C7" s="402" t="str">
        <f>'NOTE 3 D'!C7</f>
        <v/>
      </c>
      <c r="D7" s="175"/>
      <c r="E7" s="1777" t="str">
        <f>'NOTE 3 D'!E7</f>
        <v xml:space="preserve">   Exercice clos le 31 - 12- </v>
      </c>
      <c r="F7" s="1701"/>
      <c r="G7" s="402">
        <f>'NOTE 3 D'!F7</f>
        <v>2025</v>
      </c>
      <c r="H7" s="481" t="str">
        <f>'NOTE 3 D'!G7</f>
        <v xml:space="preserve">    Durée (en mois):</v>
      </c>
      <c r="I7" s="402">
        <f>'NOTE 3 D'!H7</f>
        <v>12</v>
      </c>
      <c r="K7" s="235"/>
    </row>
    <row r="8" spans="2:11">
      <c r="B8" s="43"/>
      <c r="C8" s="319"/>
      <c r="E8" s="312"/>
      <c r="F8" s="312"/>
      <c r="G8" s="319"/>
      <c r="H8" s="43"/>
      <c r="I8" s="319"/>
      <c r="K8" s="235"/>
    </row>
    <row r="9" spans="2:11">
      <c r="B9" s="1617" t="str">
        <f>IF([1]ACCUEIL!B1=1,"NOTE 3 E INFORMATION ON REVALUATIONS PERFORMED BY THE ENTITY","NOTE 3 E INFORMATIONS SUR LES REEVALUATIONS EFFECTUEES PAR L'ENTITE")</f>
        <v>NOTE 3 E INFORMATIONS SUR LES REEVALUATIONS EFFECTUEES PAR L'ENTITE</v>
      </c>
      <c r="C9" s="1617"/>
      <c r="D9" s="1617"/>
      <c r="E9" s="1617"/>
      <c r="F9" s="1617"/>
      <c r="G9" s="1617"/>
      <c r="H9" s="1617"/>
      <c r="I9" s="1617"/>
      <c r="K9" s="235"/>
    </row>
    <row r="10" spans="2:11" ht="15.75" thickBot="1">
      <c r="B10" s="144"/>
      <c r="C10" s="144"/>
      <c r="D10" s="43"/>
      <c r="E10" s="144"/>
      <c r="F10" s="43"/>
      <c r="G10" s="43"/>
      <c r="H10" s="43"/>
      <c r="I10" s="43"/>
      <c r="J10" s="521"/>
    </row>
    <row r="11" spans="2:11" s="522" customFormat="1" ht="24.6" customHeight="1" thickBot="1">
      <c r="B11" s="1778" t="str">
        <f>IF([1]ACCUEIL!B1=1,"INFORMATION ON THE REVALUATIONS CARRIED OUT BY THE ENTITY","INFORMATIONS SUR LES REEVALUATIONS EFFECTUEES PAR L'ENTITE")</f>
        <v>INFORMATIONS SUR LES REEVALUATIONS EFFECTUEES PAR L'ENTITE</v>
      </c>
      <c r="C11" s="1779"/>
      <c r="D11" s="1779"/>
      <c r="E11" s="1779"/>
      <c r="F11" s="1779"/>
      <c r="G11" s="1779"/>
      <c r="H11" s="1779"/>
      <c r="I11" s="1780"/>
      <c r="J11" s="324"/>
    </row>
    <row r="12" spans="2:11">
      <c r="B12" s="523" t="str">
        <f>IF([1]ACCUEIL!B1=1,"Nature and date of revaluations:","Nature et date des réévaluations:")</f>
        <v>Nature et date des réévaluations:</v>
      </c>
      <c r="C12" s="524"/>
      <c r="D12" s="524"/>
      <c r="E12" s="524"/>
      <c r="F12" s="525"/>
      <c r="G12" s="525"/>
      <c r="H12" s="525"/>
      <c r="I12" s="526"/>
    </row>
    <row r="13" spans="2:11">
      <c r="B13" s="1781">
        <f>'[1]NOTE 3 E'!B13:I13</f>
        <v>0</v>
      </c>
      <c r="C13" s="1782"/>
      <c r="D13" s="1782"/>
      <c r="E13" s="1782"/>
      <c r="F13" s="1782"/>
      <c r="G13" s="1782"/>
      <c r="H13" s="1782"/>
      <c r="I13" s="1783"/>
    </row>
    <row r="14" spans="2:11">
      <c r="B14" s="1781">
        <f>'[1]NOTE 3 E'!B14:I14</f>
        <v>0</v>
      </c>
      <c r="C14" s="1782"/>
      <c r="D14" s="1782"/>
      <c r="E14" s="1782"/>
      <c r="F14" s="1782"/>
      <c r="G14" s="1782"/>
      <c r="H14" s="1782"/>
      <c r="I14" s="1783"/>
    </row>
    <row r="15" spans="2:11">
      <c r="B15" s="1781">
        <f>'[1]NOTE 3 E'!B15:I15</f>
        <v>0</v>
      </c>
      <c r="C15" s="1782"/>
      <c r="D15" s="1782"/>
      <c r="E15" s="1782"/>
      <c r="F15" s="1782"/>
      <c r="G15" s="1782"/>
      <c r="H15" s="1782"/>
      <c r="I15" s="1783"/>
    </row>
    <row r="16" spans="2:11">
      <c r="B16" s="1781">
        <f>'[1]NOTE 3 E'!B16:I16</f>
        <v>0</v>
      </c>
      <c r="C16" s="1782"/>
      <c r="D16" s="1782"/>
      <c r="E16" s="1782"/>
      <c r="F16" s="1782"/>
      <c r="G16" s="1782"/>
      <c r="H16" s="1782"/>
      <c r="I16" s="1783"/>
    </row>
    <row r="17" spans="2:9">
      <c r="B17" s="1781">
        <f>'[1]NOTE 3 E'!B17:I17</f>
        <v>0</v>
      </c>
      <c r="C17" s="1782"/>
      <c r="D17" s="1782"/>
      <c r="E17" s="1782"/>
      <c r="F17" s="1782"/>
      <c r="G17" s="1782"/>
      <c r="H17" s="1782"/>
      <c r="I17" s="1783"/>
    </row>
    <row r="18" spans="2:9">
      <c r="B18" s="1781">
        <f>'[1]NOTE 3 E'!B18:I18</f>
        <v>0</v>
      </c>
      <c r="C18" s="1782"/>
      <c r="D18" s="1782"/>
      <c r="E18" s="1782"/>
      <c r="F18" s="1782"/>
      <c r="G18" s="1782"/>
      <c r="H18" s="1782"/>
      <c r="I18" s="1783"/>
    </row>
    <row r="19" spans="2:9" ht="25.5">
      <c r="B19" s="1774" t="str">
        <f>IF([1]ACCUEIL!B1=1,"Revalued items by balance sheet item","Elements réévalués par poste de bilan")</f>
        <v>Elements réévalués par poste de bilan</v>
      </c>
      <c r="C19" s="1775"/>
      <c r="D19" s="1776"/>
      <c r="E19" s="527"/>
      <c r="F19" s="528" t="str">
        <f>IF([1]ACCUEIL!B1=1,"Historical cost amounts","Montants coûts historiques")</f>
        <v>Montants coûts historiques</v>
      </c>
      <c r="G19" s="528" t="str">
        <f>IF([1]ACCUEIL!B1=1,"Amount reassessed","Montant réévalués")</f>
        <v>Montant réévalués</v>
      </c>
      <c r="H19" s="528" t="str">
        <f>IF([1]ACCUEIL!B1=1,"Revaluation differences","Ecarts de réévaluation")</f>
        <v>Ecarts de réévaluation</v>
      </c>
      <c r="I19" s="529" t="str">
        <f>IF([1]ACCUEIL!B1=1,"Additional depreciation","Amortissements supplémentaires")</f>
        <v>Amortissements supplémentaires</v>
      </c>
    </row>
    <row r="20" spans="2:9" ht="25.9" customHeight="1">
      <c r="B20" s="1784">
        <f>'[1]NOTE 3 E'!B20:D20</f>
        <v>0</v>
      </c>
      <c r="C20" s="1785"/>
      <c r="D20" s="1786"/>
      <c r="E20" s="530">
        <f>'[1]NOTE 3 E'!E20</f>
        <v>0</v>
      </c>
      <c r="F20" s="530">
        <f>'[1]NOTE 3 E'!F20</f>
        <v>0</v>
      </c>
      <c r="G20" s="530">
        <f>'[1]NOTE 3 E'!G20</f>
        <v>0</v>
      </c>
      <c r="H20" s="530">
        <f>'[1]NOTE 3 E'!H20</f>
        <v>0</v>
      </c>
      <c r="I20" s="530">
        <f>'[1]NOTE 3 E'!I20</f>
        <v>0</v>
      </c>
    </row>
    <row r="21" spans="2:9" ht="25.9" customHeight="1">
      <c r="B21" s="1784">
        <f>'[1]NOTE 3 E'!B21:D21</f>
        <v>0</v>
      </c>
      <c r="C21" s="1785"/>
      <c r="D21" s="1786"/>
      <c r="E21" s="530">
        <f>'[1]NOTE 3 E'!E21</f>
        <v>0</v>
      </c>
      <c r="F21" s="530">
        <f>'[1]NOTE 3 E'!F21</f>
        <v>0</v>
      </c>
      <c r="G21" s="530">
        <f>'[1]NOTE 3 E'!G21</f>
        <v>0</v>
      </c>
      <c r="H21" s="530">
        <f>'[1]NOTE 3 E'!H21</f>
        <v>0</v>
      </c>
      <c r="I21" s="530">
        <f>'[1]NOTE 3 E'!I21</f>
        <v>0</v>
      </c>
    </row>
    <row r="22" spans="2:9" ht="25.9" customHeight="1">
      <c r="B22" s="1784">
        <f>'[1]NOTE 3 E'!B22:D22</f>
        <v>0</v>
      </c>
      <c r="C22" s="1785"/>
      <c r="D22" s="1786"/>
      <c r="E22" s="530">
        <f>'[1]NOTE 3 E'!E22</f>
        <v>0</v>
      </c>
      <c r="F22" s="530">
        <f>'[1]NOTE 3 E'!F22</f>
        <v>0</v>
      </c>
      <c r="G22" s="530">
        <f>'[1]NOTE 3 E'!G22</f>
        <v>0</v>
      </c>
      <c r="H22" s="530">
        <f>'[1]NOTE 3 E'!H22</f>
        <v>0</v>
      </c>
      <c r="I22" s="530">
        <f>'[1]NOTE 3 E'!I22</f>
        <v>0</v>
      </c>
    </row>
    <row r="23" spans="2:9" ht="25.9" customHeight="1">
      <c r="B23" s="1784">
        <f>'[1]NOTE 3 E'!B23:D23</f>
        <v>0</v>
      </c>
      <c r="C23" s="1785"/>
      <c r="D23" s="1786"/>
      <c r="E23" s="530">
        <f>'[1]NOTE 3 E'!E23</f>
        <v>0</v>
      </c>
      <c r="F23" s="530">
        <f>'[1]NOTE 3 E'!F23</f>
        <v>0</v>
      </c>
      <c r="G23" s="530">
        <f>'[1]NOTE 3 E'!G23</f>
        <v>0</v>
      </c>
      <c r="H23" s="530">
        <f>'[1]NOTE 3 E'!H23</f>
        <v>0</v>
      </c>
      <c r="I23" s="530">
        <f>'[1]NOTE 3 E'!I23</f>
        <v>0</v>
      </c>
    </row>
    <row r="24" spans="2:9" ht="25.9" customHeight="1">
      <c r="B24" s="1784">
        <f>'[1]NOTE 3 E'!B24:D24</f>
        <v>0</v>
      </c>
      <c r="C24" s="1785"/>
      <c r="D24" s="1786"/>
      <c r="E24" s="530">
        <f>'[1]NOTE 3 E'!E24</f>
        <v>0</v>
      </c>
      <c r="F24" s="530">
        <f>'[1]NOTE 3 E'!F24</f>
        <v>0</v>
      </c>
      <c r="G24" s="530">
        <f>'[1]NOTE 3 E'!G24</f>
        <v>0</v>
      </c>
      <c r="H24" s="530">
        <f>'[1]NOTE 3 E'!H24</f>
        <v>0</v>
      </c>
      <c r="I24" s="530">
        <f>'[1]NOTE 3 E'!I24</f>
        <v>0</v>
      </c>
    </row>
    <row r="25" spans="2:9" ht="25.9" customHeight="1">
      <c r="B25" s="1784">
        <f>'[1]NOTE 3 E'!B25:D25</f>
        <v>0</v>
      </c>
      <c r="C25" s="1785"/>
      <c r="D25" s="1786"/>
      <c r="E25" s="530">
        <f>'[1]NOTE 3 E'!E25</f>
        <v>0</v>
      </c>
      <c r="F25" s="530">
        <f>'[1]NOTE 3 E'!F25</f>
        <v>0</v>
      </c>
      <c r="G25" s="530">
        <f>'[1]NOTE 3 E'!G25</f>
        <v>0</v>
      </c>
      <c r="H25" s="530">
        <f>'[1]NOTE 3 E'!H25</f>
        <v>0</v>
      </c>
      <c r="I25" s="530">
        <f>'[1]NOTE 3 E'!I25</f>
        <v>0</v>
      </c>
    </row>
    <row r="26" spans="2:9" ht="25.9" customHeight="1">
      <c r="B26" s="1784">
        <f>'[1]NOTE 3 E'!B26:D26</f>
        <v>0</v>
      </c>
      <c r="C26" s="1785"/>
      <c r="D26" s="1786"/>
      <c r="E26" s="530">
        <f>'[1]NOTE 3 E'!E26</f>
        <v>0</v>
      </c>
      <c r="F26" s="530">
        <f>'[1]NOTE 3 E'!F26</f>
        <v>0</v>
      </c>
      <c r="G26" s="530">
        <f>'[1]NOTE 3 E'!G26</f>
        <v>0</v>
      </c>
      <c r="H26" s="530">
        <f>'[1]NOTE 3 E'!H26</f>
        <v>0</v>
      </c>
      <c r="I26" s="530">
        <f>'[1]NOTE 3 E'!I26</f>
        <v>0</v>
      </c>
    </row>
    <row r="27" spans="2:9" ht="25.9" customHeight="1">
      <c r="B27" s="1784">
        <f>'[1]NOTE 3 E'!B27:D27</f>
        <v>0</v>
      </c>
      <c r="C27" s="1785"/>
      <c r="D27" s="1786"/>
      <c r="E27" s="530">
        <f>'[1]NOTE 3 E'!E27</f>
        <v>0</v>
      </c>
      <c r="F27" s="530">
        <f>'[1]NOTE 3 E'!F27</f>
        <v>0</v>
      </c>
      <c r="G27" s="530">
        <f>'[1]NOTE 3 E'!G27</f>
        <v>0</v>
      </c>
      <c r="H27" s="530">
        <f>'[1]NOTE 3 E'!H27</f>
        <v>0</v>
      </c>
      <c r="I27" s="530">
        <f>'[1]NOTE 3 E'!I27</f>
        <v>0</v>
      </c>
    </row>
    <row r="28" spans="2:9" ht="25.9" customHeight="1">
      <c r="B28" s="1784">
        <f>'[1]NOTE 3 E'!B28:D28</f>
        <v>0</v>
      </c>
      <c r="C28" s="1785"/>
      <c r="D28" s="1786"/>
      <c r="E28" s="530">
        <f>'[1]NOTE 3 E'!E28</f>
        <v>0</v>
      </c>
      <c r="F28" s="530">
        <f>'[1]NOTE 3 E'!F28</f>
        <v>0</v>
      </c>
      <c r="G28" s="530">
        <f>'[1]NOTE 3 E'!G28</f>
        <v>0</v>
      </c>
      <c r="H28" s="530">
        <f>'[1]NOTE 3 E'!H28</f>
        <v>0</v>
      </c>
      <c r="I28" s="530">
        <f>'[1]NOTE 3 E'!I28</f>
        <v>0</v>
      </c>
    </row>
    <row r="29" spans="2:9" ht="25.9" customHeight="1">
      <c r="B29" s="1784">
        <f>'[1]NOTE 3 E'!B29:D29</f>
        <v>0</v>
      </c>
      <c r="C29" s="1785"/>
      <c r="D29" s="1786"/>
      <c r="E29" s="530">
        <f>'[1]NOTE 3 E'!E29</f>
        <v>0</v>
      </c>
      <c r="F29" s="530">
        <f>'[1]NOTE 3 E'!F29</f>
        <v>0</v>
      </c>
      <c r="G29" s="530">
        <f>'[1]NOTE 3 E'!G29</f>
        <v>0</v>
      </c>
      <c r="H29" s="530">
        <f>'[1]NOTE 3 E'!H29</f>
        <v>0</v>
      </c>
      <c r="I29" s="530">
        <f>'[1]NOTE 3 E'!I29</f>
        <v>0</v>
      </c>
    </row>
    <row r="30" spans="2:9" ht="25.9" customHeight="1">
      <c r="B30" s="1784">
        <f>'[1]NOTE 3 E'!B30:D30</f>
        <v>0</v>
      </c>
      <c r="C30" s="1785"/>
      <c r="D30" s="1786"/>
      <c r="E30" s="530">
        <f>'[1]NOTE 3 E'!E30</f>
        <v>0</v>
      </c>
      <c r="F30" s="530">
        <f>'[1]NOTE 3 E'!F30</f>
        <v>0</v>
      </c>
      <c r="G30" s="530">
        <f>'[1]NOTE 3 E'!G30</f>
        <v>0</v>
      </c>
      <c r="H30" s="530">
        <f>'[1]NOTE 3 E'!H30</f>
        <v>0</v>
      </c>
      <c r="I30" s="530">
        <f>'[1]NOTE 3 E'!I30</f>
        <v>0</v>
      </c>
    </row>
    <row r="31" spans="2:9" ht="25.9" customHeight="1">
      <c r="B31" s="1784">
        <f>'[1]NOTE 3 E'!B31:D31</f>
        <v>0</v>
      </c>
      <c r="C31" s="1785"/>
      <c r="D31" s="1786"/>
      <c r="E31" s="530">
        <f>'[1]NOTE 3 E'!E31</f>
        <v>0</v>
      </c>
      <c r="F31" s="530">
        <f>'[1]NOTE 3 E'!F31</f>
        <v>0</v>
      </c>
      <c r="G31" s="530">
        <f>'[1]NOTE 3 E'!G31</f>
        <v>0</v>
      </c>
      <c r="H31" s="530">
        <f>'[1]NOTE 3 E'!H31</f>
        <v>0</v>
      </c>
      <c r="I31" s="530">
        <f>'[1]NOTE 3 E'!I31</f>
        <v>0</v>
      </c>
    </row>
    <row r="32" spans="2:9" ht="25.9" customHeight="1">
      <c r="B32" s="1784">
        <f>'[1]NOTE 3 E'!B32:D32</f>
        <v>0</v>
      </c>
      <c r="C32" s="1785"/>
      <c r="D32" s="1786"/>
      <c r="E32" s="530">
        <f>'[1]NOTE 3 E'!E32</f>
        <v>0</v>
      </c>
      <c r="F32" s="530">
        <f>'[1]NOTE 3 E'!F32</f>
        <v>0</v>
      </c>
      <c r="G32" s="530">
        <f>'[1]NOTE 3 E'!G32</f>
        <v>0</v>
      </c>
      <c r="H32" s="530">
        <f>'[1]NOTE 3 E'!H32</f>
        <v>0</v>
      </c>
      <c r="I32" s="530">
        <f>'[1]NOTE 3 E'!I32</f>
        <v>0</v>
      </c>
    </row>
    <row r="33" spans="2:9" ht="25.9" customHeight="1">
      <c r="B33" s="1784">
        <f>'[1]NOTE 3 E'!B33:D33</f>
        <v>0</v>
      </c>
      <c r="C33" s="1785"/>
      <c r="D33" s="1786"/>
      <c r="E33" s="530">
        <f>'[1]NOTE 3 E'!E33</f>
        <v>0</v>
      </c>
      <c r="F33" s="530">
        <f>'[1]NOTE 3 E'!F33</f>
        <v>0</v>
      </c>
      <c r="G33" s="530">
        <f>'[1]NOTE 3 E'!G33</f>
        <v>0</v>
      </c>
      <c r="H33" s="530">
        <f>'[1]NOTE 3 E'!H33</f>
        <v>0</v>
      </c>
      <c r="I33" s="530">
        <f>'[1]NOTE 3 E'!I33</f>
        <v>0</v>
      </c>
    </row>
    <row r="34" spans="2:9" ht="25.9" customHeight="1">
      <c r="B34" s="1784">
        <f>'[1]NOTE 3 E'!B34:D34</f>
        <v>0</v>
      </c>
      <c r="C34" s="1785"/>
      <c r="D34" s="1786"/>
      <c r="E34" s="530">
        <f>'[1]NOTE 3 E'!E34</f>
        <v>0</v>
      </c>
      <c r="F34" s="530">
        <f>'[1]NOTE 3 E'!F34</f>
        <v>0</v>
      </c>
      <c r="G34" s="530">
        <f>'[1]NOTE 3 E'!G34</f>
        <v>0</v>
      </c>
      <c r="H34" s="530">
        <f>'[1]NOTE 3 E'!H34</f>
        <v>0</v>
      </c>
      <c r="I34" s="530">
        <f>'[1]NOTE 3 E'!I34</f>
        <v>0</v>
      </c>
    </row>
    <row r="35" spans="2:9" ht="25.9" customHeight="1">
      <c r="B35" s="1784">
        <f>'[1]NOTE 3 E'!B35:D35</f>
        <v>0</v>
      </c>
      <c r="C35" s="1785"/>
      <c r="D35" s="1786"/>
      <c r="E35" s="530">
        <f>'[1]NOTE 3 E'!E35</f>
        <v>0</v>
      </c>
      <c r="F35" s="530">
        <f>'[1]NOTE 3 E'!F35</f>
        <v>0</v>
      </c>
      <c r="G35" s="530">
        <f>'[1]NOTE 3 E'!G35</f>
        <v>0</v>
      </c>
      <c r="H35" s="530">
        <f>'[1]NOTE 3 E'!H35</f>
        <v>0</v>
      </c>
      <c r="I35" s="530">
        <f>'[1]NOTE 3 E'!I35</f>
        <v>0</v>
      </c>
    </row>
    <row r="36" spans="2:9" ht="25.9" customHeight="1" thickBot="1">
      <c r="B36" s="1784">
        <f>'[1]NOTE 3 E'!B36:D36</f>
        <v>0</v>
      </c>
      <c r="C36" s="1785"/>
      <c r="D36" s="1786"/>
      <c r="E36" s="530">
        <f>'[1]NOTE 3 E'!E36</f>
        <v>0</v>
      </c>
      <c r="F36" s="530">
        <f>'[1]NOTE 3 E'!F36</f>
        <v>0</v>
      </c>
      <c r="G36" s="530">
        <f>'[1]NOTE 3 E'!G36</f>
        <v>0</v>
      </c>
      <c r="H36" s="530">
        <f>'[1]NOTE 3 E'!H36</f>
        <v>0</v>
      </c>
      <c r="I36" s="530">
        <f>'[1]NOTE 3 E'!I36</f>
        <v>0</v>
      </c>
    </row>
    <row r="37" spans="2:9" ht="25.9" customHeight="1" thickBot="1">
      <c r="B37" s="1787" t="str">
        <f>IF([1]ACCUEIL!B1=1,"Grand Total","Total général")</f>
        <v>Total général</v>
      </c>
      <c r="C37" s="1787"/>
      <c r="D37" s="1787"/>
      <c r="E37" s="531"/>
      <c r="F37" s="531">
        <f>SUM(F20:F36)</f>
        <v>0</v>
      </c>
      <c r="G37" s="531">
        <f>SUM(G20:G36)</f>
        <v>0</v>
      </c>
      <c r="H37" s="531">
        <f>SUM(H20:H36)</f>
        <v>0</v>
      </c>
      <c r="I37" s="531">
        <f>SUM(I20:I36)</f>
        <v>0</v>
      </c>
    </row>
    <row r="38" spans="2:9" ht="24.6" customHeight="1">
      <c r="B38" s="532" t="str">
        <f>IF([1]ACCUEIL!B1=1,"Revaluation method used","Méthode de réévaluation utilisée")</f>
        <v>Méthode de réévaluation utilisée</v>
      </c>
      <c r="C38" s="533"/>
      <c r="D38" s="533"/>
      <c r="E38" s="533"/>
      <c r="F38" s="533"/>
      <c r="G38" s="533"/>
      <c r="H38" s="533"/>
      <c r="I38" s="534"/>
    </row>
    <row r="39" spans="2:9" ht="24.6" customHeight="1">
      <c r="B39" s="1781">
        <f>'[1]NOTE 3 E'!B39:I39</f>
        <v>0</v>
      </c>
      <c r="C39" s="1782"/>
      <c r="D39" s="1782"/>
      <c r="E39" s="1782"/>
      <c r="F39" s="1782"/>
      <c r="G39" s="1782"/>
      <c r="H39" s="1782"/>
      <c r="I39" s="1783"/>
    </row>
    <row r="40" spans="2:9" ht="24.6" customHeight="1">
      <c r="B40" s="1781">
        <f>'[1]NOTE 3 E'!B40:I40</f>
        <v>0</v>
      </c>
      <c r="C40" s="1782"/>
      <c r="D40" s="1782"/>
      <c r="E40" s="1782"/>
      <c r="F40" s="1782"/>
      <c r="G40" s="1782"/>
      <c r="H40" s="1782"/>
      <c r="I40" s="1783"/>
    </row>
    <row r="41" spans="2:9" ht="24.6" customHeight="1">
      <c r="B41" s="1781">
        <f>'[1]NOTE 3 E'!B41:I41</f>
        <v>0</v>
      </c>
      <c r="C41" s="1782"/>
      <c r="D41" s="1782"/>
      <c r="E41" s="1782"/>
      <c r="F41" s="1782"/>
      <c r="G41" s="1782"/>
      <c r="H41" s="1782"/>
      <c r="I41" s="1783"/>
    </row>
    <row r="42" spans="2:9" ht="24.6" customHeight="1">
      <c r="B42" s="1781">
        <f>'[1]NOTE 3 E'!B42:I42</f>
        <v>0</v>
      </c>
      <c r="C42" s="1782"/>
      <c r="D42" s="1782"/>
      <c r="E42" s="1782"/>
      <c r="F42" s="1782"/>
      <c r="G42" s="1782"/>
      <c r="H42" s="1782"/>
      <c r="I42" s="1783"/>
    </row>
    <row r="43" spans="2:9" ht="24.6" customHeight="1">
      <c r="B43" s="1781">
        <f>'[1]NOTE 3 E'!B43:I43</f>
        <v>0</v>
      </c>
      <c r="C43" s="1782"/>
      <c r="D43" s="1782"/>
      <c r="E43" s="1782"/>
      <c r="F43" s="1782"/>
      <c r="G43" s="1782"/>
      <c r="H43" s="1782"/>
      <c r="I43" s="1783"/>
    </row>
    <row r="44" spans="2:9" ht="24.6" customHeight="1">
      <c r="B44" s="1781">
        <f>'[1]NOTE 3 E'!B44:I44</f>
        <v>0</v>
      </c>
      <c r="C44" s="1782"/>
      <c r="D44" s="1782"/>
      <c r="E44" s="1782"/>
      <c r="F44" s="1782"/>
      <c r="G44" s="1782"/>
      <c r="H44" s="1782"/>
      <c r="I44" s="1783"/>
    </row>
    <row r="45" spans="2:9" ht="24.6" customHeight="1">
      <c r="B45" s="1781">
        <f>'[1]NOTE 3 E'!B45:I45</f>
        <v>0</v>
      </c>
      <c r="C45" s="1782"/>
      <c r="D45" s="1782"/>
      <c r="E45" s="1782"/>
      <c r="F45" s="1782"/>
      <c r="G45" s="1782"/>
      <c r="H45" s="1782"/>
      <c r="I45" s="1783"/>
    </row>
    <row r="46" spans="2:9" ht="24" customHeight="1">
      <c r="B46" s="535" t="str">
        <f>IF([1]ACCUEIL!B1=1,"Tax treatment of revaluation surplus and additional depreciation","Traitement fiscal de l'écart de réévaluation et des amortissements supplémentaires")</f>
        <v>Traitement fiscal de l'écart de réévaluation et des amortissements supplémentaires</v>
      </c>
      <c r="C46" s="536"/>
      <c r="D46" s="536"/>
      <c r="E46" s="536"/>
      <c r="F46" s="537"/>
      <c r="G46" s="537"/>
      <c r="H46" s="537"/>
      <c r="I46" s="538"/>
    </row>
    <row r="47" spans="2:9" ht="24" customHeight="1">
      <c r="B47" s="1781">
        <f>'[1]NOTE 3 E'!B47:I47</f>
        <v>0</v>
      </c>
      <c r="C47" s="1782"/>
      <c r="D47" s="1782"/>
      <c r="E47" s="1782"/>
      <c r="F47" s="1782"/>
      <c r="G47" s="1782"/>
      <c r="H47" s="1782"/>
      <c r="I47" s="1783"/>
    </row>
    <row r="48" spans="2:9" ht="24" customHeight="1">
      <c r="B48" s="1781">
        <f>'[1]NOTE 3 E'!B48:I48</f>
        <v>0</v>
      </c>
      <c r="C48" s="1782"/>
      <c r="D48" s="1782"/>
      <c r="E48" s="1782"/>
      <c r="F48" s="1782"/>
      <c r="G48" s="1782"/>
      <c r="H48" s="1782"/>
      <c r="I48" s="1783"/>
    </row>
    <row r="49" spans="2:9" ht="24" customHeight="1">
      <c r="B49" s="1781">
        <f>'[1]NOTE 3 E'!B49:I49</f>
        <v>0</v>
      </c>
      <c r="C49" s="1782"/>
      <c r="D49" s="1782"/>
      <c r="E49" s="1782"/>
      <c r="F49" s="1782"/>
      <c r="G49" s="1782"/>
      <c r="H49" s="1782"/>
      <c r="I49" s="1783"/>
    </row>
    <row r="50" spans="2:9" ht="24" customHeight="1">
      <c r="B50" s="1781">
        <f>'[1]NOTE 3 E'!B50:I50</f>
        <v>0</v>
      </c>
      <c r="C50" s="1782"/>
      <c r="D50" s="1782"/>
      <c r="E50" s="1782"/>
      <c r="F50" s="1782"/>
      <c r="G50" s="1782"/>
      <c r="H50" s="1782"/>
      <c r="I50" s="1783"/>
    </row>
    <row r="51" spans="2:9" ht="24" customHeight="1">
      <c r="B51" s="1781">
        <f>'[1]NOTE 3 E'!B51:I51</f>
        <v>0</v>
      </c>
      <c r="C51" s="1782"/>
      <c r="D51" s="1782"/>
      <c r="E51" s="1782"/>
      <c r="F51" s="1782"/>
      <c r="G51" s="1782"/>
      <c r="H51" s="1782"/>
      <c r="I51" s="1783"/>
    </row>
    <row r="52" spans="2:9" ht="24" customHeight="1">
      <c r="B52" s="1781">
        <f>'[1]NOTE 3 E'!B52:I52</f>
        <v>0</v>
      </c>
      <c r="C52" s="1782"/>
      <c r="D52" s="1782"/>
      <c r="E52" s="1782"/>
      <c r="F52" s="1782"/>
      <c r="G52" s="1782"/>
      <c r="H52" s="1782"/>
      <c r="I52" s="1783"/>
    </row>
    <row r="53" spans="2:9" ht="24" customHeight="1">
      <c r="B53" s="1781">
        <f>'[1]NOTE 3 E'!B53:I53</f>
        <v>0</v>
      </c>
      <c r="C53" s="1782"/>
      <c r="D53" s="1782"/>
      <c r="E53" s="1782"/>
      <c r="F53" s="1782"/>
      <c r="G53" s="1782"/>
      <c r="H53" s="1782"/>
      <c r="I53" s="1783"/>
    </row>
    <row r="54" spans="2:9" ht="24" customHeight="1">
      <c r="B54" s="1781">
        <f>'[1]NOTE 3 E'!B54:I54</f>
        <v>0</v>
      </c>
      <c r="C54" s="1782"/>
      <c r="D54" s="1782"/>
      <c r="E54" s="1782"/>
      <c r="F54" s="1782"/>
      <c r="G54" s="1782"/>
      <c r="H54" s="1782"/>
      <c r="I54" s="1783"/>
    </row>
    <row r="55" spans="2:9" ht="24" customHeight="1">
      <c r="B55" s="1781">
        <f>'[1]NOTE 3 E'!B55:I55</f>
        <v>0</v>
      </c>
      <c r="C55" s="1782"/>
      <c r="D55" s="1782"/>
      <c r="E55" s="1782"/>
      <c r="F55" s="1782"/>
      <c r="G55" s="1782"/>
      <c r="H55" s="1782"/>
      <c r="I55" s="1783"/>
    </row>
    <row r="56" spans="2:9" ht="24" customHeight="1">
      <c r="B56" s="1781">
        <f>'[1]NOTE 3 E'!B56:I56</f>
        <v>0</v>
      </c>
      <c r="C56" s="1782"/>
      <c r="D56" s="1782"/>
      <c r="E56" s="1782"/>
      <c r="F56" s="1782"/>
      <c r="G56" s="1782"/>
      <c r="H56" s="1782"/>
      <c r="I56" s="1783"/>
    </row>
    <row r="57" spans="2:9" ht="24" customHeight="1" thickBot="1">
      <c r="B57" s="1781">
        <f>'[1]NOTE 3 E'!B57:I57</f>
        <v>0</v>
      </c>
      <c r="C57" s="1782"/>
      <c r="D57" s="1782"/>
      <c r="E57" s="1782"/>
      <c r="F57" s="1782"/>
      <c r="G57" s="1782"/>
      <c r="H57" s="1782"/>
      <c r="I57" s="1783"/>
    </row>
    <row r="58" spans="2:9" ht="24" customHeight="1" thickBot="1">
      <c r="B58" s="539" t="str">
        <f>IF([1]ACCUEIL!B1=1,"Amount of the difference incorporated into capital:","Montant de l'écart incorporé au capital:")</f>
        <v>Montant de l'écart incorporé au capital:</v>
      </c>
      <c r="C58" s="540"/>
      <c r="D58" s="540"/>
      <c r="E58" s="540"/>
      <c r="F58" s="541"/>
      <c r="G58" s="541"/>
      <c r="H58" s="542"/>
      <c r="I58" s="543">
        <f>'[1]CLASSE 1'!J55</f>
        <v>0</v>
      </c>
    </row>
  </sheetData>
  <sheetProtection insertRows="0" selectLockedCells="1"/>
  <mergeCells count="48">
    <mergeCell ref="B57:I57"/>
    <mergeCell ref="B45:I45"/>
    <mergeCell ref="B47:I47"/>
    <mergeCell ref="B48:I48"/>
    <mergeCell ref="B49:I49"/>
    <mergeCell ref="B50:I50"/>
    <mergeCell ref="B51:I51"/>
    <mergeCell ref="B52:I52"/>
    <mergeCell ref="B53:I53"/>
    <mergeCell ref="B54:I54"/>
    <mergeCell ref="B55:I55"/>
    <mergeCell ref="B56:I56"/>
    <mergeCell ref="B44:I44"/>
    <mergeCell ref="B32:D32"/>
    <mergeCell ref="B33:D33"/>
    <mergeCell ref="B34:D34"/>
    <mergeCell ref="B35:D35"/>
    <mergeCell ref="B36:D36"/>
    <mergeCell ref="B37:D37"/>
    <mergeCell ref="B39:I39"/>
    <mergeCell ref="B40:I40"/>
    <mergeCell ref="B41:I41"/>
    <mergeCell ref="B42:I42"/>
    <mergeCell ref="B43:I43"/>
    <mergeCell ref="B31:D31"/>
    <mergeCell ref="B20:D20"/>
    <mergeCell ref="B21:D21"/>
    <mergeCell ref="B22:D22"/>
    <mergeCell ref="B23:D23"/>
    <mergeCell ref="B24:D24"/>
    <mergeCell ref="B25:D25"/>
    <mergeCell ref="B26:D26"/>
    <mergeCell ref="B27:D27"/>
    <mergeCell ref="B28:D28"/>
    <mergeCell ref="B29:D29"/>
    <mergeCell ref="B30:D30"/>
    <mergeCell ref="B19:D19"/>
    <mergeCell ref="B1:I1"/>
    <mergeCell ref="H2:I3"/>
    <mergeCell ref="E7:F7"/>
    <mergeCell ref="B9:I9"/>
    <mergeCell ref="B11:I11"/>
    <mergeCell ref="B13:I13"/>
    <mergeCell ref="B14:I14"/>
    <mergeCell ref="B15:I15"/>
    <mergeCell ref="B16:I16"/>
    <mergeCell ref="B17:I17"/>
    <mergeCell ref="B18:I18"/>
  </mergeCells>
  <conditionalFormatting sqref="J6 F5:J5 E6 G6:H6">
    <cfRule type="expression" dxfId="37" priority="1">
      <formula>#REF!=1</formula>
    </cfRule>
  </conditionalFormatting>
  <printOptions horizontalCentered="1"/>
  <pageMargins left="0.78740157480314965" right="0" top="0.59055118110236227" bottom="0.19685039370078741" header="0.31496062992125984" footer="0.31496062992125984"/>
  <pageSetup paperSize="9" scale="55" fitToHeight="0" orientation="portrait" r:id="rId1"/>
  <headerFooter>
    <oddHeader>&amp;C&amp;"-,Gras"&amp;14Page &amp;P / &amp;N</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24">
    <pageSetUpPr fitToPage="1"/>
  </sheetPr>
  <dimension ref="B1:M39"/>
  <sheetViews>
    <sheetView showZeros="0" topLeftCell="A5" zoomScale="80" zoomScaleNormal="80" zoomScaleSheetLayoutView="100" workbookViewId="0">
      <selection activeCell="A21" sqref="A21"/>
    </sheetView>
  </sheetViews>
  <sheetFormatPr baseColWidth="10" defaultColWidth="11.42578125" defaultRowHeight="15"/>
  <cols>
    <col min="1" max="1" width="3.28515625" style="2" customWidth="1"/>
    <col min="2" max="2" width="24.5703125" style="2" customWidth="1"/>
    <col min="3" max="3" width="62.42578125" style="2" customWidth="1"/>
    <col min="4" max="4" width="21.140625" style="2" customWidth="1"/>
    <col min="5" max="5" width="22.42578125" style="2" customWidth="1"/>
    <col min="6" max="6" width="13.85546875" style="2" customWidth="1"/>
    <col min="7" max="7" width="18.5703125" style="2" customWidth="1"/>
    <col min="8" max="8" width="22.42578125" style="2" bestFit="1" customWidth="1"/>
    <col min="9" max="9" width="16.42578125" style="2" customWidth="1"/>
    <col min="10" max="10" width="5.28515625" style="2" hidden="1" customWidth="1"/>
    <col min="11" max="11" width="6" style="2" hidden="1" customWidth="1"/>
    <col min="12" max="12" width="6.28515625" style="2" hidden="1" customWidth="1"/>
    <col min="13" max="13" width="15.42578125" style="2" hidden="1" customWidth="1"/>
    <col min="14" max="16384" width="11.42578125" style="2"/>
  </cols>
  <sheetData>
    <row r="1" spans="2:13">
      <c r="B1" s="1788"/>
      <c r="C1" s="1788"/>
      <c r="D1" s="1788"/>
      <c r="E1" s="1788"/>
      <c r="F1" s="1788"/>
      <c r="G1" s="1788"/>
      <c r="H1" s="1788"/>
      <c r="I1" s="1788"/>
    </row>
    <row r="2" spans="2:13">
      <c r="B2" s="144"/>
      <c r="C2" s="144"/>
      <c r="D2" s="144"/>
      <c r="E2" s="144"/>
      <c r="F2" s="144"/>
      <c r="G2" s="144"/>
      <c r="H2" s="1650" t="str">
        <f>IF([1]ACCUEIL!B1=1,"NOTE 4
NORMAL SYSTEM","NOTE 4
SYSTEME NORMAL")</f>
        <v>NOTE 4
SYSTEME NORMAL</v>
      </c>
      <c r="I2" s="1651"/>
    </row>
    <row r="3" spans="2:13">
      <c r="B3" s="144"/>
      <c r="C3" s="144"/>
      <c r="D3" s="144"/>
      <c r="E3" s="312"/>
      <c r="F3" s="144"/>
      <c r="G3" s="144"/>
      <c r="H3" s="1652"/>
      <c r="I3" s="1653"/>
    </row>
    <row r="4" spans="2:13">
      <c r="B4" s="476" t="str">
        <f>'NOTE 3 E'!B4</f>
        <v>Désignation entité:</v>
      </c>
      <c r="C4" s="313" t="str">
        <f>'NOTE 3 C'!C4</f>
        <v/>
      </c>
      <c r="D4" s="428"/>
      <c r="E4" s="428"/>
      <c r="F4" s="428"/>
      <c r="G4" s="428"/>
      <c r="H4" s="428"/>
      <c r="I4" s="428"/>
    </row>
    <row r="5" spans="2:13">
      <c r="B5" s="476" t="str">
        <f>'NOTE 3 E'!B5</f>
        <v>Sigle usuel :</v>
      </c>
      <c r="C5" s="402" t="str">
        <f>'NOTE 3 E'!C5</f>
        <v/>
      </c>
      <c r="D5" s="175"/>
      <c r="E5" s="507"/>
      <c r="F5" s="507"/>
      <c r="G5" s="507"/>
      <c r="H5" s="430"/>
      <c r="I5" s="430"/>
    </row>
    <row r="6" spans="2:13">
      <c r="B6" s="476" t="str">
        <f>'NOTE 3 E'!B6</f>
        <v>Adresse:</v>
      </c>
      <c r="C6" s="402">
        <f>'NOTE 3 E'!C6</f>
        <v>0</v>
      </c>
      <c r="D6" s="455"/>
      <c r="E6" s="508"/>
      <c r="F6" s="172"/>
      <c r="G6" s="172"/>
      <c r="H6" s="317" t="str">
        <f>'NOTE 3 E'!H6</f>
        <v>BP:</v>
      </c>
      <c r="I6" s="544" t="str">
        <f>'NOTE 3 E'!I6</f>
        <v/>
      </c>
    </row>
    <row r="7" spans="2:13">
      <c r="B7" s="476" t="str">
        <f>'NOTE 3 E'!B7</f>
        <v>Numéro d'identification:</v>
      </c>
      <c r="C7" s="402" t="str">
        <f>'NOTE 3 C'!C7</f>
        <v/>
      </c>
      <c r="D7" s="430"/>
      <c r="E7" s="1777" t="str">
        <f>'NOTE 3 E'!E7:F7</f>
        <v xml:space="preserve">   Exercice clos le 31 - 12- </v>
      </c>
      <c r="F7" s="1701"/>
      <c r="G7" s="402">
        <f>'NOTE 3 C'!E7</f>
        <v>2025</v>
      </c>
      <c r="H7" s="481" t="str">
        <f>'NOTE 3 E'!H7</f>
        <v xml:space="preserve">    Durée (en mois):</v>
      </c>
      <c r="I7" s="402">
        <f>'NOTE 3 C'!G7</f>
        <v>12</v>
      </c>
    </row>
    <row r="8" spans="2:13" ht="15.75">
      <c r="B8" s="43"/>
      <c r="C8" s="43"/>
      <c r="D8" s="43"/>
      <c r="E8" s="43"/>
      <c r="F8" s="43"/>
      <c r="G8" s="43"/>
      <c r="H8" s="43"/>
      <c r="I8" s="43"/>
      <c r="J8" s="545"/>
    </row>
    <row r="9" spans="2:13" s="522" customFormat="1" ht="25.5" customHeight="1">
      <c r="B9" s="1789" t="str">
        <f>IF([1]ACCUEIL!B1=1,"NOTE 4 FINANCIAL FIXED ASSETS","NOTE 4 IMMOBILISATIONS FINANCIERES")</f>
        <v>NOTE 4 IMMOBILISATIONS FINANCIERES</v>
      </c>
      <c r="C9" s="1789"/>
      <c r="D9" s="1789"/>
      <c r="E9" s="1789"/>
      <c r="F9" s="1789"/>
      <c r="G9" s="1789"/>
      <c r="H9" s="1789"/>
      <c r="I9" s="1789"/>
      <c r="J9" s="546"/>
    </row>
    <row r="10" spans="2:13" s="550" customFormat="1" ht="54" customHeight="1">
      <c r="B10" s="1790" t="str">
        <f>'NOTE 3 D'!B10:C11</f>
        <v xml:space="preserve">      RUBRIQUES</v>
      </c>
      <c r="C10" s="1791"/>
      <c r="D10" s="547" t="str">
        <f>'[1]NOTE 4'!D10</f>
        <v>Année 2025</v>
      </c>
      <c r="E10" s="547" t="str">
        <f>'[1]NOTE 4'!E10</f>
        <v>Année 2024</v>
      </c>
      <c r="F10" s="548" t="str">
        <f>IF([1]ACCUEIL!B1=1,"% Change","Variation en % ")</f>
        <v xml:space="preserve">Variation en % </v>
      </c>
      <c r="G10" s="548" t="str">
        <f>IF([1]ACCUEIL!B1=1,"Receivables due in one year or more","Créances à un an ou plus")</f>
        <v>Créances à un an ou plus</v>
      </c>
      <c r="H10" s="548" t="str">
        <f>IF([1]ACCUEIL!B1=1,"Amounts receivable after more than one year and up to two years","Créances à plus d'un an et à deux ans au plus")</f>
        <v>Créances à plus d'un an et à deux ans au plus</v>
      </c>
      <c r="I10" s="548" t="str">
        <f>IF([1]ACCUEIL!B1=1,"Amounts receivable after more than two years","Créances à plus de deux ans")</f>
        <v>Créances à plus de deux ans</v>
      </c>
      <c r="J10" s="549"/>
    </row>
    <row r="11" spans="2:13" s="9" customFormat="1" ht="24" customHeight="1">
      <c r="B11" s="213" t="str">
        <f>IF([1]ACCUEIL!B1=1,"Equity securities ","Titres de participation ")</f>
        <v xml:space="preserve">Titres de participation </v>
      </c>
      <c r="C11" s="215"/>
      <c r="D11" s="1211">
        <f>SUM('[1]CLASSE 2'!I286:I291)</f>
        <v>0</v>
      </c>
      <c r="E11" s="1211">
        <f>+SUM('[1]BALANCE REGROUPE'!I541:I546)</f>
        <v>0</v>
      </c>
      <c r="F11" s="1113">
        <f t="shared" ref="F11:F22" si="0">IF(J11=0,0,M11)</f>
        <v>0</v>
      </c>
      <c r="G11" s="1114">
        <f>'[1]NOTE 4'!G11</f>
        <v>0</v>
      </c>
      <c r="H11" s="1114">
        <f>'[1]NOTE 4'!H11</f>
        <v>0</v>
      </c>
      <c r="I11" s="1114">
        <f>'[1]NOTE 4'!I11</f>
        <v>0</v>
      </c>
      <c r="J11" s="1114">
        <f>'[1]NOTE 4'!J11</f>
        <v>0</v>
      </c>
      <c r="K11" s="1114">
        <f>'[1]NOTE 4'!K11</f>
        <v>1</v>
      </c>
      <c r="L11" s="1114">
        <f>'[1]NOTE 4'!L11</f>
        <v>0</v>
      </c>
      <c r="M11" s="1114">
        <f>'[1]NOTE 4'!M11</f>
        <v>1</v>
      </c>
    </row>
    <row r="12" spans="2:13" s="9" customFormat="1" ht="24" customHeight="1">
      <c r="B12" s="213" t="str">
        <f>IF([1]ACCUEIL!B1=1,"Loans and receivables","Prêts et créances")</f>
        <v>Prêts et créances</v>
      </c>
      <c r="C12" s="215"/>
      <c r="D12" s="1211">
        <f>'[1]CLASSE 2'!I303</f>
        <v>0</v>
      </c>
      <c r="E12" s="1211">
        <f>+'[1]BALANCE REGROUPE'!I558</f>
        <v>0</v>
      </c>
      <c r="F12" s="1113">
        <f t="shared" si="0"/>
        <v>0</v>
      </c>
      <c r="G12" s="1114">
        <f>'[1]NOTE 4'!G12</f>
        <v>0</v>
      </c>
      <c r="H12" s="1114">
        <f>'[1]NOTE 4'!H12</f>
        <v>0</v>
      </c>
      <c r="I12" s="1114">
        <f>'[1]NOTE 4'!I12</f>
        <v>0</v>
      </c>
      <c r="J12" s="1318">
        <f t="shared" ref="J12:J23" si="1">D12-E12</f>
        <v>0</v>
      </c>
      <c r="K12" s="1319">
        <f t="shared" ref="K12:K23" si="2">IF(E12=0,1,IF(E12&lt;0,(D12-E12)/-E12,(D12-E12)/E12))</f>
        <v>1</v>
      </c>
      <c r="L12" s="1320">
        <f t="shared" ref="L12:L23" si="3">IF(J12=D12,IF(J12&lt;0,-1,0))</f>
        <v>0</v>
      </c>
      <c r="M12" s="1321">
        <f t="shared" ref="M12:M23" si="4">IF(L12=0,1,IF(L12=FALSE,K12,-1))</f>
        <v>1</v>
      </c>
    </row>
    <row r="13" spans="2:13" s="9" customFormat="1" ht="24" customHeight="1">
      <c r="B13" s="213" t="str">
        <f>IF([1]ACCUEIL!B1=1,"Staff Loans","Prêts au personnel")</f>
        <v>Prêts au personnel</v>
      </c>
      <c r="C13" s="215"/>
      <c r="D13" s="1211">
        <f>'[1]CLASSE 2'!I311</f>
        <v>0</v>
      </c>
      <c r="E13" s="1211">
        <f>+'[1]BALANCE REGROUPE'!I566</f>
        <v>0</v>
      </c>
      <c r="F13" s="1113">
        <f t="shared" si="0"/>
        <v>0</v>
      </c>
      <c r="G13" s="1114">
        <f>'[1]NOTE 4'!G13</f>
        <v>0</v>
      </c>
      <c r="H13" s="1114">
        <f>'[1]NOTE 4'!H13</f>
        <v>0</v>
      </c>
      <c r="I13" s="1114">
        <f>'[1]NOTE 4'!I13</f>
        <v>0</v>
      </c>
      <c r="J13" s="1318">
        <f t="shared" si="1"/>
        <v>0</v>
      </c>
      <c r="K13" s="1319">
        <f t="shared" si="2"/>
        <v>1</v>
      </c>
      <c r="L13" s="1320">
        <f t="shared" si="3"/>
        <v>0</v>
      </c>
      <c r="M13" s="1321">
        <f t="shared" si="4"/>
        <v>1</v>
      </c>
    </row>
    <row r="14" spans="2:13" s="9" customFormat="1" ht="24" customHeight="1">
      <c r="B14" s="213" t="str">
        <f>IF([1]ACCUEIL!B1=1,"Receivables from the state ","Créances sur l'état ")</f>
        <v xml:space="preserve">Créances sur l'état </v>
      </c>
      <c r="C14" s="215"/>
      <c r="D14" s="1211">
        <f>'[1]CLASSE 2'!I321</f>
        <v>0</v>
      </c>
      <c r="E14" s="1211">
        <f>+'[1]BALANCE REGROUPE'!I576</f>
        <v>0</v>
      </c>
      <c r="F14" s="1113">
        <f t="shared" si="0"/>
        <v>0</v>
      </c>
      <c r="G14" s="1114">
        <f>'[1]NOTE 4'!G14</f>
        <v>0</v>
      </c>
      <c r="H14" s="1114">
        <f>'[1]NOTE 4'!H14</f>
        <v>0</v>
      </c>
      <c r="I14" s="1114">
        <f>'[1]NOTE 4'!I14</f>
        <v>0</v>
      </c>
      <c r="J14" s="1318">
        <f t="shared" si="1"/>
        <v>0</v>
      </c>
      <c r="K14" s="1319">
        <f t="shared" si="2"/>
        <v>1</v>
      </c>
      <c r="L14" s="1320">
        <f t="shared" si="3"/>
        <v>0</v>
      </c>
      <c r="M14" s="1321">
        <f t="shared" si="4"/>
        <v>1</v>
      </c>
    </row>
    <row r="15" spans="2:13" s="9" customFormat="1" ht="24" customHeight="1">
      <c r="B15" s="213" t="str">
        <f>IF([1]ACCUEIL!B1=1,"Fixed assets","Titres immobilisés")</f>
        <v>Titres immobilisés</v>
      </c>
      <c r="C15" s="215"/>
      <c r="D15" s="1211">
        <f>'[1]CLASSE 2'!I337</f>
        <v>0</v>
      </c>
      <c r="E15" s="1211">
        <f>+'[1]BALANCE REGROUPE'!I592</f>
        <v>0</v>
      </c>
      <c r="F15" s="1113">
        <f t="shared" si="0"/>
        <v>0</v>
      </c>
      <c r="G15" s="1114">
        <f>'[1]NOTE 4'!G15</f>
        <v>0</v>
      </c>
      <c r="H15" s="1114">
        <f>'[1]NOTE 4'!H15</f>
        <v>0</v>
      </c>
      <c r="I15" s="1114">
        <f>'[1]NOTE 4'!I15</f>
        <v>0</v>
      </c>
      <c r="J15" s="1318">
        <f t="shared" si="1"/>
        <v>0</v>
      </c>
      <c r="K15" s="1319">
        <f t="shared" si="2"/>
        <v>1</v>
      </c>
      <c r="L15" s="1320">
        <f t="shared" si="3"/>
        <v>0</v>
      </c>
      <c r="M15" s="1321">
        <f t="shared" si="4"/>
        <v>1</v>
      </c>
    </row>
    <row r="16" spans="2:13" s="9" customFormat="1" ht="24" customHeight="1">
      <c r="B16" s="213" t="str">
        <f>IF([1]ACCUEIL!B1=1,"Deposit and bonds paid","Depôt et cautionnements versés")</f>
        <v>Depôt et cautionnements versés</v>
      </c>
      <c r="C16" s="215"/>
      <c r="D16" s="1211">
        <f>'[1]CLASSE 2'!I355</f>
        <v>0</v>
      </c>
      <c r="E16" s="1211">
        <f>+'[1]BALANCE REGROUPE'!I610</f>
        <v>0</v>
      </c>
      <c r="F16" s="1113">
        <f t="shared" si="0"/>
        <v>0</v>
      </c>
      <c r="G16" s="1114">
        <f>'[1]NOTE 4'!G16</f>
        <v>0</v>
      </c>
      <c r="H16" s="1114">
        <f>'[1]NOTE 4'!H16</f>
        <v>0</v>
      </c>
      <c r="I16" s="1114">
        <f>'[1]NOTE 4'!I16</f>
        <v>0</v>
      </c>
      <c r="J16" s="1318">
        <f t="shared" si="1"/>
        <v>0</v>
      </c>
      <c r="K16" s="1319">
        <f t="shared" si="2"/>
        <v>1</v>
      </c>
      <c r="L16" s="1320">
        <f t="shared" si="3"/>
        <v>0</v>
      </c>
      <c r="M16" s="1321">
        <f t="shared" si="4"/>
        <v>1</v>
      </c>
    </row>
    <row r="17" spans="2:13" s="9" customFormat="1" ht="24" customHeight="1">
      <c r="B17" s="213" t="str">
        <f>IF([1]ACCUEIL!B1=1,"Accrued interest","Intérêts courus")</f>
        <v>Intérêts courus</v>
      </c>
      <c r="C17" s="215"/>
      <c r="D17" s="1211">
        <f>'[1]CLASSE 2'!I371</f>
        <v>0</v>
      </c>
      <c r="E17" s="1211">
        <f>+'[1]BALANCE REGROUPE'!I626</f>
        <v>0</v>
      </c>
      <c r="F17" s="1113">
        <f t="shared" si="0"/>
        <v>0</v>
      </c>
      <c r="G17" s="1114">
        <f>'[1]NOTE 4'!G17</f>
        <v>0</v>
      </c>
      <c r="H17" s="1114">
        <f>'[1]NOTE 4'!H17</f>
        <v>0</v>
      </c>
      <c r="I17" s="1114">
        <f>'[1]NOTE 4'!I17</f>
        <v>0</v>
      </c>
      <c r="J17" s="1318">
        <f t="shared" si="1"/>
        <v>0</v>
      </c>
      <c r="K17" s="1319">
        <f t="shared" si="2"/>
        <v>1</v>
      </c>
      <c r="L17" s="1320">
        <f t="shared" si="3"/>
        <v>0</v>
      </c>
      <c r="M17" s="1321">
        <f t="shared" si="4"/>
        <v>1</v>
      </c>
    </row>
    <row r="18" spans="2:13" s="9" customFormat="1" ht="24" customHeight="1">
      <c r="B18" s="213" t="str">
        <f>IF([1]ACCUEIL!B1=1,"Receivables attached to advances and participations in EIG","Créances rattachées à des avances et participations à des GIE")</f>
        <v>Créances rattachées à des avances et participations à des GIE</v>
      </c>
      <c r="C18" s="215"/>
      <c r="D18" s="1211">
        <f>'[1]CLASSE 2'!I377</f>
        <v>0</v>
      </c>
      <c r="E18" s="1211">
        <f>+'[1]BALANCE REGROUPE'!I632</f>
        <v>0</v>
      </c>
      <c r="F18" s="1113"/>
      <c r="G18" s="1114">
        <f>'[1]NOTE 4'!G18</f>
        <v>0</v>
      </c>
      <c r="H18" s="1114">
        <f>'[1]NOTE 4'!H18</f>
        <v>0</v>
      </c>
      <c r="I18" s="1114">
        <f>'[1]NOTE 4'!I18</f>
        <v>0</v>
      </c>
      <c r="J18" s="1318"/>
      <c r="K18" s="1319"/>
      <c r="L18" s="1320"/>
      <c r="M18" s="1321"/>
    </row>
    <row r="19" spans="2:13" s="9" customFormat="1" ht="24" customHeight="1">
      <c r="B19" s="213" t="str">
        <f>IF([1]ACCUEIL!B1=1,"Miscellaneous financial assets","Immobilisations financières diverses")</f>
        <v>Immobilisations financières diverses</v>
      </c>
      <c r="C19" s="215"/>
      <c r="D19" s="1211">
        <f>+'[1]CLASSE 2'!I387</f>
        <v>0</v>
      </c>
      <c r="E19" s="1211">
        <f>+'[1]BALANCE REGROUPE'!I642</f>
        <v>0</v>
      </c>
      <c r="F19" s="1113"/>
      <c r="G19" s="1114">
        <f>'[1]NOTE 4'!G19</f>
        <v>0</v>
      </c>
      <c r="H19" s="1114">
        <f>'[1]NOTE 4'!H19</f>
        <v>0</v>
      </c>
      <c r="I19" s="1114">
        <f>'[1]NOTE 4'!I19</f>
        <v>0</v>
      </c>
      <c r="J19" s="1318"/>
      <c r="K19" s="1319"/>
      <c r="L19" s="1320"/>
      <c r="M19" s="1321"/>
    </row>
    <row r="20" spans="2:13" ht="24" customHeight="1">
      <c r="B20" s="238" t="str">
        <f>IF([1]ACCUEIL!B1=1,"GROSS TOTAL","TOTAL BRUT")</f>
        <v>TOTAL BRUT</v>
      </c>
      <c r="C20" s="460"/>
      <c r="D20" s="483">
        <f>SUM(D11:D19)</f>
        <v>0</v>
      </c>
      <c r="E20" s="483">
        <f t="shared" ref="E20:I20" si="5">SUM(E11:E19)</f>
        <v>0</v>
      </c>
      <c r="F20" s="1245">
        <f t="shared" si="5"/>
        <v>0</v>
      </c>
      <c r="G20" s="483">
        <f t="shared" si="5"/>
        <v>0</v>
      </c>
      <c r="H20" s="483">
        <f t="shared" si="5"/>
        <v>0</v>
      </c>
      <c r="I20" s="483">
        <f t="shared" si="5"/>
        <v>0</v>
      </c>
      <c r="J20" s="73">
        <f t="shared" si="1"/>
        <v>0</v>
      </c>
      <c r="K20" s="552">
        <f t="shared" si="2"/>
        <v>1</v>
      </c>
      <c r="L20" s="553">
        <f t="shared" si="3"/>
        <v>0</v>
      </c>
      <c r="M20" s="554">
        <f t="shared" si="4"/>
        <v>1</v>
      </c>
    </row>
    <row r="21" spans="2:13" s="9" customFormat="1" ht="24" customHeight="1">
      <c r="B21" s="213" t="str">
        <f>IF([1]ACCUEIL!B1=1,"Impairment of equity investments","Dépréciations titres de participation")</f>
        <v>Dépréciations titres de participation</v>
      </c>
      <c r="C21" s="215"/>
      <c r="D21" s="1322">
        <f>'[1]CLASSE 2'!J547</f>
        <v>0</v>
      </c>
      <c r="E21" s="1322">
        <f>'[1]CLASSE 2'!F547</f>
        <v>0</v>
      </c>
      <c r="F21" s="1113">
        <f t="shared" si="0"/>
        <v>0</v>
      </c>
      <c r="G21" s="1114">
        <f>'[1]NOTE 4'!G21</f>
        <v>0</v>
      </c>
      <c r="H21" s="1114">
        <f>'[1]NOTE 4'!H21</f>
        <v>0</v>
      </c>
      <c r="I21" s="1114">
        <f>'[1]NOTE 4'!I21</f>
        <v>0</v>
      </c>
      <c r="J21" s="1318">
        <f t="shared" si="1"/>
        <v>0</v>
      </c>
      <c r="K21" s="1319">
        <f t="shared" si="2"/>
        <v>1</v>
      </c>
      <c r="L21" s="1320">
        <f t="shared" si="3"/>
        <v>0</v>
      </c>
      <c r="M21" s="1321">
        <f t="shared" si="4"/>
        <v>1</v>
      </c>
    </row>
    <row r="22" spans="2:13" s="9" customFormat="1" ht="24" customHeight="1">
      <c r="B22" s="213" t="str">
        <f>IF([1]ACCUEIL!B1=1,"Impairment of other fixed assets","Dépréciations autres  immobilisations")</f>
        <v>Dépréciations autres  immobilisations</v>
      </c>
      <c r="C22" s="215"/>
      <c r="D22" s="1323">
        <f>'[1]CLASSE 2'!J563</f>
        <v>0</v>
      </c>
      <c r="E22" s="1323">
        <f>'[1]CLASSE 2'!F563</f>
        <v>0</v>
      </c>
      <c r="F22" s="1113">
        <f t="shared" si="0"/>
        <v>0</v>
      </c>
      <c r="G22" s="1114">
        <f>'[1]NOTE 4'!G22</f>
        <v>0</v>
      </c>
      <c r="H22" s="1114">
        <f>'[1]NOTE 4'!H22</f>
        <v>0</v>
      </c>
      <c r="I22" s="1114">
        <f>'[1]NOTE 4'!I22</f>
        <v>0</v>
      </c>
      <c r="J22" s="1318">
        <f t="shared" si="1"/>
        <v>0</v>
      </c>
      <c r="K22" s="1319">
        <f t="shared" si="2"/>
        <v>1</v>
      </c>
      <c r="L22" s="1320">
        <f t="shared" si="3"/>
        <v>0</v>
      </c>
      <c r="M22" s="1321">
        <f t="shared" si="4"/>
        <v>1</v>
      </c>
    </row>
    <row r="23" spans="2:13" ht="24" customHeight="1">
      <c r="B23" s="238" t="str">
        <f>IF([1]ACCUEIL!B1=1,"TOTAL NET DEPRECIATION","TOTAL NET  DE DEPRECIATION ")</f>
        <v xml:space="preserve">TOTAL NET  DE DEPRECIATION </v>
      </c>
      <c r="C23" s="460"/>
      <c r="D23" s="555">
        <f>D20-D21-D22</f>
        <v>0</v>
      </c>
      <c r="E23" s="555">
        <f t="shared" ref="E23:I23" si="6">E20-E21-E22</f>
        <v>0</v>
      </c>
      <c r="F23" s="1246">
        <f t="shared" si="6"/>
        <v>0</v>
      </c>
      <c r="G23" s="555">
        <f t="shared" si="6"/>
        <v>0</v>
      </c>
      <c r="H23" s="555">
        <f t="shared" si="6"/>
        <v>0</v>
      </c>
      <c r="I23" s="555">
        <f t="shared" si="6"/>
        <v>0</v>
      </c>
      <c r="J23" s="73">
        <f t="shared" si="1"/>
        <v>0</v>
      </c>
      <c r="K23" s="552">
        <f t="shared" si="2"/>
        <v>1</v>
      </c>
      <c r="L23" s="553">
        <f t="shared" si="3"/>
        <v>0</v>
      </c>
      <c r="M23" s="554">
        <f t="shared" si="4"/>
        <v>1</v>
      </c>
    </row>
    <row r="24" spans="2:13">
      <c r="B24" s="81"/>
      <c r="C24" s="81"/>
      <c r="D24" s="81"/>
      <c r="E24" s="81"/>
      <c r="F24" s="81"/>
      <c r="G24" s="81"/>
      <c r="H24" s="81"/>
      <c r="I24" s="81"/>
    </row>
    <row r="25" spans="2:13" ht="15.75">
      <c r="B25" s="1419" t="s">
        <v>255</v>
      </c>
      <c r="C25" s="1419"/>
      <c r="D25" s="1419"/>
      <c r="E25" s="1419"/>
      <c r="F25" s="1419"/>
      <c r="G25" s="1419"/>
      <c r="H25" s="1419"/>
      <c r="I25" s="1419"/>
      <c r="J25" s="545"/>
    </row>
    <row r="26" spans="2:13" ht="53.25" customHeight="1">
      <c r="B26" s="1792" t="str">
        <f>IF([1]ACCUEIL!B1=1,"Company name","Dénomination sociale")</f>
        <v>Dénomination sociale</v>
      </c>
      <c r="C26" s="1793"/>
      <c r="D26" s="515" t="str">
        <f>IF([1]ACCUEIL!B1=1,"Location (city / country)","Localisation (ville / pays)")</f>
        <v>Localisation (ville / pays)</v>
      </c>
      <c r="E26" s="547" t="str">
        <f>IF([1]ACCUEIL!B1=1,"Acquisition value","Valeur d'acquisition")</f>
        <v>Valeur d'acquisition</v>
      </c>
      <c r="F26" s="548" t="str">
        <f>IF([1]ACCUEIL!B1=1,"% Held","% Détenu")</f>
        <v>% Détenu</v>
      </c>
      <c r="G26" s="548" t="str">
        <f>IF([1]ACCUEIL!B1=1,"Amount of subsidiary shareholders' equity","Montant des capitaux propres filiale")</f>
        <v>Montant des capitaux propres filiale</v>
      </c>
      <c r="H26" s="556" t="str">
        <f>IF([1]ACCUEIL!B1=1,"Earnings last financial year subsidiary","Résultat dernier exercice filiale")</f>
        <v>Résultat dernier exercice filiale</v>
      </c>
      <c r="I26" s="556" t="str">
        <f>IF([1]ACCUEIL!B1=1,"Share of profit received from the subsidiary","Part de bénéfice reçue de la filiale")</f>
        <v>Part de bénéfice reçue de la filiale</v>
      </c>
      <c r="J26" s="557"/>
    </row>
    <row r="27" spans="2:13" ht="22.15" customHeight="1">
      <c r="B27" s="1794">
        <f>'[1]NOTE 4'!B27:C27</f>
        <v>0</v>
      </c>
      <c r="C27" s="1786"/>
      <c r="D27" s="470">
        <f>'[1]NOTE 4'!D27</f>
        <v>0</v>
      </c>
      <c r="E27" s="470">
        <f>'[1]NOTE 4'!E27</f>
        <v>0</v>
      </c>
      <c r="F27" s="470">
        <f>'[1]NOTE 4'!F27</f>
        <v>0</v>
      </c>
      <c r="G27" s="470">
        <f>'[1]NOTE 4'!G27</f>
        <v>0</v>
      </c>
      <c r="H27" s="470">
        <f>'[1]NOTE 4'!H27</f>
        <v>0</v>
      </c>
      <c r="I27" s="470">
        <f>'[1]NOTE 4'!I27</f>
        <v>0</v>
      </c>
    </row>
    <row r="28" spans="2:13" ht="22.15" customHeight="1">
      <c r="B28" s="1794">
        <f>'[1]NOTE 4'!B28:C28</f>
        <v>0</v>
      </c>
      <c r="C28" s="1786"/>
      <c r="D28" s="470">
        <f>'[1]NOTE 4'!D28</f>
        <v>0</v>
      </c>
      <c r="E28" s="470">
        <f>'[1]NOTE 4'!E28</f>
        <v>0</v>
      </c>
      <c r="F28" s="470">
        <f>'[1]NOTE 4'!F28</f>
        <v>0</v>
      </c>
      <c r="G28" s="470">
        <f>'[1]NOTE 4'!G28</f>
        <v>0</v>
      </c>
      <c r="H28" s="470">
        <f>'[1]NOTE 4'!H28</f>
        <v>0</v>
      </c>
      <c r="I28" s="470">
        <f>'[1]NOTE 4'!I28</f>
        <v>0</v>
      </c>
    </row>
    <row r="29" spans="2:13" ht="22.15" customHeight="1">
      <c r="B29" s="1794">
        <f>'[1]NOTE 4'!B29:C29</f>
        <v>0</v>
      </c>
      <c r="C29" s="1786"/>
      <c r="D29" s="470">
        <f>'[1]NOTE 4'!D29</f>
        <v>0</v>
      </c>
      <c r="E29" s="470">
        <f>'[1]NOTE 4'!E29</f>
        <v>0</v>
      </c>
      <c r="F29" s="470">
        <f>'[1]NOTE 4'!F29</f>
        <v>0</v>
      </c>
      <c r="G29" s="470">
        <f>'[1]NOTE 4'!G29</f>
        <v>0</v>
      </c>
      <c r="H29" s="470">
        <f>'[1]NOTE 4'!H29</f>
        <v>0</v>
      </c>
      <c r="I29" s="470">
        <f>'[1]NOTE 4'!I29</f>
        <v>0</v>
      </c>
    </row>
    <row r="30" spans="2:13" ht="22.15" customHeight="1">
      <c r="B30" s="1794">
        <f>'[1]NOTE 4'!B30:C30</f>
        <v>0</v>
      </c>
      <c r="C30" s="1786"/>
      <c r="D30" s="470">
        <f>'[1]NOTE 4'!D30</f>
        <v>0</v>
      </c>
      <c r="E30" s="470">
        <f>'[1]NOTE 4'!E30</f>
        <v>0</v>
      </c>
      <c r="F30" s="470">
        <f>'[1]NOTE 4'!F30</f>
        <v>0</v>
      </c>
      <c r="G30" s="470">
        <f>'[1]NOTE 4'!G30</f>
        <v>0</v>
      </c>
      <c r="H30" s="470">
        <f>'[1]NOTE 4'!H30</f>
        <v>0</v>
      </c>
      <c r="I30" s="470">
        <f>'[1]NOTE 4'!I30</f>
        <v>0</v>
      </c>
    </row>
    <row r="31" spans="2:13" ht="22.15" customHeight="1">
      <c r="B31" s="1794">
        <f>'[1]NOTE 4'!B31:C31</f>
        <v>0</v>
      </c>
      <c r="C31" s="1786"/>
      <c r="D31" s="470">
        <f>'[1]NOTE 4'!D31</f>
        <v>0</v>
      </c>
      <c r="E31" s="470">
        <f>'[1]NOTE 4'!E31</f>
        <v>0</v>
      </c>
      <c r="F31" s="470">
        <f>'[1]NOTE 4'!F31</f>
        <v>0</v>
      </c>
      <c r="G31" s="470">
        <f>'[1]NOTE 4'!G31</f>
        <v>0</v>
      </c>
      <c r="H31" s="470">
        <f>'[1]NOTE 4'!H31</f>
        <v>0</v>
      </c>
      <c r="I31" s="470">
        <f>'[1]NOTE 4'!I31</f>
        <v>0</v>
      </c>
    </row>
    <row r="32" spans="2:13">
      <c r="B32" s="81"/>
      <c r="C32" s="81"/>
      <c r="D32" s="81"/>
      <c r="E32" s="81"/>
      <c r="F32" s="81"/>
      <c r="G32" s="81"/>
      <c r="H32" s="81"/>
      <c r="I32" s="81"/>
    </row>
    <row r="33" spans="2:10" ht="15.75">
      <c r="B33" s="558" t="str">
        <f>'NOTE 3 D'!B28</f>
        <v>COMMENTAIRE</v>
      </c>
      <c r="C33" s="1660">
        <f>'[1]NOTE 4'!C33:I33</f>
        <v>0</v>
      </c>
      <c r="D33" s="1660"/>
      <c r="E33" s="1660"/>
      <c r="F33" s="1660"/>
      <c r="G33" s="1660"/>
      <c r="H33" s="1660"/>
      <c r="I33" s="1660"/>
      <c r="J33" s="559"/>
    </row>
    <row r="34" spans="2:10" ht="15.75">
      <c r="B34" s="560"/>
      <c r="C34" s="1660">
        <f>'[1]NOTE 4'!C34:I34</f>
        <v>0</v>
      </c>
      <c r="D34" s="1660"/>
      <c r="E34" s="1660"/>
      <c r="F34" s="1660"/>
      <c r="G34" s="1660"/>
      <c r="H34" s="1660"/>
      <c r="I34" s="1660"/>
      <c r="J34" s="559"/>
    </row>
    <row r="35" spans="2:10" ht="15.75">
      <c r="B35" s="560"/>
      <c r="C35" s="1660">
        <f>'[1]NOTE 4'!C35:I35</f>
        <v>0</v>
      </c>
      <c r="D35" s="1660"/>
      <c r="E35" s="1660"/>
      <c r="F35" s="1660"/>
      <c r="G35" s="1660"/>
      <c r="H35" s="1660"/>
      <c r="I35" s="1660"/>
      <c r="J35" s="559"/>
    </row>
    <row r="36" spans="2:10" ht="15.75">
      <c r="B36" s="560"/>
      <c r="C36" s="1660">
        <f>'[1]NOTE 4'!C36:I36</f>
        <v>0</v>
      </c>
      <c r="D36" s="1660"/>
      <c r="E36" s="1660"/>
      <c r="F36" s="1660"/>
      <c r="G36" s="1660"/>
      <c r="H36" s="1660"/>
      <c r="I36" s="1660"/>
      <c r="J36" s="559"/>
    </row>
    <row r="37" spans="2:10" ht="15.75">
      <c r="B37" s="561"/>
      <c r="C37" s="1660">
        <f>'[1]NOTE 4'!C37:I37</f>
        <v>0</v>
      </c>
      <c r="D37" s="1660"/>
      <c r="E37" s="1660"/>
      <c r="F37" s="1660"/>
      <c r="G37" s="1660"/>
      <c r="H37" s="1660"/>
      <c r="I37" s="1660"/>
      <c r="J37" s="559"/>
    </row>
    <row r="38" spans="2:10" ht="15.75">
      <c r="B38" s="561"/>
      <c r="C38" s="1660">
        <f>'[1]NOTE 4'!C38:I38</f>
        <v>0</v>
      </c>
      <c r="D38" s="1660"/>
      <c r="E38" s="1660"/>
      <c r="F38" s="1660"/>
      <c r="G38" s="1660"/>
      <c r="H38" s="1660"/>
      <c r="I38" s="1660"/>
      <c r="J38" s="559"/>
    </row>
    <row r="39" spans="2:10" ht="15.75">
      <c r="B39" s="561"/>
      <c r="C39" s="1660">
        <f>'[1]NOTE 4'!C39:I39</f>
        <v>0</v>
      </c>
      <c r="D39" s="1660"/>
      <c r="E39" s="1660"/>
      <c r="F39" s="1660"/>
      <c r="G39" s="1660"/>
      <c r="H39" s="1660"/>
      <c r="I39" s="1660"/>
      <c r="J39" s="559"/>
    </row>
  </sheetData>
  <sheetProtection selectLockedCells="1"/>
  <mergeCells count="19">
    <mergeCell ref="C38:I38"/>
    <mergeCell ref="C39:I39"/>
    <mergeCell ref="B26:C26"/>
    <mergeCell ref="C33:I33"/>
    <mergeCell ref="C34:I34"/>
    <mergeCell ref="C35:I35"/>
    <mergeCell ref="C36:I36"/>
    <mergeCell ref="C37:I37"/>
    <mergeCell ref="B27:C27"/>
    <mergeCell ref="B28:C28"/>
    <mergeCell ref="B29:C29"/>
    <mergeCell ref="B30:C30"/>
    <mergeCell ref="B31:C31"/>
    <mergeCell ref="B25:I25"/>
    <mergeCell ref="B1:I1"/>
    <mergeCell ref="H2:I3"/>
    <mergeCell ref="E7:F7"/>
    <mergeCell ref="B9:I9"/>
    <mergeCell ref="B10:C10"/>
  </mergeCells>
  <conditionalFormatting sqref="H6:I6 E5:G5 D6:E6">
    <cfRule type="expression" dxfId="36" priority="1">
      <formula>#REF!=1</formula>
    </cfRule>
  </conditionalFormatting>
  <printOptions horizontalCentered="1"/>
  <pageMargins left="0.78740157480314965" right="0" top="0.59055118110236227" bottom="0.19685039370078741" header="0.31496062992125984" footer="0.31496062992125984"/>
  <pageSetup paperSize="9" scale="66" orientation="landscape" r:id="rId1"/>
  <headerFooter>
    <oddHeader>&amp;C&amp;"-,Gras"&amp;14Page &amp;P / &amp;N</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25">
    <pageSetUpPr fitToPage="1"/>
  </sheetPr>
  <dimension ref="B1:K30"/>
  <sheetViews>
    <sheetView showGridLines="0" showZeros="0" topLeftCell="A7" zoomScale="80" zoomScaleNormal="80" zoomScaleSheetLayoutView="100" workbookViewId="0">
      <selection activeCell="A18" sqref="A18:XFD18"/>
    </sheetView>
  </sheetViews>
  <sheetFormatPr baseColWidth="10" defaultColWidth="11.42578125" defaultRowHeight="15"/>
  <cols>
    <col min="1" max="1" width="11" style="2" customWidth="1"/>
    <col min="2" max="2" width="24.42578125" style="2" customWidth="1"/>
    <col min="3" max="3" width="58.28515625" style="2" customWidth="1"/>
    <col min="4" max="4" width="24.5703125" style="2" customWidth="1"/>
    <col min="5" max="5" width="24" style="2" customWidth="1"/>
    <col min="6" max="6" width="25.42578125" style="2" customWidth="1"/>
    <col min="7" max="7" width="14.85546875" style="2" customWidth="1"/>
    <col min="8" max="11" width="0" style="2" hidden="1" customWidth="1"/>
    <col min="12" max="16384" width="11.42578125" style="2"/>
  </cols>
  <sheetData>
    <row r="1" spans="2:11">
      <c r="B1" s="1649"/>
      <c r="C1" s="1649"/>
      <c r="D1" s="1649"/>
      <c r="E1" s="1649"/>
      <c r="F1" s="1649"/>
      <c r="G1" s="1649"/>
    </row>
    <row r="2" spans="2:11">
      <c r="B2" s="144"/>
      <c r="C2" s="144"/>
      <c r="D2" s="144"/>
      <c r="E2" s="144"/>
      <c r="F2" s="1650" t="str">
        <f>IF([1]ACCUEIL!B1=1,"NOTE 5
NORMAL SYSTEM","NOTE 5
SYSTEME NORMAL")</f>
        <v>NOTE 5
SYSTEME NORMAL</v>
      </c>
      <c r="G2" s="1651"/>
    </row>
    <row r="3" spans="2:11">
      <c r="B3" s="144"/>
      <c r="C3" s="144"/>
      <c r="D3" s="312"/>
      <c r="E3" s="144"/>
      <c r="F3" s="1652"/>
      <c r="G3" s="1653"/>
    </row>
    <row r="4" spans="2:11">
      <c r="B4" s="476" t="str">
        <f>'NOTE 4'!B4</f>
        <v>Désignation entité:</v>
      </c>
      <c r="C4" s="313" t="str">
        <f>'NOTE 4'!C4</f>
        <v/>
      </c>
      <c r="D4" s="313"/>
      <c r="E4" s="313"/>
      <c r="F4" s="144"/>
      <c r="G4" s="144"/>
    </row>
    <row r="5" spans="2:11" ht="15.75">
      <c r="B5" s="476" t="str">
        <f>'NOTE 4'!B5</f>
        <v>Sigle usuel :</v>
      </c>
      <c r="C5" s="313" t="str">
        <f>'NOTE 4'!C5</f>
        <v/>
      </c>
      <c r="E5" s="314"/>
      <c r="F5" s="507"/>
      <c r="G5" s="507"/>
      <c r="H5" s="519"/>
    </row>
    <row r="6" spans="2:11" ht="15.75">
      <c r="B6" s="476" t="str">
        <f>'NOTE 4'!B6</f>
        <v>Adresse:</v>
      </c>
      <c r="C6" s="319">
        <f>'NOTE 4'!C6</f>
        <v>0</v>
      </c>
      <c r="D6" s="175"/>
      <c r="E6" s="172"/>
      <c r="F6" s="317" t="str">
        <f>'NOTE 4'!H6</f>
        <v>BP:</v>
      </c>
      <c r="G6" s="313" t="str">
        <f>'NOTE 4'!I6</f>
        <v/>
      </c>
      <c r="H6" s="451"/>
    </row>
    <row r="7" spans="2:11">
      <c r="B7" s="476" t="str">
        <f>'NOTE 4'!B7</f>
        <v>Numéro d'identification:</v>
      </c>
      <c r="C7" s="402" t="str">
        <f>'NOTE 4'!C7</f>
        <v/>
      </c>
      <c r="D7" s="481" t="str">
        <f>'NOTE 4'!E7</f>
        <v xml:space="preserve">   Exercice clos le 31 - 12- </v>
      </c>
      <c r="E7" s="402">
        <f>'NOTE 4'!G7</f>
        <v>2025</v>
      </c>
      <c r="F7" s="481" t="str">
        <f>'NOTE 4'!H7</f>
        <v xml:space="preserve">    Durée (en mois):</v>
      </c>
      <c r="G7" s="402">
        <f>'NOTE 4'!I7</f>
        <v>12</v>
      </c>
    </row>
    <row r="8" spans="2:11">
      <c r="B8" s="43"/>
      <c r="C8" s="43"/>
      <c r="D8" s="43"/>
      <c r="E8" s="43"/>
      <c r="F8" s="43"/>
      <c r="G8" s="43"/>
    </row>
    <row r="9" spans="2:11" ht="25.5" customHeight="1">
      <c r="B9" s="1789" t="str">
        <f>IF([1]ACCUEIL!B1=1,"NOTE 5 CURRENT ASSETS EOA","NOTE 5 ACTIF CIRCULANT HAO")</f>
        <v>NOTE 5 ACTIF CIRCULANT HAO</v>
      </c>
      <c r="C9" s="1789"/>
      <c r="D9" s="1789"/>
      <c r="E9" s="1789"/>
      <c r="F9" s="1789"/>
      <c r="G9" s="1789"/>
    </row>
    <row r="10" spans="2:11" s="777" customFormat="1" ht="27" customHeight="1">
      <c r="B10" s="1795" t="str">
        <f>'NOTE 4'!B10:C10</f>
        <v xml:space="preserve">      RUBRIQUES</v>
      </c>
      <c r="C10" s="1793"/>
      <c r="D10" s="1796"/>
      <c r="E10" s="1243" t="str">
        <f>'NOTE 4'!D10</f>
        <v>Année 2025</v>
      </c>
      <c r="F10" s="1243" t="str">
        <f>'NOTE 4'!E10</f>
        <v>Année 2024</v>
      </c>
      <c r="G10" s="515" t="str">
        <f>'NOTE 4'!F10</f>
        <v xml:space="preserve">Variation en % </v>
      </c>
      <c r="H10" s="1324"/>
      <c r="I10" s="1324"/>
      <c r="J10" s="1324"/>
      <c r="K10" s="1325"/>
    </row>
    <row r="11" spans="2:11" s="522" customFormat="1" ht="24.6" customHeight="1">
      <c r="B11" s="563" t="str">
        <f>IF([1]ACCUEIL!B1=1,"Receivables on disposals of fixed assets","Créances sur cessions d'immobilisations")</f>
        <v>Créances sur cessions d'immobilisations</v>
      </c>
      <c r="C11" s="564"/>
      <c r="D11" s="564"/>
      <c r="E11" s="565">
        <f>'[1]CLASSE 4'!I447</f>
        <v>0</v>
      </c>
      <c r="F11" s="565">
        <f>+'[1]BALANCE REGROUPE'!I1391</f>
        <v>0</v>
      </c>
      <c r="G11" s="566">
        <f>IF(H11=0,0,K11)</f>
        <v>0</v>
      </c>
      <c r="H11" s="522">
        <f>E11-F11</f>
        <v>0</v>
      </c>
      <c r="I11" s="522">
        <f>IF(F11=0,1,IF(F11&lt;0,(E11-F11)/-F11,(E11-F11)/F11))</f>
        <v>1</v>
      </c>
      <c r="J11" s="522">
        <f>IF(H11=E11,IF(E11&lt;0,-1,0))</f>
        <v>0</v>
      </c>
      <c r="K11" s="522">
        <f>IF(J11=0,1,IF(J11=FALSE,I11,-1))</f>
        <v>1</v>
      </c>
    </row>
    <row r="12" spans="2:11" s="522" customFormat="1" ht="24.6" customHeight="1">
      <c r="B12" s="567" t="str">
        <f>IF([1]ACCUEIL!B1=1,"Other receivables outside ordinary activities","Autres créances hors activités ordinaires")</f>
        <v>Autres créances hors activités ordinaires</v>
      </c>
      <c r="C12" s="568"/>
      <c r="D12" s="568"/>
      <c r="E12" s="569">
        <f>'[1]CLASSE 4'!I448</f>
        <v>0</v>
      </c>
      <c r="F12" s="569">
        <f>+'[1]BALANCE REGROUPE'!I1392</f>
        <v>0</v>
      </c>
      <c r="G12" s="570">
        <f t="shared" ref="G12:G22" si="0">IF(H12=0,0,K12)</f>
        <v>0</v>
      </c>
      <c r="H12" s="522">
        <f t="shared" ref="H12:H23" si="1">E12-F12</f>
        <v>0</v>
      </c>
      <c r="I12" s="522">
        <f t="shared" ref="I12:I23" si="2">IF(F12=0,1,IF(F12&lt;0,(E12-F12)/-F12,(E12-F12)/F12))</f>
        <v>1</v>
      </c>
      <c r="J12" s="522">
        <f t="shared" ref="J12:J23" si="3">IF(H12=E12,IF(E12&lt;0,-1,0))</f>
        <v>0</v>
      </c>
      <c r="K12" s="522">
        <f t="shared" ref="K12:K23" si="4">IF(J12=0,1,IF(J12=FALSE,I12,-1))</f>
        <v>1</v>
      </c>
    </row>
    <row r="13" spans="2:11" s="522" customFormat="1" ht="24.6" customHeight="1">
      <c r="B13" s="571" t="str">
        <f>IF([1]ACCUEIL!B1=1,"GROSS TOTAL ","TOTAL BRUT ")</f>
        <v xml:space="preserve">TOTAL BRUT </v>
      </c>
      <c r="C13" s="568"/>
      <c r="D13" s="568"/>
      <c r="E13" s="572">
        <f>E11+E12</f>
        <v>0</v>
      </c>
      <c r="F13" s="572">
        <f>F11+F12</f>
        <v>0</v>
      </c>
      <c r="G13" s="570">
        <f t="shared" si="0"/>
        <v>0</v>
      </c>
      <c r="H13" s="522">
        <f t="shared" si="1"/>
        <v>0</v>
      </c>
      <c r="I13" s="522">
        <f t="shared" si="2"/>
        <v>1</v>
      </c>
      <c r="J13" s="522">
        <f t="shared" si="3"/>
        <v>0</v>
      </c>
      <c r="K13" s="522">
        <f t="shared" si="4"/>
        <v>1</v>
      </c>
    </row>
    <row r="14" spans="2:11" s="522" customFormat="1" ht="24.6" customHeight="1">
      <c r="B14" s="567" t="str">
        <f>IF([1]ACCUEIL!B1=1,"Impairment of receivables EOA","Dépréciations des créances HAO")</f>
        <v>Dépréciations des créances HAO</v>
      </c>
      <c r="C14" s="568"/>
      <c r="D14" s="568"/>
      <c r="E14" s="569">
        <f>'[1]CLASSE 4'!J476</f>
        <v>0</v>
      </c>
      <c r="F14" s="569">
        <f>+'[1]BALANCE REGROUPE'!J1418</f>
        <v>0</v>
      </c>
      <c r="G14" s="570">
        <f t="shared" si="0"/>
        <v>0</v>
      </c>
      <c r="H14" s="522">
        <f t="shared" si="1"/>
        <v>0</v>
      </c>
      <c r="I14" s="522">
        <f t="shared" si="2"/>
        <v>1</v>
      </c>
      <c r="J14" s="522">
        <f t="shared" si="3"/>
        <v>0</v>
      </c>
      <c r="K14" s="522">
        <f t="shared" si="4"/>
        <v>1</v>
      </c>
    </row>
    <row r="15" spans="2:11" s="522" customFormat="1" ht="24.6" customHeight="1">
      <c r="B15" s="62" t="str">
        <f>IF([1]ACCUEIL!B1=1,"TOTAL NET OF DEPRECIATION","TOTAL NET DE DEPRECIATION ")</f>
        <v xml:space="preserve">TOTAL NET DE DEPRECIATION </v>
      </c>
      <c r="C15" s="573"/>
      <c r="D15" s="573"/>
      <c r="E15" s="572">
        <f>E13-E14</f>
        <v>0</v>
      </c>
      <c r="F15" s="572">
        <f>F13-F14</f>
        <v>0</v>
      </c>
      <c r="G15" s="570">
        <f t="shared" si="0"/>
        <v>0</v>
      </c>
      <c r="H15" s="522">
        <f t="shared" si="1"/>
        <v>0</v>
      </c>
      <c r="I15" s="522">
        <f t="shared" si="2"/>
        <v>1</v>
      </c>
      <c r="J15" s="522">
        <f t="shared" si="3"/>
        <v>0</v>
      </c>
      <c r="K15" s="522">
        <f t="shared" si="4"/>
        <v>1</v>
      </c>
    </row>
    <row r="16" spans="2:11">
      <c r="B16" s="81"/>
      <c r="C16" s="81"/>
      <c r="D16" s="81"/>
      <c r="E16" s="274"/>
      <c r="F16" s="274"/>
      <c r="G16" s="274"/>
    </row>
    <row r="17" spans="2:11" ht="23.25" customHeight="1">
      <c r="B17" s="1789" t="str">
        <f>IF([1]ACCUEIL!B1=1,"NOTE 5 CURRENT LIABILITIES HAO","NOTE 5 DETTES CIRCULANTES HAO")</f>
        <v>NOTE 5 DETTES CIRCULANTES HAO</v>
      </c>
      <c r="C17" s="1789"/>
      <c r="D17" s="1789"/>
      <c r="E17" s="1789"/>
      <c r="F17" s="1789"/>
      <c r="G17" s="1789"/>
      <c r="H17" s="1789"/>
      <c r="I17" s="1789"/>
    </row>
    <row r="18" spans="2:11" s="777" customFormat="1">
      <c r="B18" s="1795" t="str">
        <f>B10</f>
        <v xml:space="preserve">      RUBRIQUES</v>
      </c>
      <c r="C18" s="1793"/>
      <c r="D18" s="1796"/>
      <c r="E18" s="741" t="str">
        <f>E10</f>
        <v>Année 2025</v>
      </c>
      <c r="F18" s="1326" t="str">
        <f>F10</f>
        <v>Année 2024</v>
      </c>
      <c r="G18" s="1327" t="str">
        <f>G10</f>
        <v xml:space="preserve">Variation en % </v>
      </c>
    </row>
    <row r="19" spans="2:11" s="522" customFormat="1" ht="24" customHeight="1">
      <c r="B19" s="567" t="str">
        <f>IF([1]ACCUEIL!B1=1,"Investment providers","Fournisseurs d'investissements")</f>
        <v>Fournisseurs d'investissements</v>
      </c>
      <c r="C19" s="568"/>
      <c r="D19" s="568"/>
      <c r="E19" s="569">
        <f>'[1]CLASSE 4'!J421-'[1]CLASSE 4'!J413</f>
        <v>0</v>
      </c>
      <c r="F19" s="569">
        <f>+'[1]BALANCE REGROUPE'!J1367-'[1]BALANCE REGROUPE'!J1359</f>
        <v>0</v>
      </c>
      <c r="G19" s="570">
        <f t="shared" si="0"/>
        <v>0</v>
      </c>
      <c r="H19" s="522">
        <f t="shared" si="1"/>
        <v>0</v>
      </c>
      <c r="I19" s="522">
        <f t="shared" si="2"/>
        <v>1</v>
      </c>
      <c r="J19" s="522">
        <f t="shared" si="3"/>
        <v>0</v>
      </c>
      <c r="K19" s="522">
        <f t="shared" si="4"/>
        <v>1</v>
      </c>
    </row>
    <row r="20" spans="2:11" s="522" customFormat="1" ht="24" customHeight="1">
      <c r="B20" s="567" t="str">
        <f>IF([1]ACCUEIL!B1=1,"Investment suppliers notes payable","Fournisseurs d'investissements effets à payer")</f>
        <v>Fournisseurs d'investissements effets à payer</v>
      </c>
      <c r="C20" s="568"/>
      <c r="D20" s="568"/>
      <c r="E20" s="569">
        <f>'[1]CLASSE 4'!J427</f>
        <v>0</v>
      </c>
      <c r="F20" s="569">
        <f>+'[1]BALANCE REGROUPE'!J1373</f>
        <v>0</v>
      </c>
      <c r="G20" s="570">
        <f t="shared" si="0"/>
        <v>0</v>
      </c>
      <c r="H20" s="522">
        <f t="shared" si="1"/>
        <v>0</v>
      </c>
      <c r="I20" s="522">
        <f t="shared" si="2"/>
        <v>1</v>
      </c>
      <c r="J20" s="522">
        <f t="shared" si="3"/>
        <v>0</v>
      </c>
      <c r="K20" s="522">
        <f t="shared" si="4"/>
        <v>1</v>
      </c>
    </row>
    <row r="21" spans="2:11" s="522" customFormat="1" ht="32.25" customHeight="1">
      <c r="B21" s="1798" t="str">
        <f>IF([1]ACCUEIL!B1=1,"Remaining payments to be made on equity securities and non-paid-up fixed assets","Versements restant à effectuer sur titre de participation et titres immobilisé non libérés")</f>
        <v>Versements restant à effectuer sur titre de participation et titres immobilisé non libérés</v>
      </c>
      <c r="C21" s="1799"/>
      <c r="D21" s="574"/>
      <c r="E21" s="575">
        <f>'[1]CLASSE 4'!J413</f>
        <v>0</v>
      </c>
      <c r="F21" s="575">
        <f>+'[1]BALANCE REGROUPE'!J1359</f>
        <v>0</v>
      </c>
      <c r="G21" s="570">
        <f t="shared" si="0"/>
        <v>0</v>
      </c>
      <c r="H21" s="522">
        <f t="shared" si="1"/>
        <v>0</v>
      </c>
      <c r="I21" s="522">
        <f t="shared" si="2"/>
        <v>1</v>
      </c>
      <c r="J21" s="522">
        <f t="shared" si="3"/>
        <v>0</v>
      </c>
      <c r="K21" s="522">
        <f t="shared" si="4"/>
        <v>1</v>
      </c>
    </row>
    <row r="22" spans="2:11" s="522" customFormat="1" ht="24" customHeight="1">
      <c r="B22" s="567" t="str">
        <f>IF([1]ACCUEIL!B1=1,"Other liabilities outside ordinary activities","Autres dettes hors activités ordinaires")</f>
        <v>Autres dettes hors activités ordinaires</v>
      </c>
      <c r="C22" s="568"/>
      <c r="D22" s="568"/>
      <c r="E22" s="569">
        <f>'[1]CLASSE 4'!J428</f>
        <v>0</v>
      </c>
      <c r="F22" s="569">
        <f>+'[1]BALANCE REGROUPE'!J1392</f>
        <v>0</v>
      </c>
      <c r="G22" s="570">
        <f t="shared" si="0"/>
        <v>0</v>
      </c>
      <c r="H22" s="522">
        <f t="shared" si="1"/>
        <v>0</v>
      </c>
      <c r="I22" s="522">
        <f t="shared" si="2"/>
        <v>1</v>
      </c>
      <c r="J22" s="522">
        <f t="shared" si="3"/>
        <v>0</v>
      </c>
      <c r="K22" s="522">
        <f t="shared" si="4"/>
        <v>1</v>
      </c>
    </row>
    <row r="23" spans="2:11" s="522" customFormat="1" ht="24" customHeight="1">
      <c r="B23" s="237" t="s">
        <v>25</v>
      </c>
      <c r="C23" s="576"/>
      <c r="D23" s="576"/>
      <c r="E23" s="572">
        <f>SUM(E19:E22)</f>
        <v>0</v>
      </c>
      <c r="F23" s="572">
        <f>SUM(F19:F22)</f>
        <v>0</v>
      </c>
      <c r="G23" s="570">
        <f>IF(H23=0,0,K23)</f>
        <v>0</v>
      </c>
      <c r="H23" s="522">
        <f t="shared" si="1"/>
        <v>0</v>
      </c>
      <c r="I23" s="522">
        <f t="shared" si="2"/>
        <v>1</v>
      </c>
      <c r="J23" s="522">
        <f t="shared" si="3"/>
        <v>0</v>
      </c>
      <c r="K23" s="522">
        <f t="shared" si="4"/>
        <v>1</v>
      </c>
    </row>
    <row r="24" spans="2:11" ht="22.15" customHeight="1">
      <c r="B24" s="92"/>
      <c r="C24" s="92"/>
      <c r="D24" s="81"/>
      <c r="E24" s="81"/>
      <c r="F24" s="81"/>
      <c r="G24" s="81"/>
    </row>
    <row r="25" spans="2:11" ht="22.15" customHeight="1">
      <c r="B25" s="558" t="str">
        <f>'NOTE 4'!B33</f>
        <v>COMMENTAIRE</v>
      </c>
      <c r="C25" s="1797">
        <f>'[1]NOTE 5'!C25:G25</f>
        <v>0</v>
      </c>
      <c r="D25" s="1797"/>
      <c r="E25" s="1797"/>
      <c r="F25" s="1797"/>
      <c r="G25" s="1797"/>
    </row>
    <row r="26" spans="2:11" ht="22.15" customHeight="1">
      <c r="B26" s="577"/>
      <c r="C26" s="1797">
        <f>'[1]NOTE 5'!C26:G26</f>
        <v>0</v>
      </c>
      <c r="D26" s="1797"/>
      <c r="E26" s="1797"/>
      <c r="F26" s="1797"/>
      <c r="G26" s="1797"/>
    </row>
    <row r="27" spans="2:11" ht="22.15" customHeight="1">
      <c r="B27" s="81"/>
      <c r="C27" s="1797">
        <f>'[1]NOTE 5'!C27:G27</f>
        <v>0</v>
      </c>
      <c r="D27" s="1797"/>
      <c r="E27" s="1797"/>
      <c r="F27" s="1797"/>
      <c r="G27" s="1797"/>
    </row>
    <row r="28" spans="2:11" ht="22.15" customHeight="1">
      <c r="B28" s="81"/>
      <c r="C28" s="1797">
        <f>'[1]NOTE 5'!C28:G28</f>
        <v>0</v>
      </c>
      <c r="D28" s="1797"/>
      <c r="E28" s="1797"/>
      <c r="F28" s="1797"/>
      <c r="G28" s="1797"/>
    </row>
    <row r="29" spans="2:11" ht="22.15" customHeight="1">
      <c r="B29" s="81"/>
      <c r="C29" s="1797">
        <f>'[1]NOTE 5'!C29:G29</f>
        <v>0</v>
      </c>
      <c r="D29" s="1797"/>
      <c r="E29" s="1797"/>
      <c r="F29" s="1797"/>
      <c r="G29" s="1797"/>
    </row>
    <row r="30" spans="2:11" ht="22.15" customHeight="1">
      <c r="B30" s="81"/>
      <c r="C30" s="1797">
        <f>'[1]NOTE 5'!C30:G30</f>
        <v>0</v>
      </c>
      <c r="D30" s="1797"/>
      <c r="E30" s="1797"/>
      <c r="F30" s="1797"/>
      <c r="G30" s="1797"/>
    </row>
  </sheetData>
  <sheetProtection selectLockedCells="1"/>
  <mergeCells count="13">
    <mergeCell ref="C30:G30"/>
    <mergeCell ref="B21:C21"/>
    <mergeCell ref="C25:G25"/>
    <mergeCell ref="C26:G26"/>
    <mergeCell ref="C27:G27"/>
    <mergeCell ref="C28:G28"/>
    <mergeCell ref="C29:G29"/>
    <mergeCell ref="B18:D18"/>
    <mergeCell ref="B1:G1"/>
    <mergeCell ref="F2:G3"/>
    <mergeCell ref="B9:G9"/>
    <mergeCell ref="B10:D10"/>
    <mergeCell ref="B17:I17"/>
  </mergeCells>
  <conditionalFormatting sqref="H6 F5:H5 F6">
    <cfRule type="expression" dxfId="35" priority="1">
      <formula>#REF!=1</formula>
    </cfRule>
  </conditionalFormatting>
  <printOptions horizontalCentered="1"/>
  <pageMargins left="0.78740157480314965" right="0" top="0.78740157480314965" bottom="0.78740157480314965" header="0.31496062992125984" footer="0.31496062992125984"/>
  <pageSetup paperSize="9" scale="76" orientation="landscape" r:id="rId1"/>
  <headerFooter>
    <oddHeader>&amp;C&amp;"-,Gras"&amp;14Page &amp;P / &amp;N</oddHead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26">
    <pageSetUpPr fitToPage="1"/>
  </sheetPr>
  <dimension ref="B1:M131"/>
  <sheetViews>
    <sheetView showZeros="0" topLeftCell="A11" zoomScale="80" zoomScaleNormal="80" zoomScaleSheetLayoutView="100" workbookViewId="0">
      <selection activeCell="E19" sqref="E19:G19"/>
    </sheetView>
  </sheetViews>
  <sheetFormatPr baseColWidth="10" defaultColWidth="11.42578125" defaultRowHeight="15"/>
  <cols>
    <col min="1" max="1" width="5.42578125" style="2" customWidth="1"/>
    <col min="2" max="2" width="24.5703125" style="2" customWidth="1"/>
    <col min="3" max="3" width="45.28515625" style="2" customWidth="1"/>
    <col min="4" max="4" width="26.85546875" style="2" customWidth="1"/>
    <col min="5" max="5" width="24.5703125" style="2" customWidth="1"/>
    <col min="6" max="6" width="25.28515625" style="2" customWidth="1"/>
    <col min="7" max="7" width="14.85546875" style="2" customWidth="1"/>
    <col min="8" max="8" width="0" style="2" hidden="1" customWidth="1"/>
    <col min="9" max="9" width="7.42578125" style="2" hidden="1" customWidth="1"/>
    <col min="10" max="10" width="6.42578125" style="2" hidden="1" customWidth="1"/>
    <col min="11" max="11" width="7.5703125" style="2" hidden="1" customWidth="1"/>
    <col min="12" max="16384" width="11.42578125" style="2"/>
  </cols>
  <sheetData>
    <row r="1" spans="2:11">
      <c r="B1" s="1788"/>
      <c r="C1" s="1788"/>
      <c r="D1" s="1788"/>
      <c r="E1" s="1788"/>
      <c r="F1" s="1788"/>
      <c r="G1" s="1788"/>
    </row>
    <row r="2" spans="2:11">
      <c r="B2" s="144"/>
      <c r="C2" s="144"/>
      <c r="D2" s="144"/>
      <c r="E2" s="144"/>
      <c r="F2" s="1650" t="str">
        <f>IF([1]ACCUEIL!B1=1,"NOTE 6
NORMAL SYSTEM","NOTE 6
SYSTEME NORMAL")</f>
        <v>NOTE 6
SYSTEME NORMAL</v>
      </c>
      <c r="G2" s="1651"/>
    </row>
    <row r="3" spans="2:11">
      <c r="B3" s="144"/>
      <c r="C3" s="144"/>
      <c r="D3" s="312"/>
      <c r="E3" s="144"/>
      <c r="F3" s="1652"/>
      <c r="G3" s="1653"/>
    </row>
    <row r="4" spans="2:11">
      <c r="B4" s="476" t="str">
        <f>'NOTE 5'!B4</f>
        <v>Désignation entité:</v>
      </c>
      <c r="C4" s="313" t="str">
        <f>'NOTE 5'!C4</f>
        <v/>
      </c>
      <c r="D4" s="313"/>
      <c r="E4" s="428"/>
      <c r="F4" s="144"/>
      <c r="G4" s="144"/>
    </row>
    <row r="5" spans="2:11" ht="15.75">
      <c r="B5" s="476" t="str">
        <f>'NOTE 5'!B5</f>
        <v>Sigle usuel :</v>
      </c>
      <c r="C5" s="402" t="str">
        <f>'NOTE 5'!C5</f>
        <v/>
      </c>
      <c r="D5" s="175"/>
      <c r="E5" s="316"/>
      <c r="F5" s="507"/>
      <c r="G5" s="507"/>
      <c r="H5" s="519"/>
    </row>
    <row r="6" spans="2:11" ht="15.75">
      <c r="B6" s="476" t="str">
        <f>'NOTE 5'!B6</f>
        <v>Adresse:</v>
      </c>
      <c r="C6" s="402">
        <f>'NOTE 5'!C6</f>
        <v>0</v>
      </c>
      <c r="D6" s="316"/>
      <c r="E6" s="175"/>
      <c r="F6" s="317" t="str">
        <f>'NOTE 5'!F6</f>
        <v>BP:</v>
      </c>
      <c r="G6" s="319" t="str">
        <f>'NOTE 5'!G6</f>
        <v/>
      </c>
      <c r="H6" s="451"/>
    </row>
    <row r="7" spans="2:11">
      <c r="B7" s="476" t="str">
        <f>'NOTE 5'!B7</f>
        <v>Numéro d'identification:</v>
      </c>
      <c r="C7" s="402" t="str">
        <f>'NOTE 5'!C7</f>
        <v/>
      </c>
      <c r="D7" s="481" t="str">
        <f>'NOTE 5'!D7</f>
        <v xml:space="preserve">   Exercice clos le 31 - 12- </v>
      </c>
      <c r="E7" s="402">
        <f>'NOTE 5'!E7</f>
        <v>2025</v>
      </c>
      <c r="F7" s="481" t="str">
        <f>'NOTE 5'!F7</f>
        <v xml:space="preserve">    Durée (en mois):</v>
      </c>
      <c r="G7" s="402">
        <f>'NOTE 5'!G7</f>
        <v>12</v>
      </c>
    </row>
    <row r="8" spans="2:11">
      <c r="B8" s="144"/>
      <c r="C8" s="43"/>
      <c r="D8" s="43"/>
      <c r="E8" s="144"/>
      <c r="F8" s="43"/>
      <c r="G8" s="43"/>
    </row>
    <row r="9" spans="2:11" ht="27.75" customHeight="1">
      <c r="B9" s="1789" t="str">
        <f>IF([1]ACCUEIL!B1=1,"NOTE 6 INVENTORIES AND WORK-IN-PROGRESS","NOTE 6 STOCKS ET EN COURS")</f>
        <v>NOTE 6 STOCKS ET EN COURS</v>
      </c>
      <c r="C9" s="1789"/>
      <c r="D9" s="1789"/>
      <c r="E9" s="1789"/>
      <c r="F9" s="1789"/>
      <c r="G9" s="1789"/>
    </row>
    <row r="10" spans="2:11">
      <c r="B10" s="1795" t="str">
        <f>'NOTE 5'!B10:D10</f>
        <v xml:space="preserve">      RUBRIQUES</v>
      </c>
      <c r="C10" s="1793"/>
      <c r="D10" s="1796"/>
      <c r="E10" s="578" t="str">
        <f>'NOTE 5'!E10</f>
        <v>Année 2025</v>
      </c>
      <c r="F10" s="579" t="str">
        <f>'NOTE 5'!F10</f>
        <v>Année 2024</v>
      </c>
      <c r="G10" s="556" t="str">
        <f>'NOTE 5'!G10</f>
        <v xml:space="preserve">Variation en % </v>
      </c>
    </row>
    <row r="11" spans="2:11" s="522" customFormat="1" ht="24" customHeight="1">
      <c r="B11" s="1306" t="str">
        <f>IF([1]ACCUEIL!B1=1,"Goods","Marchandises")</f>
        <v>Marchandises</v>
      </c>
      <c r="C11" s="1328"/>
      <c r="D11" s="1307"/>
      <c r="E11" s="1329">
        <f>+'[1]CLASSE 3'!I10+'[1]CLASSE 3'!I16+'[1]CLASSE 3'!I22+'[1]CLASSE 3'!I23</f>
        <v>0</v>
      </c>
      <c r="F11" s="1330">
        <f>+'[1]BALANCE REGROUPE'!I825+'[1]BALANCE REGROUPE'!I831+'[1]BALANCE REGROUPE'!I837+'[1]BALANCE REGROUPE'!I838</f>
        <v>0</v>
      </c>
      <c r="G11" s="1331">
        <f>IF(H11=0,0,K11)</f>
        <v>0</v>
      </c>
      <c r="H11" s="522">
        <f>E11-F11</f>
        <v>0</v>
      </c>
      <c r="I11" s="522">
        <f>IF(F11=0,1,IF(F11&lt;0,(E11-F11)/-F11,(E11-F11)/F11))</f>
        <v>1</v>
      </c>
      <c r="J11" s="522">
        <f>IF(H11=E11,IF(E11&lt;0,-1,0))</f>
        <v>0</v>
      </c>
      <c r="K11" s="522">
        <f t="shared" ref="K11:K21" si="0">IF(J11=-1,-1,I11)</f>
        <v>1</v>
      </c>
    </row>
    <row r="12" spans="2:11" s="522" customFormat="1" ht="24" customHeight="1">
      <c r="B12" s="1306" t="str">
        <f>IF([1]ACCUEIL!B1=1,"Raw materials and related supplies","Matières premières et fourniture liées")</f>
        <v>Matières premières et fourniture liées</v>
      </c>
      <c r="C12" s="1328"/>
      <c r="D12" s="1307"/>
      <c r="E12" s="1332">
        <f>+'[1]CLASSE 3'!I24+'[1]CLASSE 3'!I25+'[1]CLASSE 3'!I26</f>
        <v>0</v>
      </c>
      <c r="F12" s="1330">
        <f>+'[1]BALANCE REGROUPE'!I839+'[1]BALANCE REGROUPE'!I840+'[1]BALANCE REGROUPE'!I840+'[1]BALANCE REGROUPE'!I841</f>
        <v>0</v>
      </c>
      <c r="G12" s="1331">
        <f t="shared" ref="G12:G21" si="1">IF(H12=0,0,K12)</f>
        <v>0</v>
      </c>
      <c r="H12" s="522">
        <f t="shared" ref="H12:H21" si="2">E12-F12</f>
        <v>0</v>
      </c>
      <c r="I12" s="522">
        <f t="shared" ref="I12:I21" si="3">IF(F12=0,1,IF(F12&lt;0,(E12-F12)/-F12,(E12-F12)/F12))</f>
        <v>1</v>
      </c>
      <c r="J12" s="522">
        <f t="shared" ref="J12:J21" si="4">IF(H12=E12,IF(E12&lt;0,-1,0))</f>
        <v>0</v>
      </c>
      <c r="K12" s="522">
        <f t="shared" si="0"/>
        <v>1</v>
      </c>
    </row>
    <row r="13" spans="2:11" s="522" customFormat="1" ht="24" customHeight="1">
      <c r="B13" s="1306" t="str">
        <f>IF([1]ACCUEIL!B1=1,"Other supplies","Autres approvisionnements")</f>
        <v>Autres approvisionnements</v>
      </c>
      <c r="C13" s="1328"/>
      <c r="D13" s="1307"/>
      <c r="E13" s="1332">
        <f>+'[1]CLASSE 3'!I27+'[1]CLASSE 3'!I28+'[1]CLASSE 3'!I29+'[1]CLASSE 3'!I30+'[1]CLASSE 3'!I40+'[1]CLASSE 3'!I41</f>
        <v>0</v>
      </c>
      <c r="F13" s="1330">
        <f>+'[1]BALANCE REGROUPE'!I842+'[1]BALANCE REGROUPE'!I843+'[1]BALANCE REGROUPE'!I844+'[1]BALANCE REGROUPE'!I845+'[1]BALANCE REGROUPE'!I855+'[1]BALANCE REGROUPE'!I856</f>
        <v>0</v>
      </c>
      <c r="G13" s="1331">
        <f t="shared" si="1"/>
        <v>0</v>
      </c>
      <c r="H13" s="522">
        <f t="shared" si="2"/>
        <v>0</v>
      </c>
      <c r="I13" s="522">
        <f t="shared" si="3"/>
        <v>1</v>
      </c>
      <c r="J13" s="522">
        <f t="shared" si="4"/>
        <v>0</v>
      </c>
      <c r="K13" s="522">
        <f>IF(J13=-1,-1,I13)</f>
        <v>1</v>
      </c>
    </row>
    <row r="14" spans="2:11" s="522" customFormat="1" ht="24" customHeight="1">
      <c r="B14" s="1306" t="str">
        <f>IF([1]ACCUEIL!B1=1,"Products in progress","Produits en cours")</f>
        <v>Produits en cours</v>
      </c>
      <c r="C14" s="1328"/>
      <c r="D14" s="1307"/>
      <c r="E14" s="1332">
        <f>+'[1]CLASSE 3'!I47+'[1]CLASSE 3'!I53+'[1]CLASSE 3'!I59+'[1]CLASSE 3'!I65+'[1]CLASSE 3'!I71</f>
        <v>0</v>
      </c>
      <c r="F14" s="1330">
        <f>+'[1]BALANCE REGROUPE'!I862+'[1]BALANCE REGROUPE'!I868+'[1]BALANCE REGROUPE'!I874+'[1]BALANCE REGROUPE'!I880+'[1]BALANCE REGROUPE'!I886</f>
        <v>0</v>
      </c>
      <c r="G14" s="1331">
        <f t="shared" si="1"/>
        <v>0</v>
      </c>
      <c r="H14" s="522">
        <f t="shared" si="2"/>
        <v>0</v>
      </c>
      <c r="I14" s="522">
        <f t="shared" si="3"/>
        <v>1</v>
      </c>
      <c r="J14" s="522">
        <f t="shared" si="4"/>
        <v>0</v>
      </c>
      <c r="K14" s="522">
        <f t="shared" si="0"/>
        <v>1</v>
      </c>
    </row>
    <row r="15" spans="2:11" s="522" customFormat="1" ht="24" customHeight="1">
      <c r="B15" s="1306" t="str">
        <f>IF([1]ACCUEIL!B1=1,"Services in progress","Services en cours")</f>
        <v>Services en cours</v>
      </c>
      <c r="C15" s="1328"/>
      <c r="D15" s="1307"/>
      <c r="E15" s="1332">
        <f>+'[1]CLASSE 3'!I77+'[1]CLASSE 3'!I83</f>
        <v>0</v>
      </c>
      <c r="F15" s="1330">
        <f>+'[1]BALANCE REGROUPE'!I892+'[1]BALANCE REGROUPE'!I898</f>
        <v>0</v>
      </c>
      <c r="G15" s="1331">
        <f t="shared" si="1"/>
        <v>0</v>
      </c>
      <c r="H15" s="522">
        <f t="shared" si="2"/>
        <v>0</v>
      </c>
      <c r="I15" s="522">
        <f t="shared" si="3"/>
        <v>1</v>
      </c>
      <c r="J15" s="522">
        <f t="shared" si="4"/>
        <v>0</v>
      </c>
      <c r="K15" s="522">
        <f t="shared" si="0"/>
        <v>1</v>
      </c>
    </row>
    <row r="16" spans="2:11" s="522" customFormat="1" ht="24" customHeight="1">
      <c r="B16" s="1306" t="str">
        <f>IF([1]ACCUEIL!B1=1,"Finished Products","Produits finis")</f>
        <v>Produits finis</v>
      </c>
      <c r="C16" s="1328"/>
      <c r="D16" s="1307"/>
      <c r="E16" s="1332">
        <f>'[1]CLASSE 3'!I84+'[1]CLASSE 3'!I85+'[1]CLASSE 3'!I93</f>
        <v>0</v>
      </c>
      <c r="F16" s="1330">
        <f>+'[1]BALANCE REGROUPE'!I899+'[1]BALANCE REGROUPE'!I900+'[1]BALANCE REGROUPE'!I908</f>
        <v>0</v>
      </c>
      <c r="G16" s="1331">
        <f t="shared" si="1"/>
        <v>0</v>
      </c>
      <c r="H16" s="522">
        <f t="shared" si="2"/>
        <v>0</v>
      </c>
      <c r="I16" s="522">
        <f t="shared" si="3"/>
        <v>1</v>
      </c>
      <c r="J16" s="522">
        <f t="shared" si="4"/>
        <v>0</v>
      </c>
      <c r="K16" s="522">
        <f t="shared" si="0"/>
        <v>1</v>
      </c>
    </row>
    <row r="17" spans="2:13" s="522" customFormat="1" ht="24" customHeight="1">
      <c r="B17" s="1306" t="str">
        <f>IF([1]ACCUEIL!B1=1,"Intermediate products","Produits intermédiaires")</f>
        <v>Produits intermédiaires</v>
      </c>
      <c r="C17" s="1328"/>
      <c r="D17" s="1307"/>
      <c r="E17" s="1332">
        <f>+'[1]CLASSE 3'!I99+'[1]CLASSE 3'!I107+'[1]CLASSE 3'!I115</f>
        <v>0</v>
      </c>
      <c r="F17" s="1330">
        <f>+'[1]BALANCE REGROUPE'!I914+'[1]BALANCE REGROUPE'!I922+'[1]BALANCE REGROUPE'!I930</f>
        <v>0</v>
      </c>
      <c r="G17" s="1331">
        <f t="shared" si="1"/>
        <v>0</v>
      </c>
      <c r="H17" s="522">
        <f t="shared" si="2"/>
        <v>0</v>
      </c>
      <c r="I17" s="522">
        <f t="shared" si="3"/>
        <v>1</v>
      </c>
      <c r="J17" s="522">
        <f t="shared" si="4"/>
        <v>0</v>
      </c>
      <c r="K17" s="522">
        <f t="shared" si="0"/>
        <v>1</v>
      </c>
    </row>
    <row r="18" spans="2:13" s="522" customFormat="1" ht="24" customHeight="1">
      <c r="B18" s="1306" t="str">
        <f>IF([1]ACCUEIL!B1=1,"Stocks en route, on consignment or on deposit","Stocks en cours de route, en consignation ou en dépôt")</f>
        <v>Stocks en cours de route, en consignation ou en dépôt</v>
      </c>
      <c r="C18" s="1328"/>
      <c r="D18" s="1307"/>
      <c r="E18" s="1332">
        <f>+'[1]CLASSE 3'!I116+'[1]CLASSE 3'!I117+'[1]CLASSE 3'!I118+'[1]CLASSE 3'!I119+'[1]CLASSE 3'!I125+'[1]CLASSE 3'!I126</f>
        <v>0</v>
      </c>
      <c r="F18" s="1330">
        <f>+'[1]BALANCE REGROUPE'!I931+'[1]BALANCE REGROUPE'!I932+'[1]BALANCE REGROUPE'!I933+'[1]BALANCE REGROUPE'!I934+'[1]BALANCE REGROUPE'!I940+'[1]BALANCE REGROUPE'!I941</f>
        <v>0</v>
      </c>
      <c r="G18" s="1331">
        <f t="shared" si="1"/>
        <v>0</v>
      </c>
      <c r="H18" s="522">
        <f t="shared" si="2"/>
        <v>0</v>
      </c>
      <c r="I18" s="522">
        <f t="shared" si="3"/>
        <v>1</v>
      </c>
      <c r="J18" s="522">
        <f t="shared" si="4"/>
        <v>0</v>
      </c>
      <c r="K18" s="522">
        <f t="shared" si="0"/>
        <v>1</v>
      </c>
    </row>
    <row r="19" spans="2:13" s="522" customFormat="1" ht="24" customHeight="1">
      <c r="B19" s="238" t="str">
        <f>IF([1]ACCUEIL!B1=1,"TOTAL GROSS INVENTORIES AND WORK-IN-PROGRESS","TOTAL BRUT STOCKS ET EN COURS")</f>
        <v>TOTAL BRUT STOCKS ET EN COURS</v>
      </c>
      <c r="C19" s="262"/>
      <c r="D19" s="460"/>
      <c r="E19" s="1333">
        <f>SUM(E11:E18)</f>
        <v>0</v>
      </c>
      <c r="F19" s="1334">
        <f>SUM(F11:F18)</f>
        <v>0</v>
      </c>
      <c r="G19" s="1335">
        <f t="shared" si="1"/>
        <v>0</v>
      </c>
      <c r="H19" s="522">
        <f t="shared" si="2"/>
        <v>0</v>
      </c>
      <c r="I19" s="522">
        <f t="shared" si="3"/>
        <v>1</v>
      </c>
      <c r="J19" s="522">
        <f t="shared" si="4"/>
        <v>0</v>
      </c>
      <c r="K19" s="522">
        <f t="shared" si="0"/>
        <v>1</v>
      </c>
      <c r="L19" s="580"/>
    </row>
    <row r="20" spans="2:13" s="522" customFormat="1" ht="24" customHeight="1">
      <c r="B20" s="1306" t="str">
        <f>IF([1]ACCUEIL!B1=1,"Depreciation of stocks","Dépréciations des stocks")</f>
        <v>Dépréciations des stocks</v>
      </c>
      <c r="C20" s="1328"/>
      <c r="D20" s="1307"/>
      <c r="E20" s="1332">
        <f>+SUM('[1]CLASSE 3'!J127:J134)</f>
        <v>0</v>
      </c>
      <c r="F20" s="1330">
        <f>+SUM('[1]BALANCE REGROUPE'!J942:J949)</f>
        <v>0</v>
      </c>
      <c r="G20" s="1331">
        <f t="shared" si="1"/>
        <v>0</v>
      </c>
      <c r="H20" s="522">
        <f t="shared" si="2"/>
        <v>0</v>
      </c>
      <c r="I20" s="522">
        <f t="shared" si="3"/>
        <v>1</v>
      </c>
      <c r="J20" s="522">
        <f t="shared" si="4"/>
        <v>0</v>
      </c>
      <c r="K20" s="522">
        <f t="shared" si="0"/>
        <v>1</v>
      </c>
    </row>
    <row r="21" spans="2:13" s="522" customFormat="1" ht="24" customHeight="1">
      <c r="B21" s="238" t="str">
        <f>IF([1]ACCUEIL!B1=1,"TOTAL NET OF DEPRECIATION","TOTAL NET DE DEPRECIATION ")</f>
        <v xml:space="preserve">TOTAL NET DE DEPRECIATION </v>
      </c>
      <c r="C21" s="262"/>
      <c r="D21" s="460"/>
      <c r="E21" s="1333">
        <f>E19-E20</f>
        <v>0</v>
      </c>
      <c r="F21" s="1334">
        <f>F19-F20</f>
        <v>0</v>
      </c>
      <c r="G21" s="1335">
        <f t="shared" si="1"/>
        <v>0</v>
      </c>
      <c r="H21" s="522">
        <f t="shared" si="2"/>
        <v>0</v>
      </c>
      <c r="I21" s="522">
        <f t="shared" si="3"/>
        <v>1</v>
      </c>
      <c r="J21" s="522">
        <f t="shared" si="4"/>
        <v>0</v>
      </c>
      <c r="K21" s="522">
        <f t="shared" si="0"/>
        <v>1</v>
      </c>
      <c r="M21" s="580"/>
    </row>
    <row r="22" spans="2:13">
      <c r="B22" s="81"/>
      <c r="C22" s="81"/>
      <c r="D22" s="81"/>
      <c r="E22" s="81"/>
      <c r="F22" s="81"/>
      <c r="G22" s="81"/>
    </row>
    <row r="23" spans="2:13">
      <c r="B23" s="581" t="str">
        <f>IF([1]ACCUEIL!B1=1,"(1) Inventories H.A.O. will be recorded in current assets H.A.O. only when their total amount is significant (more than 5% of total current assets).","(1) Le stocks H.A.O seront inscrits dans l'actif circulant H.A.O que lorsque leur montant total est significatif (supérieur à 5% du total de l'actif circulant)")</f>
        <v>(1) Le stocks H.A.O seront inscrits dans l'actif circulant H.A.O que lorsque leur montant total est significatif (supérieur à 5% du total de l'actif circulant)</v>
      </c>
      <c r="C23" s="81"/>
      <c r="D23" s="81"/>
      <c r="E23" s="81"/>
      <c r="F23" s="81"/>
      <c r="G23" s="81"/>
    </row>
    <row r="24" spans="2:13">
      <c r="B24" s="581"/>
      <c r="C24" s="581"/>
      <c r="D24" s="81"/>
      <c r="E24" s="81"/>
      <c r="F24" s="81"/>
      <c r="G24" s="81"/>
    </row>
    <row r="25" spans="2:13">
      <c r="B25" s="558" t="str">
        <f>'NOTE 5'!B25</f>
        <v>COMMENTAIRE</v>
      </c>
      <c r="C25" s="1660">
        <f>'[1]NOTE 6'!C25:G25</f>
        <v>0</v>
      </c>
      <c r="D25" s="1660"/>
      <c r="E25" s="1660"/>
      <c r="F25" s="1660"/>
      <c r="G25" s="1660"/>
    </row>
    <row r="26" spans="2:13">
      <c r="B26" s="582"/>
      <c r="C26" s="1660">
        <f>'[1]NOTE 6'!C26:G26</f>
        <v>0</v>
      </c>
      <c r="D26" s="1660"/>
      <c r="E26" s="1660"/>
      <c r="F26" s="1660"/>
      <c r="G26" s="1660"/>
    </row>
    <row r="27" spans="2:13">
      <c r="B27" s="561"/>
      <c r="C27" s="1660">
        <f>'[1]NOTE 6'!C27:G27</f>
        <v>0</v>
      </c>
      <c r="D27" s="1660"/>
      <c r="E27" s="1660"/>
      <c r="F27" s="1660"/>
      <c r="G27" s="1660"/>
    </row>
    <row r="28" spans="2:13">
      <c r="B28" s="560"/>
      <c r="C28" s="1660">
        <f>'[1]NOTE 6'!C28:G28</f>
        <v>0</v>
      </c>
      <c r="D28" s="1660"/>
      <c r="E28" s="1660"/>
      <c r="F28" s="1660"/>
      <c r="G28" s="1660"/>
    </row>
    <row r="29" spans="2:13">
      <c r="B29" s="560"/>
      <c r="C29" s="1660">
        <f>'[1]NOTE 6'!C29:G29</f>
        <v>0</v>
      </c>
      <c r="D29" s="1660"/>
      <c r="E29" s="1660"/>
      <c r="F29" s="1660"/>
      <c r="G29" s="1660"/>
    </row>
    <row r="30" spans="2:13">
      <c r="B30" s="560"/>
      <c r="C30" s="1660">
        <f>'[1]NOTE 6'!C30:G30</f>
        <v>0</v>
      </c>
      <c r="D30" s="1660"/>
      <c r="E30" s="1660"/>
      <c r="F30" s="1660"/>
      <c r="G30" s="1660"/>
    </row>
    <row r="31" spans="2:13">
      <c r="B31" s="81"/>
      <c r="C31" s="1660">
        <f>'[1]NOTE 6'!C31:G31</f>
        <v>0</v>
      </c>
      <c r="D31" s="1660"/>
      <c r="E31" s="1660"/>
      <c r="F31" s="1660"/>
      <c r="G31" s="1660"/>
    </row>
    <row r="32" spans="2:13">
      <c r="B32" s="81"/>
      <c r="C32" s="1660">
        <f>'[1]NOTE 6'!C32:G32</f>
        <v>0</v>
      </c>
      <c r="D32" s="1660"/>
      <c r="E32" s="1660"/>
      <c r="F32" s="1660"/>
      <c r="G32" s="1660"/>
    </row>
    <row r="33" spans="2:7">
      <c r="B33" s="81"/>
      <c r="C33" s="1660">
        <f>'[1]NOTE 6'!C33:G33</f>
        <v>0</v>
      </c>
      <c r="D33" s="1660"/>
      <c r="E33" s="1660"/>
      <c r="F33" s="1660"/>
      <c r="G33" s="1660"/>
    </row>
    <row r="34" spans="2:7">
      <c r="B34" s="81"/>
      <c r="C34" s="1660">
        <f>'[1]NOTE 6'!C34:G34</f>
        <v>0</v>
      </c>
      <c r="D34" s="1660"/>
      <c r="E34" s="1660"/>
      <c r="F34" s="1660"/>
      <c r="G34" s="1660"/>
    </row>
    <row r="35" spans="2:7">
      <c r="B35" s="81"/>
      <c r="C35" s="1660">
        <f>'[1]NOTE 6'!C35:G35</f>
        <v>0</v>
      </c>
      <c r="D35" s="1660"/>
      <c r="E35" s="1660"/>
      <c r="F35" s="1660"/>
      <c r="G35" s="1660"/>
    </row>
    <row r="36" spans="2:7">
      <c r="C36" s="1660">
        <f>'[1]NOTE 6'!C36:G36</f>
        <v>0</v>
      </c>
      <c r="D36" s="1660"/>
      <c r="E36" s="1660"/>
      <c r="F36" s="1660"/>
      <c r="G36" s="1660"/>
    </row>
    <row r="131" spans="2:2">
      <c r="B131" s="220">
        <f>+'NOTE 6'!E21-'NOTE 6'!F21</f>
        <v>0</v>
      </c>
    </row>
  </sheetData>
  <sheetProtection selectLockedCells="1"/>
  <mergeCells count="16">
    <mergeCell ref="C33:G33"/>
    <mergeCell ref="C34:G34"/>
    <mergeCell ref="C35:G35"/>
    <mergeCell ref="C36:G36"/>
    <mergeCell ref="C27:G27"/>
    <mergeCell ref="C28:G28"/>
    <mergeCell ref="C29:G29"/>
    <mergeCell ref="C30:G30"/>
    <mergeCell ref="C31:G31"/>
    <mergeCell ref="C32:G32"/>
    <mergeCell ref="C26:G26"/>
    <mergeCell ref="B1:G1"/>
    <mergeCell ref="F2:G3"/>
    <mergeCell ref="B9:G9"/>
    <mergeCell ref="B10:D10"/>
    <mergeCell ref="C25:G25"/>
  </mergeCells>
  <conditionalFormatting sqref="H6 F6 F5:H5">
    <cfRule type="expression" dxfId="34" priority="1">
      <formula>#REF!=1</formula>
    </cfRule>
  </conditionalFormatting>
  <printOptions horizontalCentered="1"/>
  <pageMargins left="0.78740157480314965" right="0" top="0.59055118110236227" bottom="0.19685039370078741" header="0.31496062992125984" footer="0.31496062992125984"/>
  <pageSetup paperSize="9" scale="84" orientation="landscape" r:id="rId1"/>
  <headerFooter>
    <oddHeader>&amp;C&amp;"-,Gras"&amp;14Page &amp;P / &amp;N</oddHead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27">
    <pageSetUpPr fitToPage="1"/>
  </sheetPr>
  <dimension ref="B1:M38"/>
  <sheetViews>
    <sheetView showZeros="0" topLeftCell="B22" zoomScale="80" zoomScaleNormal="80" zoomScaleSheetLayoutView="100" workbookViewId="0">
      <selection activeCell="C35" sqref="C35:I35"/>
    </sheetView>
  </sheetViews>
  <sheetFormatPr baseColWidth="10" defaultColWidth="11.42578125" defaultRowHeight="15"/>
  <cols>
    <col min="1" max="1" width="3.140625" style="2" customWidth="1"/>
    <col min="2" max="2" width="24.7109375" style="2" customWidth="1"/>
    <col min="3" max="3" width="60" style="2" customWidth="1"/>
    <col min="4" max="5" width="20" style="2" customWidth="1"/>
    <col min="6" max="6" width="14.42578125" style="2" customWidth="1"/>
    <col min="7" max="7" width="14.7109375" style="2" customWidth="1"/>
    <col min="8" max="8" width="22.42578125" style="2" bestFit="1" customWidth="1"/>
    <col min="9" max="9" width="18.5703125" style="2" customWidth="1"/>
    <col min="10" max="10" width="6.42578125" style="2" hidden="1" customWidth="1"/>
    <col min="11" max="11" width="7.42578125" style="2" hidden="1" customWidth="1"/>
    <col min="12" max="12" width="8.140625" style="2" hidden="1" customWidth="1"/>
    <col min="13" max="13" width="9.85546875" style="2" hidden="1" customWidth="1"/>
    <col min="14" max="14" width="20" style="2" bestFit="1" customWidth="1"/>
    <col min="15" max="16384" width="11.42578125" style="2"/>
  </cols>
  <sheetData>
    <row r="1" spans="2:13">
      <c r="B1" s="1788"/>
      <c r="C1" s="1788"/>
      <c r="D1" s="1788"/>
      <c r="E1" s="1788"/>
      <c r="F1" s="1788"/>
      <c r="G1" s="1788"/>
      <c r="H1" s="1788"/>
      <c r="I1" s="1788"/>
    </row>
    <row r="2" spans="2:13">
      <c r="B2" s="144"/>
      <c r="C2" s="144"/>
      <c r="D2" s="144"/>
      <c r="E2" s="144"/>
      <c r="F2" s="144"/>
      <c r="G2" s="144"/>
      <c r="H2" s="1650" t="str">
        <f>IF([1]ACCUEIL!B1=1,"NOTE 7
NORMAL SYSTEM","NOTE 7
SYSTEME NORMAL")</f>
        <v>NOTE 7
SYSTEME NORMAL</v>
      </c>
      <c r="I2" s="1651"/>
    </row>
    <row r="3" spans="2:13">
      <c r="B3" s="144"/>
      <c r="C3" s="144"/>
      <c r="D3" s="144"/>
      <c r="E3" s="312"/>
      <c r="F3" s="144"/>
      <c r="G3" s="144"/>
      <c r="H3" s="1652"/>
      <c r="I3" s="1653"/>
    </row>
    <row r="4" spans="2:13" ht="15.75" customHeight="1">
      <c r="B4" s="43" t="str">
        <f>'NOTE 5'!B4</f>
        <v>Désignation entité:</v>
      </c>
      <c r="C4" s="313" t="str">
        <f>'NOTE 5'!C4</f>
        <v/>
      </c>
      <c r="D4" s="428"/>
      <c r="E4" s="43"/>
      <c r="F4" s="43"/>
      <c r="G4" s="43"/>
      <c r="H4" s="144"/>
      <c r="I4" s="144"/>
    </row>
    <row r="5" spans="2:13" ht="18" customHeight="1">
      <c r="B5" s="476" t="str">
        <f>'NOTE 6'!B5</f>
        <v>Sigle usuel :</v>
      </c>
      <c r="C5" s="402" t="str">
        <f>'NOTE 6'!C5</f>
        <v/>
      </c>
      <c r="D5" s="175"/>
      <c r="E5" s="507"/>
      <c r="F5" s="507"/>
      <c r="G5" s="430"/>
      <c r="H5" s="430"/>
      <c r="I5" s="402"/>
    </row>
    <row r="6" spans="2:13" ht="19.5" customHeight="1">
      <c r="B6" s="476" t="str">
        <f>'NOTE 6'!B6</f>
        <v>Adresse:</v>
      </c>
      <c r="C6" s="313">
        <f>'NOTE 6'!C6</f>
        <v>0</v>
      </c>
      <c r="D6" s="508"/>
      <c r="E6" s="172"/>
      <c r="F6" s="172"/>
      <c r="G6" s="428"/>
      <c r="H6" s="317" t="str">
        <f>+'NOTE 6'!F6</f>
        <v>BP:</v>
      </c>
      <c r="I6" s="319" t="str">
        <f>'NOTE 6'!G6</f>
        <v/>
      </c>
    </row>
    <row r="7" spans="2:13" ht="20.25" customHeight="1">
      <c r="B7" s="43" t="str">
        <f>'NOTE 5'!B7</f>
        <v>Numéro d'identification:</v>
      </c>
      <c r="C7" s="402" t="str">
        <f>'NOTE 5'!C7</f>
        <v/>
      </c>
      <c r="D7" s="430"/>
      <c r="E7" s="1777" t="str">
        <f>+'NOTE 6'!D7</f>
        <v xml:space="preserve">   Exercice clos le 31 - 12- </v>
      </c>
      <c r="F7" s="1701"/>
      <c r="G7" s="402">
        <f>'NOTE 5'!E7</f>
        <v>2025</v>
      </c>
      <c r="H7" s="481" t="str">
        <f>+'NOTE 6'!F7</f>
        <v xml:space="preserve">    Durée (en mois):</v>
      </c>
      <c r="I7" s="402">
        <f>'NOTE 5'!G7</f>
        <v>12</v>
      </c>
    </row>
    <row r="8" spans="2:13">
      <c r="B8" s="43"/>
      <c r="C8" s="43"/>
      <c r="D8" s="43"/>
      <c r="E8" s="43"/>
      <c r="F8" s="43"/>
      <c r="G8" s="43"/>
      <c r="H8" s="43"/>
      <c r="I8" s="43"/>
    </row>
    <row r="9" spans="2:13" ht="29.25" customHeight="1">
      <c r="B9" s="1789" t="str">
        <f>IF([1]ACCUEIL!B1=1,"NOTE 7 TRADE ACCOUNTS RECEIVABLE AND ACCRUED INCOME","NOTE 7 CLIENTS ET PRODUITS RECEVOIR")</f>
        <v>NOTE 7 CLIENTS ET PRODUITS RECEVOIR</v>
      </c>
      <c r="C9" s="1789"/>
      <c r="D9" s="1789"/>
      <c r="E9" s="1789"/>
      <c r="F9" s="1789"/>
      <c r="G9" s="1789"/>
      <c r="H9" s="1789"/>
      <c r="I9" s="1789"/>
    </row>
    <row r="10" spans="2:13" ht="38.25">
      <c r="B10" s="1795" t="str">
        <f>'NOTE 6'!B10:D10</f>
        <v xml:space="preserve">      RUBRIQUES</v>
      </c>
      <c r="C10" s="1796"/>
      <c r="D10" s="556" t="str">
        <f>'NOTE 6'!E10</f>
        <v>Année 2025</v>
      </c>
      <c r="E10" s="556" t="str">
        <f>'NOTE 6'!F10</f>
        <v>Année 2024</v>
      </c>
      <c r="F10" s="556" t="str">
        <f>'NOTE 6'!G10</f>
        <v xml:space="preserve">Variation en % </v>
      </c>
      <c r="G10" s="556" t="str">
        <f>'NOTE 4'!G10</f>
        <v>Créances à un an ou plus</v>
      </c>
      <c r="H10" s="556" t="str">
        <f>'NOTE 4'!H10</f>
        <v>Créances à plus d'un an et à deux ans au plus</v>
      </c>
      <c r="I10" s="556" t="str">
        <f>'NOTE 4'!I10</f>
        <v>Créances à plus de deux ans</v>
      </c>
    </row>
    <row r="11" spans="2:13" s="522" customFormat="1" ht="24" customHeight="1">
      <c r="B11" s="1717" t="str">
        <f>IF([1]ACCUEIL!B1=1,"Customers (excluding Group retention of title)","Clients (hors réserves de propriété Groupe)")</f>
        <v>Clients (hors réserves de propriété Groupe)</v>
      </c>
      <c r="C11" s="1718"/>
      <c r="D11" s="1336">
        <f>+'[1]CLASSE 4'!I70-'[1]CLASSE 4'!I64+'[1]CLASSE 4'!I92</f>
        <v>0</v>
      </c>
      <c r="E11" s="1336">
        <f>+'[1]BALANCE REGROUPE'!I1016-'[1]BALANCE REGROUPE'!I1010+'[1]BALANCE REGROUPE'!I1038</f>
        <v>0</v>
      </c>
      <c r="F11" s="1337">
        <f>IF(J11=0,0,M11)</f>
        <v>0</v>
      </c>
      <c r="G11" s="1338">
        <f>'[1]NOTE 7'!G11</f>
        <v>0</v>
      </c>
      <c r="H11" s="1338">
        <f>'[1]NOTE 7'!H11</f>
        <v>0</v>
      </c>
      <c r="I11" s="1338">
        <f>'[1]NOTE 7'!I11</f>
        <v>0</v>
      </c>
      <c r="J11" s="580">
        <f>D11-E11</f>
        <v>0</v>
      </c>
      <c r="K11" s="522">
        <f>IF(E11=0,1,IF(E11&lt;0,(D11-E11)/-E11,(D11-E11)/E11))</f>
        <v>1</v>
      </c>
      <c r="L11" s="522">
        <f>IF(J11=D11,IF(D11&lt;0,-1,0))</f>
        <v>0</v>
      </c>
      <c r="M11" s="522">
        <f>IF(L11=-1,-1,K11)</f>
        <v>1</v>
      </c>
    </row>
    <row r="12" spans="2:13" s="522" customFormat="1" ht="24" customHeight="1">
      <c r="B12" s="1717" t="str">
        <f>IF([1]ACCUEIL!B1=1,"Customers notes receivable (excluding group retention of title)","Clients effets à recevoir (hors réserves de propriété groupe)")</f>
        <v>Clients effets à recevoir (hors réserves de propriété groupe)</v>
      </c>
      <c r="C12" s="1718"/>
      <c r="D12" s="1336">
        <f>+'[1]CLASSE 4'!I82-'[1]CLASSE 4'!I80-'[1]CLASSE 4'!I74</f>
        <v>0</v>
      </c>
      <c r="E12" s="1336">
        <f>+'[1]BALANCE REGROUPE'!I1028-'[1]BALANCE REGROUPE'!I1026-'[1]BALANCE REGROUPE'!I1020</f>
        <v>0</v>
      </c>
      <c r="F12" s="1337">
        <f>IF(J12=0,0,M12)</f>
        <v>0</v>
      </c>
      <c r="G12" s="1338">
        <f>'[1]NOTE 7'!G12</f>
        <v>0</v>
      </c>
      <c r="H12" s="1338">
        <f>'[1]NOTE 7'!H12</f>
        <v>0</v>
      </c>
      <c r="I12" s="1338">
        <f>'[1]NOTE 7'!I12</f>
        <v>0</v>
      </c>
      <c r="J12" s="580">
        <f t="shared" ref="J12:J25" si="0">D12-E12</f>
        <v>0</v>
      </c>
      <c r="K12" s="522">
        <f t="shared" ref="K12:K25" si="1">IF(E12=0,1,IF(E12&lt;0,(D12-E12)/-E12,(D12-E12)/E12))</f>
        <v>1</v>
      </c>
      <c r="L12" s="522">
        <f t="shared" ref="L12:L25" si="2">IF(J12=D12,IF(D12&lt;0,-1,0))</f>
        <v>0</v>
      </c>
      <c r="M12" s="522">
        <f t="shared" ref="M12:M25" si="3">IF(L12=-1,-1,K12)</f>
        <v>1</v>
      </c>
    </row>
    <row r="13" spans="2:13" s="522" customFormat="1" ht="24" customHeight="1">
      <c r="B13" s="1717" t="str">
        <f>IF([1]ACCUEIL!B1=1,"Customers with retention of title","Clients avec réserves de propriété")</f>
        <v>Clients avec réserves de propriété</v>
      </c>
      <c r="C13" s="1718"/>
      <c r="D13" s="1336">
        <f>+'[1]CLASSE 4'!I64</f>
        <v>0</v>
      </c>
      <c r="E13" s="1336">
        <f>+'[1]BALANCE REGROUPE'!I1010</f>
        <v>0</v>
      </c>
      <c r="F13" s="1337">
        <f t="shared" ref="F13:F24" si="4">IF(J13=0,0,M13)</f>
        <v>0</v>
      </c>
      <c r="G13" s="1338">
        <f>'[1]NOTE 7'!G13</f>
        <v>0</v>
      </c>
      <c r="H13" s="1338">
        <f>'[1]NOTE 7'!H13</f>
        <v>0</v>
      </c>
      <c r="I13" s="1338">
        <f>'[1]NOTE 7'!I13</f>
        <v>0</v>
      </c>
      <c r="J13" s="580">
        <f t="shared" si="0"/>
        <v>0</v>
      </c>
      <c r="K13" s="522">
        <f t="shared" si="1"/>
        <v>1</v>
      </c>
      <c r="L13" s="522">
        <f t="shared" si="2"/>
        <v>0</v>
      </c>
      <c r="M13" s="522">
        <f t="shared" si="3"/>
        <v>1</v>
      </c>
    </row>
    <row r="14" spans="2:13" s="522" customFormat="1" ht="24" customHeight="1">
      <c r="B14" s="1717" t="str">
        <f>IF([1]ACCUEIL!B1=1,"Customers and notes receivable with retention of title","Clients et effets à recevoir avec réserves de propriété")</f>
        <v>Clients et effets à recevoir avec réserves de propriété</v>
      </c>
      <c r="C14" s="1718"/>
      <c r="D14" s="1336">
        <f>+'[1]CLASSE 4'!I80</f>
        <v>0</v>
      </c>
      <c r="E14" s="1336">
        <f>+'[1]BALANCE REGROUPE'!I1026</f>
        <v>0</v>
      </c>
      <c r="F14" s="1337">
        <f t="shared" si="4"/>
        <v>0</v>
      </c>
      <c r="G14" s="1338">
        <f>'[1]NOTE 7'!G14</f>
        <v>0</v>
      </c>
      <c r="H14" s="1338">
        <f>'[1]NOTE 7'!H14</f>
        <v>0</v>
      </c>
      <c r="I14" s="1338">
        <f>'[1]NOTE 7'!I14</f>
        <v>0</v>
      </c>
      <c r="J14" s="580">
        <f t="shared" si="0"/>
        <v>0</v>
      </c>
      <c r="K14" s="522">
        <f t="shared" si="1"/>
        <v>1</v>
      </c>
      <c r="L14" s="522">
        <f t="shared" si="2"/>
        <v>0</v>
      </c>
      <c r="M14" s="522">
        <f t="shared" si="3"/>
        <v>1</v>
      </c>
    </row>
    <row r="15" spans="2:13" s="522" customFormat="1" ht="24" customHeight="1">
      <c r="B15" s="1717" t="str">
        <f>IF([1]ACCUEIL!B1=1,"Trade receivables and notes receivable Group Receivables on disposal of fixed assets","Clients et effets à recevoir Groupe Créances sur cession d'immobilisations")</f>
        <v>Clients et effets à recevoir Groupe Créances sur cession d'immobilisations</v>
      </c>
      <c r="C15" s="1718"/>
      <c r="D15" s="1339">
        <f>+'[1]CLASSE 4'!I74+'[1]CLASSE 4'!I98</f>
        <v>0</v>
      </c>
      <c r="E15" s="1339">
        <f>+'[1]BALANCE REGROUPE'!I1020+'[1]BALANCE REGROUPE'!I1044</f>
        <v>0</v>
      </c>
      <c r="F15" s="1337">
        <f t="shared" si="4"/>
        <v>0</v>
      </c>
      <c r="G15" s="1338">
        <f>'[1]NOTE 7'!G15</f>
        <v>0</v>
      </c>
      <c r="H15" s="1338">
        <f>'[1]NOTE 7'!H15</f>
        <v>0</v>
      </c>
      <c r="I15" s="1338">
        <f>'[1]NOTE 7'!I15</f>
        <v>0</v>
      </c>
      <c r="J15" s="580">
        <f t="shared" si="0"/>
        <v>0</v>
      </c>
      <c r="K15" s="522">
        <f t="shared" si="1"/>
        <v>1</v>
      </c>
      <c r="L15" s="522">
        <f t="shared" si="2"/>
        <v>0</v>
      </c>
      <c r="M15" s="522">
        <f t="shared" si="3"/>
        <v>1</v>
      </c>
    </row>
    <row r="16" spans="2:13" s="522" customFormat="1" ht="24" customHeight="1">
      <c r="B16" s="1717" t="str">
        <f>IF([1]ACCUEIL!B1=1,"Clients discounted and unmatured bills","Clients effets escomptés et non échus")</f>
        <v>Clients effets escomptés et non échus</v>
      </c>
      <c r="C16" s="1718"/>
      <c r="D16" s="1339">
        <f>'[1]CLASSE 4'!I99</f>
        <v>0</v>
      </c>
      <c r="E16" s="1339">
        <f>+'[1]BALANCE REGROUPE'!I1045</f>
        <v>0</v>
      </c>
      <c r="F16" s="1337">
        <f t="shared" si="4"/>
        <v>0</v>
      </c>
      <c r="G16" s="1338">
        <f>'[1]NOTE 7'!G16</f>
        <v>0</v>
      </c>
      <c r="H16" s="1338">
        <f>'[1]NOTE 7'!H16</f>
        <v>0</v>
      </c>
      <c r="I16" s="1338">
        <f>'[1]NOTE 7'!I16</f>
        <v>0</v>
      </c>
      <c r="J16" s="580">
        <f t="shared" si="0"/>
        <v>0</v>
      </c>
      <c r="K16" s="522">
        <f t="shared" si="1"/>
        <v>1</v>
      </c>
      <c r="L16" s="522">
        <f t="shared" si="2"/>
        <v>0</v>
      </c>
      <c r="M16" s="522">
        <f t="shared" si="3"/>
        <v>1</v>
      </c>
    </row>
    <row r="17" spans="2:13" s="522" customFormat="1" ht="24" customHeight="1">
      <c r="B17" s="1717" t="str">
        <f>IF([1]ACCUEIL!B1=1,"Litigious or doubtful debts","Créances litigieuses ou douteuses")</f>
        <v>Créances litigieuses ou douteuses</v>
      </c>
      <c r="C17" s="1718"/>
      <c r="D17" s="1339">
        <f>'[1]CLASSE 4'!I105</f>
        <v>0</v>
      </c>
      <c r="E17" s="1339">
        <f>+'[1]BALANCE REGROUPE'!I1051</f>
        <v>0</v>
      </c>
      <c r="F17" s="1337">
        <f t="shared" si="4"/>
        <v>0</v>
      </c>
      <c r="G17" s="1338">
        <f>'[1]NOTE 7'!G17</f>
        <v>0</v>
      </c>
      <c r="H17" s="1338">
        <f>'[1]NOTE 7'!H17</f>
        <v>0</v>
      </c>
      <c r="I17" s="1338">
        <f>'[1]NOTE 7'!I17</f>
        <v>0</v>
      </c>
      <c r="J17" s="580">
        <f t="shared" si="0"/>
        <v>0</v>
      </c>
      <c r="K17" s="522">
        <f t="shared" si="1"/>
        <v>1</v>
      </c>
      <c r="L17" s="522">
        <f t="shared" si="2"/>
        <v>0</v>
      </c>
      <c r="M17" s="522">
        <f t="shared" si="3"/>
        <v>1</v>
      </c>
    </row>
    <row r="18" spans="2:13" s="522" customFormat="1" ht="24" customHeight="1">
      <c r="B18" s="1717" t="str">
        <f>IF([1]ACCUEIL!B1=1,"Customers products to received","Clients produits à recevoir ")</f>
        <v xml:space="preserve">Clients produits à recevoir </v>
      </c>
      <c r="C18" s="1718"/>
      <c r="D18" s="1339">
        <f>'[1]CLASSE 4'!I111</f>
        <v>0</v>
      </c>
      <c r="E18" s="1339">
        <f>+'[1]BALANCE REGROUPE'!I1057</f>
        <v>0</v>
      </c>
      <c r="F18" s="1337">
        <f>IF(J18=0,0,M18)</f>
        <v>0</v>
      </c>
      <c r="G18" s="1338">
        <f>'[1]NOTE 7'!G18</f>
        <v>0</v>
      </c>
      <c r="H18" s="1338">
        <f>'[1]NOTE 7'!H18</f>
        <v>0</v>
      </c>
      <c r="I18" s="1338">
        <f>'[1]NOTE 7'!I18</f>
        <v>0</v>
      </c>
      <c r="J18" s="580">
        <f t="shared" si="0"/>
        <v>0</v>
      </c>
      <c r="K18" s="522">
        <f t="shared" si="1"/>
        <v>1</v>
      </c>
      <c r="L18" s="522">
        <f t="shared" si="2"/>
        <v>0</v>
      </c>
      <c r="M18" s="522">
        <f t="shared" si="3"/>
        <v>1</v>
      </c>
    </row>
    <row r="19" spans="2:13" s="522" customFormat="1" ht="24" customHeight="1">
      <c r="B19" s="238" t="str">
        <f>IF([1]ACCUEIL!B1=1,"TOTAL GROSS CUSTOMERS","TOTAL BRUT CLIENTS")</f>
        <v>TOTAL BRUT CLIENTS</v>
      </c>
      <c r="C19" s="460"/>
      <c r="D19" s="555">
        <f>SUM(D11:D18)</f>
        <v>0</v>
      </c>
      <c r="E19" s="483">
        <f>SUM(E11:E18)</f>
        <v>0</v>
      </c>
      <c r="F19" s="1340">
        <f t="shared" si="4"/>
        <v>0</v>
      </c>
      <c r="G19" s="1341">
        <f>'[1]NOTE 7'!G19</f>
        <v>0</v>
      </c>
      <c r="H19" s="1341">
        <f>'[1]NOTE 7'!H19</f>
        <v>0</v>
      </c>
      <c r="I19" s="1341">
        <f>'[1]NOTE 7'!I19</f>
        <v>0</v>
      </c>
      <c r="J19" s="580">
        <f t="shared" si="0"/>
        <v>0</v>
      </c>
      <c r="K19" s="522">
        <f t="shared" si="1"/>
        <v>1</v>
      </c>
      <c r="L19" s="522">
        <f t="shared" si="2"/>
        <v>0</v>
      </c>
      <c r="M19" s="522">
        <f t="shared" si="3"/>
        <v>1</v>
      </c>
    </row>
    <row r="20" spans="2:13" s="522" customFormat="1" ht="24" customHeight="1">
      <c r="B20" s="1800" t="str">
        <f>IF([1]ACCUEIL!B1=1,"Impairment of accounts receivable","Dépréciations de comptes clients")</f>
        <v>Dépréciations de comptes clients</v>
      </c>
      <c r="C20" s="1801"/>
      <c r="D20" s="482">
        <f>'[1]CLASSE 4'!J455</f>
        <v>0</v>
      </c>
      <c r="E20" s="482">
        <f>'[1]CLASSE 4'!F455</f>
        <v>0</v>
      </c>
      <c r="F20" s="1340">
        <f t="shared" si="4"/>
        <v>0</v>
      </c>
      <c r="G20" s="1341">
        <f>'[1]NOTE 7'!G20</f>
        <v>0</v>
      </c>
      <c r="H20" s="1341">
        <f>'[1]NOTE 7'!H20</f>
        <v>0</v>
      </c>
      <c r="I20" s="1341">
        <f>'[1]NOTE 7'!I20</f>
        <v>0</v>
      </c>
      <c r="J20" s="580">
        <f t="shared" si="0"/>
        <v>0</v>
      </c>
      <c r="K20" s="522">
        <f t="shared" si="1"/>
        <v>1</v>
      </c>
      <c r="L20" s="522">
        <f t="shared" si="2"/>
        <v>0</v>
      </c>
      <c r="M20" s="522">
        <f t="shared" si="3"/>
        <v>1</v>
      </c>
    </row>
    <row r="21" spans="2:13" s="522" customFormat="1" ht="24" customHeight="1">
      <c r="B21" s="238" t="str">
        <f>IF([1]ACCUEIL!B1=1,"TOTAL NET DEPRECIATION","TOTAL NET DE DEPRECIATION")</f>
        <v>TOTAL NET DE DEPRECIATION</v>
      </c>
      <c r="C21" s="460"/>
      <c r="D21" s="1342">
        <f>D19-D20</f>
        <v>0</v>
      </c>
      <c r="E21" s="1343">
        <f>E19-E20</f>
        <v>0</v>
      </c>
      <c r="F21" s="1340">
        <f t="shared" si="4"/>
        <v>0</v>
      </c>
      <c r="G21" s="1341">
        <f>'[1]NOTE 7'!G21</f>
        <v>0</v>
      </c>
      <c r="H21" s="1341">
        <f>'[1]NOTE 7'!H21</f>
        <v>0</v>
      </c>
      <c r="I21" s="1341">
        <f>'[1]NOTE 7'!I21</f>
        <v>0</v>
      </c>
      <c r="J21" s="580">
        <f t="shared" si="0"/>
        <v>0</v>
      </c>
      <c r="K21" s="522">
        <f t="shared" si="1"/>
        <v>1</v>
      </c>
      <c r="L21" s="522">
        <f t="shared" si="2"/>
        <v>0</v>
      </c>
      <c r="M21" s="522">
        <f t="shared" si="3"/>
        <v>1</v>
      </c>
    </row>
    <row r="22" spans="2:13" s="522" customFormat="1" ht="24" customHeight="1">
      <c r="B22" s="1800" t="str">
        <f>IF([1]ACCUEIL!B1=1,"Customer, advances received outside the group","Client, avances reçues hors groupe")</f>
        <v>Client, avances reçues hors groupe</v>
      </c>
      <c r="C22" s="1801"/>
      <c r="D22" s="1344">
        <f>'[1]CLASSE 4'!J113</f>
        <v>0</v>
      </c>
      <c r="E22" s="1344">
        <f>'[1]CLASSE 4'!F113</f>
        <v>0</v>
      </c>
      <c r="F22" s="1340">
        <f t="shared" si="4"/>
        <v>0</v>
      </c>
      <c r="G22" s="1341">
        <f>'[1]NOTE 7'!G22</f>
        <v>0</v>
      </c>
      <c r="H22" s="1341">
        <f>'[1]NOTE 7'!H22</f>
        <v>0</v>
      </c>
      <c r="I22" s="1341">
        <f>'[1]NOTE 7'!I22</f>
        <v>0</v>
      </c>
      <c r="J22" s="580">
        <f t="shared" si="0"/>
        <v>0</v>
      </c>
      <c r="K22" s="522">
        <f t="shared" si="1"/>
        <v>1</v>
      </c>
      <c r="L22" s="522">
        <f t="shared" si="2"/>
        <v>0</v>
      </c>
      <c r="M22" s="522">
        <f t="shared" si="3"/>
        <v>1</v>
      </c>
    </row>
    <row r="23" spans="2:13" s="522" customFormat="1" ht="24" customHeight="1">
      <c r="B23" s="1800" t="str">
        <f>IF([1]ACCUEIL!B1=1,"Customer, advances received group","Client, avances reçues groupe")</f>
        <v>Client, avances reçues groupe</v>
      </c>
      <c r="C23" s="1801"/>
      <c r="D23" s="482">
        <f>'[1]CLASSE 4'!J115</f>
        <v>0</v>
      </c>
      <c r="E23" s="482">
        <f>'[1]CLASSE 4'!F115</f>
        <v>0</v>
      </c>
      <c r="F23" s="1340">
        <f t="shared" si="4"/>
        <v>0</v>
      </c>
      <c r="G23" s="1341">
        <f>'[1]NOTE 7'!G23</f>
        <v>0</v>
      </c>
      <c r="H23" s="1341">
        <f>'[1]NOTE 7'!H23</f>
        <v>0</v>
      </c>
      <c r="I23" s="1341">
        <f>'[1]NOTE 7'!I23</f>
        <v>0</v>
      </c>
      <c r="J23" s="580">
        <f t="shared" si="0"/>
        <v>0</v>
      </c>
      <c r="K23" s="522">
        <f t="shared" si="1"/>
        <v>1</v>
      </c>
      <c r="L23" s="522">
        <f t="shared" si="2"/>
        <v>0</v>
      </c>
      <c r="M23" s="522">
        <f t="shared" si="3"/>
        <v>1</v>
      </c>
    </row>
    <row r="24" spans="2:13" s="522" customFormat="1" ht="24" customHeight="1">
      <c r="B24" s="1240" t="str">
        <f>IF([1]ACCUEIL!B1=1,"Other accounts payable","Autres clients créditeurs")</f>
        <v>Autres clients créditeurs</v>
      </c>
      <c r="C24" s="433"/>
      <c r="D24" s="482">
        <f>'[1]CLASSE 4'!J117+'[1]CLASSE 4'!J119</f>
        <v>0</v>
      </c>
      <c r="E24" s="482">
        <f>'[1]CLASSE 4'!F117+'[1]CLASSE 4'!F119</f>
        <v>0</v>
      </c>
      <c r="F24" s="1340">
        <f t="shared" si="4"/>
        <v>0</v>
      </c>
      <c r="G24" s="1341">
        <f>'[1]NOTE 7'!G24</f>
        <v>0</v>
      </c>
      <c r="H24" s="1341">
        <f>'[1]NOTE 7'!H24</f>
        <v>0</v>
      </c>
      <c r="I24" s="1341">
        <f>'[1]NOTE 7'!I24</f>
        <v>0</v>
      </c>
      <c r="J24" s="580">
        <f t="shared" si="0"/>
        <v>0</v>
      </c>
      <c r="K24" s="522">
        <f t="shared" si="1"/>
        <v>1</v>
      </c>
      <c r="L24" s="522">
        <f t="shared" si="2"/>
        <v>0</v>
      </c>
      <c r="M24" s="522">
        <f t="shared" si="3"/>
        <v>1</v>
      </c>
    </row>
    <row r="25" spans="2:13" s="522" customFormat="1" ht="24.6" customHeight="1">
      <c r="B25" s="1802" t="str">
        <f>IF([1]ACCUEIL!B1=1,"TOTAL CREDITORS CUSTOMERS","TOTAL CLIENTS CREDITEURS")</f>
        <v>TOTAL CLIENTS CREDITEURS</v>
      </c>
      <c r="C25" s="1803"/>
      <c r="D25" s="1345">
        <f>SUM(D22:D24)</f>
        <v>0</v>
      </c>
      <c r="E25" s="572">
        <f>SUM(E22:E24)</f>
        <v>0</v>
      </c>
      <c r="F25" s="1346">
        <f>IF(J25=0,0,M25)</f>
        <v>0</v>
      </c>
      <c r="G25" s="572">
        <f>SUM(G22:G24)</f>
        <v>0</v>
      </c>
      <c r="H25" s="572">
        <f t="shared" ref="H25" si="5">SUM(H22:H24)</f>
        <v>0</v>
      </c>
      <c r="I25" s="551">
        <f>'[1]NOTE 7'!I25</f>
        <v>0</v>
      </c>
      <c r="J25" s="580">
        <f t="shared" si="0"/>
        <v>0</v>
      </c>
      <c r="K25" s="522">
        <f t="shared" si="1"/>
        <v>1</v>
      </c>
      <c r="L25" s="522">
        <f t="shared" si="2"/>
        <v>0</v>
      </c>
      <c r="M25" s="522">
        <f t="shared" si="3"/>
        <v>1</v>
      </c>
    </row>
    <row r="26" spans="2:13">
      <c r="B26" s="81"/>
      <c r="C26" s="1660"/>
      <c r="D26" s="1660"/>
      <c r="E26" s="1660"/>
      <c r="F26" s="1660"/>
      <c r="G26" s="1660"/>
      <c r="H26" s="1660"/>
      <c r="I26" s="1772"/>
    </row>
    <row r="27" spans="2:13">
      <c r="B27" s="558" t="str">
        <f>'NOTE 6'!B25</f>
        <v>COMMENTAIRE</v>
      </c>
      <c r="C27" s="1660" t="s">
        <v>256</v>
      </c>
      <c r="D27" s="1660"/>
      <c r="E27" s="1660"/>
      <c r="F27" s="1660"/>
      <c r="G27" s="1660"/>
      <c r="H27" s="1660"/>
      <c r="I27" s="1660"/>
    </row>
    <row r="28" spans="2:13">
      <c r="B28" s="560"/>
      <c r="C28" s="1804" t="s">
        <v>257</v>
      </c>
      <c r="D28" s="1804"/>
      <c r="E28" s="1804"/>
      <c r="F28" s="1804"/>
      <c r="G28" s="1804"/>
      <c r="H28" s="1804"/>
      <c r="I28" s="1804"/>
    </row>
    <row r="29" spans="2:13">
      <c r="B29" s="560"/>
      <c r="C29" s="1804" t="s">
        <v>258</v>
      </c>
      <c r="D29" s="1804"/>
      <c r="E29" s="1804"/>
      <c r="F29" s="1804"/>
      <c r="G29" s="1804"/>
      <c r="H29" s="1804"/>
      <c r="I29" s="1804"/>
    </row>
    <row r="30" spans="2:13">
      <c r="B30" s="560"/>
      <c r="C30" s="1804" t="s">
        <v>259</v>
      </c>
      <c r="D30" s="1804"/>
      <c r="E30" s="1804"/>
      <c r="F30" s="1804"/>
      <c r="G30" s="1804"/>
      <c r="H30" s="1804"/>
      <c r="I30" s="1804"/>
    </row>
    <row r="31" spans="2:13">
      <c r="B31" s="560"/>
      <c r="C31" s="1804" t="s">
        <v>260</v>
      </c>
      <c r="D31" s="1804"/>
      <c r="E31" s="1804"/>
      <c r="F31" s="1804"/>
      <c r="G31" s="1804"/>
      <c r="H31" s="1804"/>
      <c r="I31" s="1804"/>
    </row>
    <row r="32" spans="2:13">
      <c r="B32" s="81"/>
      <c r="C32" s="1804" t="s">
        <v>261</v>
      </c>
      <c r="D32" s="1804"/>
      <c r="E32" s="1804"/>
      <c r="F32" s="1804"/>
      <c r="G32" s="1804"/>
      <c r="H32" s="1804"/>
      <c r="I32" s="1804"/>
    </row>
    <row r="33" spans="2:9">
      <c r="B33" s="81"/>
      <c r="C33" s="1804" t="s">
        <v>262</v>
      </c>
      <c r="D33" s="1804"/>
      <c r="E33" s="1804"/>
      <c r="F33" s="1804"/>
      <c r="G33" s="1804"/>
      <c r="H33" s="1804"/>
      <c r="I33" s="1804"/>
    </row>
    <row r="34" spans="2:9">
      <c r="C34" s="1660"/>
      <c r="D34" s="1660"/>
      <c r="E34" s="1660"/>
      <c r="F34" s="1660"/>
      <c r="G34" s="1660"/>
      <c r="H34" s="1660"/>
      <c r="I34" s="1660"/>
    </row>
    <row r="35" spans="2:9">
      <c r="C35" s="1660"/>
      <c r="D35" s="1660"/>
      <c r="E35" s="1660"/>
      <c r="F35" s="1660"/>
      <c r="G35" s="1660"/>
      <c r="H35" s="1660"/>
      <c r="I35" s="1660"/>
    </row>
    <row r="36" spans="2:9">
      <c r="C36" s="1660"/>
      <c r="D36" s="1660"/>
      <c r="E36" s="1660"/>
      <c r="F36" s="1660"/>
      <c r="G36" s="1660"/>
      <c r="H36" s="1660"/>
      <c r="I36" s="1660"/>
    </row>
    <row r="37" spans="2:9">
      <c r="C37" s="1660"/>
      <c r="D37" s="1660"/>
      <c r="E37" s="1660"/>
      <c r="F37" s="1660"/>
      <c r="G37" s="1660"/>
      <c r="H37" s="1660"/>
      <c r="I37" s="1660"/>
    </row>
    <row r="38" spans="2:9">
      <c r="C38" s="1660"/>
      <c r="D38" s="1660"/>
      <c r="E38" s="1660"/>
      <c r="F38" s="1660"/>
      <c r="G38" s="1660"/>
      <c r="H38" s="1660"/>
      <c r="I38" s="1660"/>
    </row>
  </sheetData>
  <sheetProtection selectLockedCells="1"/>
  <mergeCells count="31">
    <mergeCell ref="C35:I35"/>
    <mergeCell ref="C36:I36"/>
    <mergeCell ref="C37:I37"/>
    <mergeCell ref="C38:I38"/>
    <mergeCell ref="C30:I30"/>
    <mergeCell ref="C31:I31"/>
    <mergeCell ref="C32:I32"/>
    <mergeCell ref="C33:I33"/>
    <mergeCell ref="C34:I34"/>
    <mergeCell ref="C26:G26"/>
    <mergeCell ref="H26:I26"/>
    <mergeCell ref="C27:I27"/>
    <mergeCell ref="C28:I28"/>
    <mergeCell ref="C29:I29"/>
    <mergeCell ref="B18:C18"/>
    <mergeCell ref="B20:C20"/>
    <mergeCell ref="B22:C22"/>
    <mergeCell ref="B23:C23"/>
    <mergeCell ref="B25:C25"/>
    <mergeCell ref="B17:C17"/>
    <mergeCell ref="B1:I1"/>
    <mergeCell ref="H2:I3"/>
    <mergeCell ref="E7:F7"/>
    <mergeCell ref="B9:I9"/>
    <mergeCell ref="B10:C10"/>
    <mergeCell ref="B11:C11"/>
    <mergeCell ref="B12:C12"/>
    <mergeCell ref="B13:C13"/>
    <mergeCell ref="B14:C14"/>
    <mergeCell ref="B15:C15"/>
    <mergeCell ref="B16:C16"/>
  </mergeCells>
  <conditionalFormatting sqref="H6 E5:F5 D6">
    <cfRule type="expression" dxfId="33" priority="1">
      <formula>#REF!=1</formula>
    </cfRule>
  </conditionalFormatting>
  <printOptions horizontalCentered="1"/>
  <pageMargins left="0.78740157480314965" right="0" top="0.59055118110236227" bottom="0" header="0.31496062992125984" footer="0.31496062992125984"/>
  <pageSetup paperSize="9" scale="70" orientation="landscape" r:id="rId1"/>
  <headerFooter>
    <oddHeader>&amp;C&amp;"-,Gras"&amp;14Page &amp;P / &amp;N</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28">
    <pageSetUpPr fitToPage="1"/>
  </sheetPr>
  <dimension ref="B1:M35"/>
  <sheetViews>
    <sheetView showGridLines="0" showZeros="0" topLeftCell="A16" zoomScale="60" zoomScaleNormal="60" zoomScaleSheetLayoutView="100" workbookViewId="0">
      <selection activeCell="I24" sqref="I24"/>
    </sheetView>
  </sheetViews>
  <sheetFormatPr baseColWidth="10" defaultColWidth="11.42578125" defaultRowHeight="15.75"/>
  <cols>
    <col min="1" max="1" width="9.85546875" style="9" customWidth="1"/>
    <col min="2" max="2" width="28.140625" style="9" customWidth="1"/>
    <col min="3" max="3" width="46.28515625" style="9" customWidth="1"/>
    <col min="4" max="4" width="20.85546875" style="9" customWidth="1"/>
    <col min="5" max="5" width="22.28515625" style="9" customWidth="1"/>
    <col min="6" max="6" width="15.7109375" style="9" customWidth="1"/>
    <col min="7" max="7" width="14.85546875" style="9" customWidth="1"/>
    <col min="8" max="8" width="24" style="9" bestFit="1" customWidth="1"/>
    <col min="9" max="9" width="16" style="9" customWidth="1"/>
    <col min="10" max="13" width="11.42578125" style="9" hidden="1" customWidth="1"/>
    <col min="14" max="16384" width="11.42578125" style="9"/>
  </cols>
  <sheetData>
    <row r="1" spans="2:13">
      <c r="B1" s="1805"/>
      <c r="C1" s="1805"/>
      <c r="D1" s="1805"/>
      <c r="E1" s="1805"/>
      <c r="F1" s="1805"/>
      <c r="G1" s="1805"/>
      <c r="H1" s="1805"/>
      <c r="I1" s="1805"/>
    </row>
    <row r="2" spans="2:13">
      <c r="B2" s="118"/>
      <c r="C2" s="118"/>
      <c r="D2" s="118"/>
      <c r="E2" s="118"/>
      <c r="F2" s="118"/>
      <c r="G2" s="118"/>
      <c r="H2" s="1724" t="str">
        <f>IF([1]ACCUEIL!B1=1,"NOTE 8
NORMAL SYSTEM","NOTE 8
SYSTEME NORMAL")</f>
        <v>NOTE 8
SYSTEME NORMAL</v>
      </c>
      <c r="I2" s="1725"/>
    </row>
    <row r="3" spans="2:13">
      <c r="B3" s="118"/>
      <c r="C3" s="118"/>
      <c r="D3" s="118"/>
      <c r="E3" s="1099"/>
      <c r="F3" s="118"/>
      <c r="G3" s="118"/>
      <c r="H3" s="1726"/>
      <c r="I3" s="1727"/>
    </row>
    <row r="4" spans="2:13">
      <c r="B4" s="115" t="str">
        <f>'NOTE 5'!B4</f>
        <v>Désignation entité:</v>
      </c>
      <c r="C4" s="1194" t="str">
        <f>'NOTE 7'!C4</f>
        <v/>
      </c>
      <c r="D4" s="116"/>
      <c r="E4" s="116"/>
      <c r="F4" s="116"/>
      <c r="G4" s="116"/>
      <c r="H4" s="1195"/>
      <c r="I4" s="1195"/>
    </row>
    <row r="5" spans="2:13">
      <c r="B5" s="115" t="str">
        <f>'NOTE 7'!B5</f>
        <v>Sigle usuel :</v>
      </c>
      <c r="C5" s="121" t="str">
        <f>'NOTE 7'!C5</f>
        <v/>
      </c>
      <c r="D5" s="1101"/>
      <c r="E5" s="1102"/>
      <c r="F5" s="1102"/>
      <c r="G5" s="120"/>
      <c r="H5" s="120"/>
      <c r="I5" s="121"/>
    </row>
    <row r="6" spans="2:13">
      <c r="B6" s="1100" t="str">
        <f>'NOTE 7'!B6</f>
        <v>Adresse:</v>
      </c>
      <c r="C6" s="127">
        <f>'NOTE 7'!C6</f>
        <v>0</v>
      </c>
      <c r="D6" s="1347"/>
      <c r="E6" s="1195"/>
      <c r="F6" s="40"/>
      <c r="G6" s="40"/>
      <c r="H6" s="124" t="str">
        <f>'NOTE 7'!H6</f>
        <v>BP:</v>
      </c>
      <c r="I6" s="1194" t="str">
        <f>'NOTE 7'!I6</f>
        <v/>
      </c>
    </row>
    <row r="7" spans="2:13">
      <c r="B7" s="115" t="str">
        <f>'NOTE 5'!B7</f>
        <v>Numéro d'identification:</v>
      </c>
      <c r="C7" s="121" t="str">
        <f>'NOTE 7'!C7</f>
        <v/>
      </c>
      <c r="D7" s="120"/>
      <c r="E7" s="1806" t="str">
        <f>'NOTE 7'!E7:F7</f>
        <v xml:space="preserve">   Exercice clos le 31 - 12- </v>
      </c>
      <c r="F7" s="1449"/>
      <c r="G7" s="121">
        <f>'NOTE 5'!E7</f>
        <v>2025</v>
      </c>
      <c r="H7" s="1108" t="str">
        <f>'NOTE 7'!H7</f>
        <v xml:space="preserve">    Durée (en mois):</v>
      </c>
      <c r="I7" s="121">
        <f>'NOTE 5'!G7</f>
        <v>12</v>
      </c>
    </row>
    <row r="8" spans="2:13">
      <c r="B8" s="115"/>
      <c r="C8" s="115"/>
      <c r="D8" s="115"/>
      <c r="E8" s="115"/>
      <c r="F8" s="115"/>
      <c r="G8" s="115"/>
      <c r="H8" s="115"/>
      <c r="I8" s="115"/>
    </row>
    <row r="9" spans="2:13" ht="27" customHeight="1">
      <c r="B9" s="1807" t="str">
        <f>IF([1]ACCUEIL!B1=1,"NOTE 8 OTHER RECEIVABLES","NOTE 8 AUTRES CREANCES")</f>
        <v>NOTE 8 AUTRES CREANCES</v>
      </c>
      <c r="C9" s="1807"/>
      <c r="D9" s="1807"/>
      <c r="E9" s="1807"/>
      <c r="F9" s="1807"/>
      <c r="G9" s="1807"/>
      <c r="H9" s="1807"/>
      <c r="I9" s="1807"/>
    </row>
    <row r="10" spans="2:13" ht="47.25">
      <c r="B10" s="1808" t="str">
        <f>'NOTE 7'!B10:C10</f>
        <v xml:space="preserve">      RUBRIQUES</v>
      </c>
      <c r="C10" s="1809"/>
      <c r="D10" s="1241" t="str">
        <f>'NOTE 7'!D10</f>
        <v>Année 2025</v>
      </c>
      <c r="E10" s="1241" t="str">
        <f>'NOTE 7'!E10</f>
        <v>Année 2024</v>
      </c>
      <c r="F10" s="1241" t="str">
        <f>'NOTE 7'!F10</f>
        <v xml:space="preserve">Variation en % </v>
      </c>
      <c r="G10" s="1241" t="str">
        <f>'NOTE 7'!G10</f>
        <v>Créances à un an ou plus</v>
      </c>
      <c r="H10" s="1241" t="str">
        <f>'NOTE 7'!H10</f>
        <v>Créances à plus d'un an et à deux ans au plus</v>
      </c>
      <c r="I10" s="1241" t="str">
        <f>'NOTE 7'!I10</f>
        <v>Créances à plus de deux ans</v>
      </c>
    </row>
    <row r="11" spans="2:13" s="559" customFormat="1" ht="25.5" customHeight="1">
      <c r="B11" s="1110" t="str">
        <f>IF([1]ACCUEIL!B1=1,"Staff","Personnel")</f>
        <v>Personnel</v>
      </c>
      <c r="C11" s="1111"/>
      <c r="D11" s="216">
        <f>'[1]CLASSE 4'!I129+'[1]CLASSE 4'!I138</f>
        <v>0</v>
      </c>
      <c r="E11" s="216">
        <f>+'[1]BALANCE REGROUPE'!I1075+'[1]BALANCE REGROUPE'!I1076+'[1]BALANCE REGROUPE'!I1084+'[1]BALANCE REGROUPE'!I1094+'[1]BALANCE REGROUPE'!I1102+'[1]BALANCE REGROUPE'!I1108+'[1]BALANCE REGROUPE'!I1109+'[1]BALANCE REGROUPE'!I1117</f>
        <v>0</v>
      </c>
      <c r="F11" s="1189">
        <f>IF(J11=0,0,M11)</f>
        <v>0</v>
      </c>
      <c r="G11" s="1114">
        <f>'[1]NOTE 8'!G11</f>
        <v>0</v>
      </c>
      <c r="H11" s="1114">
        <f>'[1]NOTE 8'!H11</f>
        <v>0</v>
      </c>
      <c r="I11" s="1114">
        <f>'[1]NOTE 8'!I11</f>
        <v>0</v>
      </c>
      <c r="J11" s="559">
        <f>D11-E11</f>
        <v>0</v>
      </c>
      <c r="K11" s="559">
        <f>IF(E11=0,1,IF(E11&lt;0,(D11-E11)/-E11,(D11-E11)/E11))</f>
        <v>1</v>
      </c>
      <c r="L11" s="559">
        <f>IF(J11=D11,IF(D11&lt;0,-1,0))</f>
        <v>0</v>
      </c>
      <c r="M11" s="559">
        <f>IF(L11=-1,-1,K11)</f>
        <v>1</v>
      </c>
    </row>
    <row r="12" spans="2:13" s="559" customFormat="1" ht="25.5" customHeight="1">
      <c r="B12" s="1110" t="str">
        <f>IF([1]ACCUEIL!B1=1,"Social organizations","Organismes sociaux")</f>
        <v>Organismes sociaux</v>
      </c>
      <c r="C12" s="1111"/>
      <c r="D12" s="216">
        <f>'[1]CLASSE 4'!I200+'[1]CLASSE 4'!I183+'[1]CLASSE 4'!I184+'[1]CLASSE 4'!I192+'[1]CLASSE 4'!I202+'[1]CLASSE 4'!I250+'[1]CLASSE 4'!I202</f>
        <v>0</v>
      </c>
      <c r="E12" s="216">
        <f>'[1]BALANCE REGROUPE'!I1129+'[1]BALANCE REGROUPE'!I1130+'[1]BALANCE REGROUPE'!I1138+'[1]BALANCE REGROUPE'!I1148</f>
        <v>0</v>
      </c>
      <c r="F12" s="1189">
        <f t="shared" ref="F12:F24" si="0">IF(J12=0,0,M12)</f>
        <v>0</v>
      </c>
      <c r="G12" s="1114">
        <f>'[1]NOTE 8'!G12</f>
        <v>0</v>
      </c>
      <c r="H12" s="1114">
        <f>'[1]NOTE 8'!H12</f>
        <v>0</v>
      </c>
      <c r="I12" s="1114">
        <f>'[1]NOTE 8'!I12</f>
        <v>0</v>
      </c>
      <c r="J12" s="559">
        <f t="shared" ref="J12:J24" si="1">D12-E12</f>
        <v>0</v>
      </c>
      <c r="K12" s="559">
        <f t="shared" ref="K12:K24" si="2">IF(E12=0,1,IF(E12&lt;0,(D12-E12)/-E12,(D12-E12)/E12))</f>
        <v>1</v>
      </c>
      <c r="L12" s="559">
        <f t="shared" ref="L12:L24" si="3">IF(J12=D12,IF(D12&lt;0,-1,0))</f>
        <v>0</v>
      </c>
      <c r="M12" s="559">
        <f t="shared" ref="M12:M24" si="4">IF(L12=-1,-1,K12)</f>
        <v>1</v>
      </c>
    </row>
    <row r="13" spans="2:13" s="559" customFormat="1" ht="25.5" customHeight="1">
      <c r="B13" s="1110" t="str">
        <f>IF([1]ACCUEIL!B1=1,"State and public authorities","Etat et Collectivités publiques")</f>
        <v>Etat et Collectivités publiques</v>
      </c>
      <c r="C13" s="1111"/>
      <c r="D13" s="216">
        <f>'[1]CLASSE 4'!I233+'[1]CLASSE 4'!I266+'[1]CLASSE 4'!I286+'[1]CLASSE 4'!I249</f>
        <v>0</v>
      </c>
      <c r="E13" s="216">
        <f>'[1]BALANCE REGROUPE'!I1149+'[1]BALANCE REGROUPE'!I1163+'[1]BALANCE REGROUPE'!I1175+'[1]BALANCE REGROUPE'!I1181+'[1]BALANCE REGROUPE'!I1195+'[1]BALANCE REGROUPE'!I1196+'[1]BALANCE REGROUPE'!I1208+'[1]BALANCE REGROUPE'!I1214+'[1]BALANCE REGROUPE'!I1232</f>
        <v>0</v>
      </c>
      <c r="F13" s="1189">
        <f t="shared" si="0"/>
        <v>0</v>
      </c>
      <c r="G13" s="1114">
        <f>'[1]NOTE 8'!G13</f>
        <v>0</v>
      </c>
      <c r="H13" s="1114">
        <f>'[1]NOTE 8'!H13</f>
        <v>0</v>
      </c>
      <c r="I13" s="1114">
        <f>'[1]NOTE 8'!I13</f>
        <v>0</v>
      </c>
      <c r="J13" s="559">
        <f t="shared" si="1"/>
        <v>0</v>
      </c>
      <c r="K13" s="559">
        <f t="shared" si="2"/>
        <v>1</v>
      </c>
      <c r="L13" s="559">
        <f t="shared" si="3"/>
        <v>0</v>
      </c>
      <c r="M13" s="559">
        <f t="shared" si="4"/>
        <v>1</v>
      </c>
    </row>
    <row r="14" spans="2:13" s="559" customFormat="1" ht="25.5" customHeight="1">
      <c r="B14" s="1110" t="str">
        <f>IF([1]ACCUEIL!B1=1,"International Organizations","Organismes internationaux")</f>
        <v>Organismes internationaux</v>
      </c>
      <c r="C14" s="1111"/>
      <c r="D14" s="216">
        <f>'[1]CLASSE 4'!I287+'[1]CLASSE 4'!I288+'[1]CLASSE 4'!I294</f>
        <v>0</v>
      </c>
      <c r="E14" s="216">
        <f>'[1]BALANCE REGROUPE'!I1235+'[1]BALANCE REGROUPE'!I1240</f>
        <v>0</v>
      </c>
      <c r="F14" s="1189">
        <f>IF(J14=0,0,M14)</f>
        <v>0</v>
      </c>
      <c r="G14" s="1114">
        <f>'[1]NOTE 8'!G14</f>
        <v>0</v>
      </c>
      <c r="H14" s="1114">
        <f>'[1]NOTE 8'!H14</f>
        <v>0</v>
      </c>
      <c r="I14" s="1114">
        <f>'[1]NOTE 8'!I14</f>
        <v>0</v>
      </c>
      <c r="J14" s="559">
        <f t="shared" si="1"/>
        <v>0</v>
      </c>
      <c r="K14" s="559">
        <f t="shared" si="2"/>
        <v>1</v>
      </c>
      <c r="L14" s="559">
        <f t="shared" si="3"/>
        <v>0</v>
      </c>
      <c r="M14" s="559">
        <f t="shared" si="4"/>
        <v>1</v>
      </c>
    </row>
    <row r="15" spans="2:13" s="559" customFormat="1" ht="25.5" customHeight="1">
      <c r="B15" s="1110" t="str">
        <f>IF([1]ACCUEIL!B1=1,"Contributors, partners and group","Apporteurs, associés et groupe")</f>
        <v>Apporteurs, associés et groupe</v>
      </c>
      <c r="C15" s="1111"/>
      <c r="D15" s="216">
        <f>'[1]CLASSE 4'!I314</f>
        <v>0</v>
      </c>
      <c r="E15" s="216">
        <f>+'[1]BALANCE REGROUPE'!I1260+'[1]BALANCE REGROUPE'!I1266+'[1]BALANCE REGROUPE'!I1272+'[1]BALANCE REGROUPE'!I1273+'[1]BALANCE REGROUPE'!I1274+'[1]BALANCE REGROUPE'!I1275</f>
        <v>0</v>
      </c>
      <c r="F15" s="1189">
        <f t="shared" si="0"/>
        <v>0</v>
      </c>
      <c r="G15" s="1114">
        <f>'[1]NOTE 8'!G15</f>
        <v>0</v>
      </c>
      <c r="H15" s="1114">
        <f>'[1]NOTE 8'!H15</f>
        <v>0</v>
      </c>
      <c r="I15" s="1114">
        <f>'[1]NOTE 8'!I15</f>
        <v>0</v>
      </c>
      <c r="J15" s="559">
        <f t="shared" si="1"/>
        <v>0</v>
      </c>
      <c r="K15" s="559">
        <f t="shared" si="2"/>
        <v>1</v>
      </c>
      <c r="L15" s="559">
        <f t="shared" si="3"/>
        <v>0</v>
      </c>
      <c r="M15" s="559">
        <f t="shared" si="4"/>
        <v>1</v>
      </c>
    </row>
    <row r="16" spans="2:13" s="559" customFormat="1" ht="25.5" customHeight="1">
      <c r="B16" s="1204" t="str">
        <f>IF([1]ACCUEIL!B1=1,"Transitional account special adjustment related to the revision of the SYSCOHADA","Compte transitoire ajustement spécial lié à la révision du SYSCOHADA")</f>
        <v>Compte transitoire ajustement spécial lié à la révision du SYSCOHADA</v>
      </c>
      <c r="C16" s="1206"/>
      <c r="D16" s="1257">
        <f>'[1]CLASSE 4'!I373</f>
        <v>0</v>
      </c>
      <c r="E16" s="1257">
        <f>'[1]BALANCE REGROUPE'!I1319</f>
        <v>0</v>
      </c>
      <c r="F16" s="1189">
        <f t="shared" si="0"/>
        <v>0</v>
      </c>
      <c r="G16" s="1114">
        <f>'[1]NOTE 8'!G16</f>
        <v>0</v>
      </c>
      <c r="H16" s="1114">
        <f>'[1]NOTE 8'!H16</f>
        <v>0</v>
      </c>
      <c r="I16" s="1114">
        <f>'[1]NOTE 8'!I16</f>
        <v>0</v>
      </c>
      <c r="J16" s="559">
        <f t="shared" si="1"/>
        <v>0</v>
      </c>
      <c r="K16" s="559">
        <f t="shared" si="2"/>
        <v>1</v>
      </c>
      <c r="L16" s="559">
        <f t="shared" si="3"/>
        <v>0</v>
      </c>
      <c r="M16" s="559">
        <f t="shared" si="4"/>
        <v>1</v>
      </c>
    </row>
    <row r="17" spans="2:13" s="559" customFormat="1" ht="25.5" customHeight="1">
      <c r="B17" s="1204" t="str">
        <f>IF([1]ACCUEIL!B1=1,"Prepaid expenses","Charges constatées d'avance")</f>
        <v>Charges constatées d'avance</v>
      </c>
      <c r="C17" s="1206"/>
      <c r="D17" s="216">
        <f>+'[1]CLASSE 4'!I378</f>
        <v>0</v>
      </c>
      <c r="E17" s="216">
        <f>'[1]BALANCE REGROUPE'!I1324</f>
        <v>0</v>
      </c>
      <c r="F17" s="1189">
        <f>IF(J17=0,0,M17)</f>
        <v>0</v>
      </c>
      <c r="G17" s="1114">
        <f>'[1]NOTE 8'!G17</f>
        <v>0</v>
      </c>
      <c r="H17" s="1114">
        <f>'[1]NOTE 8'!H17</f>
        <v>0</v>
      </c>
      <c r="I17" s="1114">
        <f>'[1]NOTE 8'!I17</f>
        <v>0</v>
      </c>
      <c r="J17" s="1256">
        <f>D17-E17</f>
        <v>0</v>
      </c>
      <c r="K17" s="559">
        <f>IF(E17=0,1,IF(E17&lt;0,(D17-E17)/-E17,(D17-E17)/E17))</f>
        <v>1</v>
      </c>
      <c r="L17" s="559">
        <f>IF(J17=D17,IF(D17&lt;0,-1,0))</f>
        <v>0</v>
      </c>
      <c r="M17" s="559">
        <f>IF(L17=-1,-1,K17)</f>
        <v>1</v>
      </c>
    </row>
    <row r="18" spans="2:13" s="559" customFormat="1" ht="25.5" customHeight="1">
      <c r="B18" s="1110" t="str">
        <f>IF([1]ACCUEIL!B1=1,"Other miscellaneous receivables","Autres débiteurs divers")</f>
        <v>Autres débiteurs divers</v>
      </c>
      <c r="C18" s="1111"/>
      <c r="D18" s="216">
        <f>'[1]CLASSE 4'!I331+'[1]CLASSE 4'!I341+'[1]CLASSE 4'!I349+'[1]CLASSE 4'!I355+'[1]CLASSE 4'!I359+'[1]CLASSE 4'!I367+'[1]CLASSE 4'!I379</f>
        <v>0</v>
      </c>
      <c r="E18" s="216">
        <f>'[1]BALANCE REGROUPE'!I1317+'[1]BALANCE REGROUPE'!I1311+'[1]BALANCE REGROUPE'!I1299+'[1]BALANCE REGROUPE'!I1291+'[1]BALANCE REGROUPE'!I1289+'[1]BALANCE REGROUPE'!I1287+'[1]BALANCE REGROUPE'!I1285+'[1]BALANCE REGROUPE'!I1283+'[1]BALANCE REGROUPE'!I1281+'[1]BALANCE REGROUPE'!I1279+'[1]BALANCE REGROUPE'!I1277+'[1]BALANCE REGROUPE'!I1275+'[1]BALANCE REGROUPE'!I1274+'[1]BALANCE REGROUPE'!I1273</f>
        <v>0</v>
      </c>
      <c r="F18" s="1189">
        <f t="shared" si="0"/>
        <v>0</v>
      </c>
      <c r="G18" s="1114">
        <f>'[1]NOTE 8'!G18</f>
        <v>0</v>
      </c>
      <c r="H18" s="1114">
        <f>'[1]NOTE 8'!H18</f>
        <v>0</v>
      </c>
      <c r="I18" s="1114">
        <f>'[1]NOTE 8'!I18</f>
        <v>0</v>
      </c>
      <c r="J18" s="559">
        <f t="shared" si="1"/>
        <v>0</v>
      </c>
      <c r="K18" s="559">
        <f t="shared" si="2"/>
        <v>1</v>
      </c>
      <c r="L18" s="559">
        <f t="shared" si="3"/>
        <v>0</v>
      </c>
      <c r="M18" s="559">
        <f t="shared" si="4"/>
        <v>1</v>
      </c>
    </row>
    <row r="19" spans="2:13" s="559" customFormat="1" ht="25.5" customHeight="1">
      <c r="B19" s="1204" t="str">
        <f>IF([1]ACCUEIL!B1=1,"Non-blocked permanent accounts of institutions and branches","Comptes permanents non bloqués des établissements et des succursales")</f>
        <v>Comptes permanents non bloqués des établissements et des succursales</v>
      </c>
      <c r="C19" s="1206"/>
      <c r="D19" s="1257">
        <f>'[1]CLASSE 1'!I229</f>
        <v>0</v>
      </c>
      <c r="E19" s="1257">
        <f>+'[1]BALANCE REGROUPE'!I227+'[1]BALANCE REGROUPE'!I229</f>
        <v>0</v>
      </c>
      <c r="F19" s="1189">
        <f t="shared" si="0"/>
        <v>0</v>
      </c>
      <c r="G19" s="1114">
        <f>'[1]NOTE 8'!G19</f>
        <v>0</v>
      </c>
      <c r="H19" s="1114">
        <f>'[1]NOTE 8'!H19</f>
        <v>0</v>
      </c>
      <c r="I19" s="1114">
        <f>'[1]NOTE 8'!I19</f>
        <v>0</v>
      </c>
      <c r="J19" s="559">
        <f t="shared" si="1"/>
        <v>0</v>
      </c>
      <c r="K19" s="559">
        <f t="shared" si="2"/>
        <v>1</v>
      </c>
      <c r="L19" s="559">
        <f t="shared" si="3"/>
        <v>0</v>
      </c>
      <c r="M19" s="559">
        <f t="shared" si="4"/>
        <v>1</v>
      </c>
    </row>
    <row r="20" spans="2:13" s="559" customFormat="1" ht="25.5" customHeight="1">
      <c r="B20" s="1110" t="str">
        <f>IF([1]ACCUEIL!B1=1,"Liaison and expense accounts","Comptes de liaison charges et produits")</f>
        <v>Comptes de liaison charges et produits</v>
      </c>
      <c r="C20" s="1111"/>
      <c r="D20" s="216">
        <f>'[1]CLASSE 1'!I235</f>
        <v>0</v>
      </c>
      <c r="E20" s="216">
        <f>+'[1]BALANCE REGROUPE'!I232</f>
        <v>0</v>
      </c>
      <c r="F20" s="1189">
        <f t="shared" si="0"/>
        <v>0</v>
      </c>
      <c r="G20" s="1114">
        <f>'[1]NOTE 8'!G20</f>
        <v>0</v>
      </c>
      <c r="H20" s="1114">
        <f>'[1]NOTE 8'!H20</f>
        <v>0</v>
      </c>
      <c r="I20" s="1114">
        <f>'[1]NOTE 8'!I20</f>
        <v>0</v>
      </c>
      <c r="J20" s="559">
        <f t="shared" si="1"/>
        <v>0</v>
      </c>
      <c r="K20" s="559">
        <f t="shared" si="2"/>
        <v>1</v>
      </c>
      <c r="L20" s="559">
        <f t="shared" si="3"/>
        <v>0</v>
      </c>
      <c r="M20" s="559">
        <f t="shared" si="4"/>
        <v>1</v>
      </c>
    </row>
    <row r="21" spans="2:13" s="559" customFormat="1" ht="25.5" customHeight="1">
      <c r="B21" s="1204" t="str">
        <f>IF([1]ACCUEIL!B1=1,"Liaison accounts of joint ventures","Comptes de liaison des sociétés en participation")</f>
        <v>Comptes de liaison des sociétés en participation</v>
      </c>
      <c r="C21" s="1206"/>
      <c r="D21" s="216">
        <f>'[1]CLASSE 1'!I236</f>
        <v>0</v>
      </c>
      <c r="E21" s="216">
        <f>+'[1]BALANCE REGROUPE'!I234</f>
        <v>0</v>
      </c>
      <c r="F21" s="1189">
        <f t="shared" si="0"/>
        <v>0</v>
      </c>
      <c r="G21" s="1114">
        <f>'[1]NOTE 8'!G21</f>
        <v>0</v>
      </c>
      <c r="H21" s="1114">
        <f>'[1]NOTE 8'!H21</f>
        <v>0</v>
      </c>
      <c r="I21" s="1114">
        <f>'[1]NOTE 8'!I21</f>
        <v>0</v>
      </c>
      <c r="J21" s="559">
        <f t="shared" si="1"/>
        <v>0</v>
      </c>
      <c r="K21" s="559">
        <f t="shared" si="2"/>
        <v>1</v>
      </c>
      <c r="L21" s="559">
        <f t="shared" si="3"/>
        <v>0</v>
      </c>
      <c r="M21" s="559">
        <f t="shared" si="4"/>
        <v>1</v>
      </c>
    </row>
    <row r="22" spans="2:13" s="559" customFormat="1" ht="25.5" customHeight="1">
      <c r="B22" s="1115" t="str">
        <f>IF([1]ACCUEIL!B1=1,"TOTAL GROSS OTHER RECEIVABLES","TOTAL BRUT AUTRES CREANCES")</f>
        <v>TOTAL BRUT AUTRES CREANCES</v>
      </c>
      <c r="C22" s="1116"/>
      <c r="D22" s="210">
        <f>SUM(D11:D21)</f>
        <v>0</v>
      </c>
      <c r="E22" s="210">
        <f>SUM(E11:E21)</f>
        <v>0</v>
      </c>
      <c r="F22" s="1192">
        <f>IF(J22=0,0,M22)</f>
        <v>0</v>
      </c>
      <c r="G22" s="1114">
        <f>'[1]NOTE 8'!G22</f>
        <v>0</v>
      </c>
      <c r="H22" s="1114">
        <f>'[1]NOTE 8'!H22</f>
        <v>0</v>
      </c>
      <c r="I22" s="1114">
        <f>'[1]NOTE 8'!I22</f>
        <v>0</v>
      </c>
      <c r="J22" s="559">
        <f t="shared" si="1"/>
        <v>0</v>
      </c>
      <c r="K22" s="559">
        <f t="shared" si="2"/>
        <v>1</v>
      </c>
      <c r="L22" s="559">
        <f t="shared" si="3"/>
        <v>0</v>
      </c>
      <c r="M22" s="559">
        <f t="shared" si="4"/>
        <v>1</v>
      </c>
    </row>
    <row r="23" spans="2:13" s="559" customFormat="1" ht="25.5" customHeight="1">
      <c r="B23" s="1110" t="str">
        <f>IF([1]ACCUEIL!B1=1,"Impairment of other receivables","Dépréciations des autres créances")</f>
        <v>Dépréciations des autres créances</v>
      </c>
      <c r="C23" s="1111"/>
      <c r="D23" s="216">
        <f>SUM('[1]CLASSE 4'!J456:J459)+'[1]CLASSE 4'!J467+'[1]CLASSE 4'!J468</f>
        <v>0</v>
      </c>
      <c r="E23" s="216">
        <f>+SUM('[1]BALANCE REGROUPE'!J1400:J1403)+'[1]BALANCE REGROUPE'!J1411+'[1]BALANCE REGROUPE'!J1412</f>
        <v>0</v>
      </c>
      <c r="F23" s="1189">
        <f t="shared" si="0"/>
        <v>0</v>
      </c>
      <c r="G23" s="1114">
        <f>'[1]NOTE 8'!G23</f>
        <v>0</v>
      </c>
      <c r="H23" s="1114">
        <f>'[1]NOTE 8'!H23</f>
        <v>0</v>
      </c>
      <c r="I23" s="1114">
        <f>'[1]NOTE 8'!I23</f>
        <v>0</v>
      </c>
      <c r="J23" s="559">
        <f t="shared" si="1"/>
        <v>0</v>
      </c>
      <c r="K23" s="559">
        <f t="shared" si="2"/>
        <v>1</v>
      </c>
      <c r="L23" s="559">
        <f t="shared" si="3"/>
        <v>0</v>
      </c>
      <c r="M23" s="559">
        <f t="shared" si="4"/>
        <v>1</v>
      </c>
    </row>
    <row r="24" spans="2:13" s="1119" customFormat="1" ht="25.5" customHeight="1">
      <c r="B24" s="1115" t="str">
        <f>IF([1]ACCUEIL!B1=1,"TOTAL NET DEPRECIATION","TOTAL NET DE DEPRECIATION")</f>
        <v>TOTAL NET DE DEPRECIATION</v>
      </c>
      <c r="C24" s="1116"/>
      <c r="D24" s="210">
        <f>D22-D23</f>
        <v>0</v>
      </c>
      <c r="E24" s="210">
        <f>E22-E23</f>
        <v>0</v>
      </c>
      <c r="F24" s="1192">
        <f t="shared" si="0"/>
        <v>0</v>
      </c>
      <c r="G24" s="210">
        <f>G22-G23</f>
        <v>0</v>
      </c>
      <c r="H24" s="210">
        <f>H22-H23</f>
        <v>0</v>
      </c>
      <c r="I24" s="210">
        <f>I22-I23</f>
        <v>0</v>
      </c>
      <c r="J24" s="1119">
        <f t="shared" si="1"/>
        <v>0</v>
      </c>
      <c r="K24" s="1119">
        <f t="shared" si="2"/>
        <v>1</v>
      </c>
      <c r="L24" s="1119">
        <f t="shared" si="3"/>
        <v>0</v>
      </c>
      <c r="M24" s="1119">
        <f t="shared" si="4"/>
        <v>1</v>
      </c>
    </row>
    <row r="25" spans="2:13">
      <c r="B25" s="118"/>
      <c r="C25" s="1348"/>
      <c r="D25" s="1348"/>
      <c r="E25" s="1348"/>
      <c r="F25" s="1348"/>
      <c r="G25" s="1348"/>
      <c r="H25" s="118"/>
      <c r="I25" s="118"/>
    </row>
    <row r="26" spans="2:13" ht="19.899999999999999" customHeight="1">
      <c r="B26" s="1268" t="str">
        <f>'NOTE 7'!B27</f>
        <v>COMMENTAIRE</v>
      </c>
      <c r="C26" s="1733">
        <f>'[1]NOTE 8'!C26:I26</f>
        <v>0</v>
      </c>
      <c r="D26" s="1733"/>
      <c r="E26" s="1733"/>
      <c r="F26" s="1733"/>
      <c r="G26" s="1733"/>
      <c r="H26" s="1733"/>
      <c r="I26" s="1733"/>
    </row>
    <row r="27" spans="2:13" ht="19.899999999999999" customHeight="1">
      <c r="B27" s="118"/>
      <c r="C27" s="1733">
        <f>'[1]NOTE 8'!C27:I27</f>
        <v>0</v>
      </c>
      <c r="D27" s="1733"/>
      <c r="E27" s="1733"/>
      <c r="F27" s="1733"/>
      <c r="G27" s="1733"/>
      <c r="H27" s="1733"/>
      <c r="I27" s="1733"/>
    </row>
    <row r="28" spans="2:13" ht="19.899999999999999" customHeight="1">
      <c r="B28" s="118"/>
      <c r="C28" s="1733">
        <f>'[1]NOTE 8'!C28:I28</f>
        <v>0</v>
      </c>
      <c r="D28" s="1733"/>
      <c r="E28" s="1733"/>
      <c r="F28" s="1733"/>
      <c r="G28" s="1733"/>
      <c r="H28" s="1733"/>
      <c r="I28" s="1733"/>
    </row>
    <row r="29" spans="2:13" ht="19.899999999999999" customHeight="1">
      <c r="B29" s="118"/>
      <c r="C29" s="1733">
        <f>'[1]NOTE 8'!C29:I29</f>
        <v>0</v>
      </c>
      <c r="D29" s="1733"/>
      <c r="E29" s="1733"/>
      <c r="F29" s="1733"/>
      <c r="G29" s="1733"/>
      <c r="H29" s="1733"/>
      <c r="I29" s="1733"/>
    </row>
    <row r="30" spans="2:13" ht="19.899999999999999" customHeight="1">
      <c r="B30" s="118"/>
      <c r="C30" s="1733">
        <f>'[1]NOTE 8'!C30:I30</f>
        <v>0</v>
      </c>
      <c r="D30" s="1733"/>
      <c r="E30" s="1733"/>
      <c r="F30" s="1733"/>
      <c r="G30" s="1733"/>
      <c r="H30" s="1733"/>
      <c r="I30" s="1733"/>
    </row>
    <row r="31" spans="2:13" ht="19.899999999999999" customHeight="1">
      <c r="B31" s="118"/>
      <c r="C31" s="1733">
        <f>'[1]NOTE 8'!C31:I31</f>
        <v>0</v>
      </c>
      <c r="D31" s="1733"/>
      <c r="E31" s="1733"/>
      <c r="F31" s="1733"/>
      <c r="G31" s="1733"/>
      <c r="H31" s="1733"/>
      <c r="I31" s="1733"/>
    </row>
    <row r="32" spans="2:13" ht="19.899999999999999" customHeight="1">
      <c r="B32" s="118"/>
      <c r="C32" s="1733">
        <f>'[1]NOTE 8'!C32:I32</f>
        <v>0</v>
      </c>
      <c r="D32" s="1733"/>
      <c r="E32" s="1733"/>
      <c r="F32" s="1733"/>
      <c r="G32" s="1733"/>
      <c r="H32" s="1733"/>
      <c r="I32" s="1733"/>
    </row>
    <row r="33" spans="2:9" ht="19.899999999999999" customHeight="1">
      <c r="B33" s="118"/>
      <c r="C33" s="1733">
        <f>'[1]NOTE 8'!C33:I33</f>
        <v>0</v>
      </c>
      <c r="D33" s="1733"/>
      <c r="E33" s="1733"/>
      <c r="F33" s="1733"/>
      <c r="G33" s="1733"/>
      <c r="H33" s="1733"/>
      <c r="I33" s="1733"/>
    </row>
    <row r="34" spans="2:9" ht="19.899999999999999" customHeight="1">
      <c r="C34" s="1733">
        <f>'[1]NOTE 8'!C34:I34</f>
        <v>0</v>
      </c>
      <c r="D34" s="1733"/>
      <c r="E34" s="1733"/>
      <c r="F34" s="1733"/>
      <c r="G34" s="1733"/>
      <c r="H34" s="1733"/>
      <c r="I34" s="1733"/>
    </row>
    <row r="35" spans="2:9" ht="19.899999999999999" customHeight="1">
      <c r="C35" s="1733">
        <f>'[1]NOTE 8'!C35:I35</f>
        <v>0</v>
      </c>
      <c r="D35" s="1733"/>
      <c r="E35" s="1733"/>
      <c r="F35" s="1733"/>
      <c r="G35" s="1733"/>
      <c r="H35" s="1733"/>
      <c r="I35" s="1733"/>
    </row>
  </sheetData>
  <sheetProtection selectLockedCells="1"/>
  <mergeCells count="15">
    <mergeCell ref="C33:I33"/>
    <mergeCell ref="C34:I34"/>
    <mergeCell ref="C35:I35"/>
    <mergeCell ref="C27:I27"/>
    <mergeCell ref="C28:I28"/>
    <mergeCell ref="C29:I29"/>
    <mergeCell ref="C30:I30"/>
    <mergeCell ref="C31:I31"/>
    <mergeCell ref="C32:I32"/>
    <mergeCell ref="C26:I26"/>
    <mergeCell ref="B1:I1"/>
    <mergeCell ref="H2:I3"/>
    <mergeCell ref="E7:F7"/>
    <mergeCell ref="B9:I9"/>
    <mergeCell ref="B10:C10"/>
  </mergeCells>
  <conditionalFormatting sqref="H6 E5:F5 D6">
    <cfRule type="expression" dxfId="32" priority="1">
      <formula>#REF!=1</formula>
    </cfRule>
  </conditionalFormatting>
  <printOptions horizontalCentered="1"/>
  <pageMargins left="0.78740157480314965" right="0" top="0.59055118110236227" bottom="0.19685039370078741" header="0.31496062992125984" footer="0.31496062992125984"/>
  <pageSetup paperSize="9" scale="68" orientation="landscape" r:id="rId1"/>
  <headerFooter>
    <oddHeader>&amp;C&amp;"-,Gras"&amp;14Page &amp;P / &amp;N</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29">
    <pageSetUpPr fitToPage="1"/>
  </sheetPr>
  <dimension ref="B1:L36"/>
  <sheetViews>
    <sheetView showZeros="0" topLeftCell="A2" zoomScale="80" zoomScaleNormal="80" zoomScaleSheetLayoutView="100" workbookViewId="0">
      <selection activeCell="E32" sqref="E32"/>
    </sheetView>
  </sheetViews>
  <sheetFormatPr baseColWidth="10" defaultColWidth="11.42578125" defaultRowHeight="15"/>
  <cols>
    <col min="1" max="1" width="7.5703125" style="2" customWidth="1"/>
    <col min="2" max="2" width="29.42578125" style="2" customWidth="1"/>
    <col min="3" max="3" width="15.5703125" style="2" customWidth="1"/>
    <col min="4" max="4" width="11.42578125" style="2"/>
    <col min="5" max="5" width="17.85546875" style="2" customWidth="1"/>
    <col min="6" max="6" width="12.7109375" style="2" bestFit="1" customWidth="1"/>
    <col min="7" max="7" width="16.7109375" style="2" customWidth="1"/>
    <col min="8" max="8" width="22.42578125" style="2" bestFit="1" customWidth="1"/>
    <col min="9" max="9" width="16" style="2" customWidth="1"/>
    <col min="10" max="16384" width="11.42578125" style="2"/>
  </cols>
  <sheetData>
    <row r="1" spans="2:12" ht="15" customHeight="1">
      <c r="B1" s="144"/>
      <c r="C1" s="1788"/>
      <c r="D1" s="1788"/>
      <c r="E1" s="1788"/>
      <c r="F1" s="1788"/>
      <c r="G1" s="1788"/>
    </row>
    <row r="2" spans="2:12" ht="16.5" customHeight="1">
      <c r="B2" s="144"/>
      <c r="C2" s="144"/>
      <c r="D2" s="144"/>
      <c r="E2" s="144"/>
      <c r="F2" s="144"/>
      <c r="G2" s="144"/>
      <c r="H2" s="1650" t="str">
        <f>IF([1]ACCUEIL!B1=1,"NOTE 8 A
NORMAL SYSTEM","NOTE 8 A
SYSTEME NORMAL")</f>
        <v>NOTE 8 A
SYSTEME NORMAL</v>
      </c>
      <c r="I2" s="1651"/>
      <c r="J2" s="235"/>
    </row>
    <row r="3" spans="2:12" ht="12.75" customHeight="1">
      <c r="B3" s="144"/>
      <c r="C3" s="144"/>
      <c r="D3" s="144"/>
      <c r="E3" s="312"/>
      <c r="F3" s="144"/>
      <c r="G3" s="144"/>
      <c r="H3" s="1652"/>
      <c r="I3" s="1653"/>
      <c r="J3" s="235"/>
    </row>
    <row r="4" spans="2:12" ht="16.5" customHeight="1">
      <c r="B4" s="43" t="str">
        <f>'NOTE 8'!B4</f>
        <v>Désignation entité:</v>
      </c>
      <c r="C4" s="313" t="str">
        <f>'NOTE 8'!C4</f>
        <v/>
      </c>
      <c r="D4" s="313"/>
      <c r="E4" s="428"/>
      <c r="F4" s="428"/>
      <c r="G4" s="314"/>
      <c r="H4" s="314"/>
      <c r="I4" s="428"/>
      <c r="J4" s="235"/>
      <c r="K4" s="1810"/>
      <c r="L4" s="1810"/>
    </row>
    <row r="5" spans="2:12">
      <c r="B5" s="43" t="str">
        <f>'NOTE 8'!B5</f>
        <v>Sigle usuel :</v>
      </c>
      <c r="C5" s="587" t="str">
        <f>'NOTE 8'!C5</f>
        <v/>
      </c>
      <c r="E5" s="588"/>
      <c r="F5" s="588"/>
      <c r="G5" s="589"/>
      <c r="H5" s="402"/>
      <c r="I5" s="430"/>
      <c r="J5" s="235"/>
      <c r="K5" s="1810"/>
      <c r="L5" s="1810"/>
    </row>
    <row r="6" spans="2:12">
      <c r="B6" s="476" t="str">
        <f>'NOTE 8'!B6</f>
        <v>Adresse:</v>
      </c>
      <c r="C6" s="313">
        <f>'NOTE 8'!C6</f>
        <v>0</v>
      </c>
      <c r="D6" s="455"/>
      <c r="E6" s="175"/>
      <c r="F6" s="175"/>
      <c r="G6" s="175"/>
      <c r="H6" s="317" t="str">
        <f>'NOTE 8'!H6</f>
        <v>BP:</v>
      </c>
      <c r="I6" s="402" t="str">
        <f>'NOTE 8'!I6</f>
        <v/>
      </c>
    </row>
    <row r="7" spans="2:12">
      <c r="B7" s="43" t="str">
        <f>'NOTE 8'!B7</f>
        <v>Numéro d'identification:</v>
      </c>
      <c r="C7" s="402" t="str">
        <f>'NOTE 8'!C7</f>
        <v/>
      </c>
      <c r="D7" s="175"/>
      <c r="E7" s="1777" t="str">
        <f>'NOTE 8'!E7:F7</f>
        <v xml:space="preserve">   Exercice clos le 31 - 12- </v>
      </c>
      <c r="F7" s="1701"/>
      <c r="G7" s="402">
        <f>'NOTE 8'!G7</f>
        <v>2025</v>
      </c>
      <c r="H7" s="481" t="str">
        <f>'NOTE 8'!H7</f>
        <v xml:space="preserve">    Durée (en mois):</v>
      </c>
      <c r="I7" s="402">
        <f>'NOTE 8'!I7</f>
        <v>12</v>
      </c>
    </row>
    <row r="8" spans="2:12">
      <c r="B8" s="144"/>
      <c r="C8" s="43"/>
      <c r="D8" s="43"/>
      <c r="E8" s="144"/>
      <c r="F8" s="43"/>
      <c r="G8" s="43"/>
      <c r="H8" s="43"/>
      <c r="I8" s="144"/>
    </row>
    <row r="9" spans="2:12" ht="27" customHeight="1">
      <c r="B9" s="1789" t="str">
        <f>+IF([1]ACCUEIL!B1=1,"NOTE 8 A STATEMENT OF NON-CURRENT EXPENSES","NOTE 8 A TABLEAU D'ETALEMENT DES CHARGES IMMOBILISEES")</f>
        <v>NOTE 8 A TABLEAU D'ETALEMENT DES CHARGES IMMOBILISEES</v>
      </c>
      <c r="C9" s="1789"/>
      <c r="D9" s="1789"/>
      <c r="E9" s="1789"/>
      <c r="F9" s="1789"/>
      <c r="G9" s="1789"/>
      <c r="H9" s="1789"/>
      <c r="I9" s="1789"/>
    </row>
    <row r="10" spans="2:12" ht="36.75" customHeight="1">
      <c r="B10" s="1795" t="str">
        <f>'NOTE 8'!B10:C10</f>
        <v xml:space="preserve">      RUBRIQUES</v>
      </c>
      <c r="C10" s="1796"/>
      <c r="D10" s="1811" t="str">
        <f>IF([1]ACCUEIL!B1=1,"Establishment fees","Frais d'établissement")</f>
        <v>Frais d'établissement</v>
      </c>
      <c r="E10" s="1812"/>
      <c r="F10" s="1811" t="str">
        <f>IF([1]ACCUEIL!B1=1,"Expenses to be spread over several years","Charges à repartir sur plusieurs exercice")</f>
        <v>Charges à repartir sur plusieurs exercice</v>
      </c>
      <c r="G10" s="1812"/>
      <c r="H10" s="1811" t="str">
        <f>IF([1]ACCUEIL!B1=1,"Bond redemption premiums","Primes de remboursement des obligations")</f>
        <v>Primes de remboursement des obligations</v>
      </c>
      <c r="I10" s="1812"/>
    </row>
    <row r="11" spans="2:12">
      <c r="B11" s="1815" t="str">
        <f>IF([1]ACCUEIL!B1=1,"Total amount to be spread as at 1 January 2018","Montant global à étaler au 1er janvier 2018")</f>
        <v>Montant global à étaler au 1er janvier 2018</v>
      </c>
      <c r="C11" s="1816"/>
      <c r="D11" s="470">
        <f>'[1]NOTE 8 A'!D11</f>
        <v>0</v>
      </c>
      <c r="E11" s="470">
        <f>'[1]NOTE 8 A'!E11</f>
        <v>0</v>
      </c>
      <c r="F11" s="470">
        <f>'[1]NOTE 8 A'!F11</f>
        <v>0</v>
      </c>
      <c r="G11" s="470">
        <f>'[1]NOTE 8 A'!G11</f>
        <v>0</v>
      </c>
      <c r="H11" s="470">
        <f>'[1]NOTE 8 A'!H11</f>
        <v>0</v>
      </c>
      <c r="I11" s="470">
        <f>'[1]NOTE 8 A'!I11</f>
        <v>0</v>
      </c>
    </row>
    <row r="12" spans="2:12">
      <c r="B12" s="1815" t="str">
        <f>IF([1]ACCUEIL!B1=1,"Duration of spreading retained","Durée d'étalement retenue")</f>
        <v>Durée d'étalement retenue</v>
      </c>
      <c r="C12" s="1816"/>
      <c r="D12" s="470">
        <f>'[1]NOTE 8 A'!D12</f>
        <v>0</v>
      </c>
      <c r="E12" s="470">
        <f>'[1]NOTE 8 A'!E12</f>
        <v>0</v>
      </c>
      <c r="F12" s="470">
        <f>'[1]NOTE 8 A'!F12</f>
        <v>0</v>
      </c>
      <c r="G12" s="470">
        <f>'[1]NOTE 8 A'!G12</f>
        <v>0</v>
      </c>
      <c r="H12" s="470">
        <f>'[1]NOTE 8 A'!H12</f>
        <v>0</v>
      </c>
      <c r="I12" s="470">
        <f>'[1]NOTE 8 A'!I12</f>
        <v>0</v>
      </c>
    </row>
    <row r="13" spans="2:12">
      <c r="B13" s="1817" t="str">
        <f>IF([1]ACCUEIL!B1=1,"Fiscal year 2018","Exercice 2018")</f>
        <v>Exercice 2018</v>
      </c>
      <c r="C13" s="1818"/>
      <c r="D13" s="590" t="str">
        <f>IF([1]ACCUEIL!B1=1,"Accounts","Comptes")</f>
        <v>Comptes</v>
      </c>
      <c r="E13" s="590" t="str">
        <f>IF([1]ACCUEIL!B1=1,"Amounts","Montants")</f>
        <v>Montants</v>
      </c>
      <c r="F13" s="590" t="str">
        <f>D13</f>
        <v>Comptes</v>
      </c>
      <c r="G13" s="590" t="str">
        <f>E13</f>
        <v>Montants</v>
      </c>
      <c r="H13" s="590" t="str">
        <f>F13</f>
        <v>Comptes</v>
      </c>
      <c r="I13" s="590" t="str">
        <f>G13</f>
        <v>Montants</v>
      </c>
    </row>
    <row r="14" spans="2:12">
      <c r="B14" s="1819"/>
      <c r="C14" s="1820"/>
      <c r="D14" s="470" t="str">
        <f>'[1]NOTE 8 A'!D14</f>
        <v>60…</v>
      </c>
      <c r="E14" s="470">
        <f>'[1]NOTE 8 A'!E14</f>
        <v>0</v>
      </c>
      <c r="F14" s="470" t="str">
        <f>'[1]NOTE 8 A'!F14</f>
        <v>60…</v>
      </c>
      <c r="G14" s="470">
        <f>'[1]NOTE 8 A'!G14</f>
        <v>0</v>
      </c>
      <c r="H14" s="591" t="s">
        <v>263</v>
      </c>
      <c r="I14" s="470">
        <f>'[1]NOTE 8 A'!I14</f>
        <v>0</v>
      </c>
    </row>
    <row r="15" spans="2:12">
      <c r="B15" s="1819"/>
      <c r="C15" s="1820"/>
      <c r="D15" s="470" t="str">
        <f>'[1]NOTE 8 A'!D15</f>
        <v>61…</v>
      </c>
      <c r="E15" s="470">
        <f>'[1]NOTE 8 A'!E15</f>
        <v>0</v>
      </c>
      <c r="F15" s="470" t="str">
        <f>'[1]NOTE 8 A'!F15</f>
        <v>61…</v>
      </c>
      <c r="G15" s="470">
        <f>'[1]NOTE 8 A'!G15</f>
        <v>0</v>
      </c>
      <c r="H15" s="592"/>
      <c r="I15" s="470">
        <f>'[1]NOTE 8 A'!I15</f>
        <v>0</v>
      </c>
    </row>
    <row r="16" spans="2:12">
      <c r="B16" s="1819"/>
      <c r="C16" s="1820"/>
      <c r="D16" s="470" t="str">
        <f>'[1]NOTE 8 A'!D16</f>
        <v>62…</v>
      </c>
      <c r="E16" s="470">
        <f>'[1]NOTE 8 A'!E16</f>
        <v>0</v>
      </c>
      <c r="F16" s="470" t="str">
        <f>'[1]NOTE 8 A'!F16</f>
        <v>62…</v>
      </c>
      <c r="G16" s="470">
        <f>'[1]NOTE 8 A'!G16</f>
        <v>0</v>
      </c>
      <c r="H16" s="592"/>
      <c r="I16" s="470">
        <f>'[1]NOTE 8 A'!I16</f>
        <v>0</v>
      </c>
    </row>
    <row r="17" spans="2:9">
      <c r="B17" s="1819"/>
      <c r="C17" s="1820"/>
      <c r="D17" s="470" t="str">
        <f>'[1]NOTE 8 A'!D17</f>
        <v>63…</v>
      </c>
      <c r="E17" s="470">
        <f>'[1]NOTE 8 A'!E17</f>
        <v>0</v>
      </c>
      <c r="F17" s="470" t="str">
        <f>'[1]NOTE 8 A'!F17</f>
        <v>63…</v>
      </c>
      <c r="G17" s="470">
        <f>'[1]NOTE 8 A'!G17</f>
        <v>0</v>
      </c>
      <c r="H17" s="592"/>
      <c r="I17" s="470">
        <f>'[1]NOTE 8 A'!I17</f>
        <v>0</v>
      </c>
    </row>
    <row r="18" spans="2:9">
      <c r="B18" s="1819"/>
      <c r="C18" s="1820"/>
      <c r="D18" s="470">
        <f>'[1]NOTE 8 A'!D18</f>
        <v>0</v>
      </c>
      <c r="E18" s="470">
        <f>'[1]NOTE 8 A'!E18</f>
        <v>0</v>
      </c>
      <c r="F18" s="470">
        <f>'[1]NOTE 8 A'!F18</f>
        <v>0</v>
      </c>
      <c r="G18" s="470">
        <f>'[1]NOTE 8 A'!G18</f>
        <v>0</v>
      </c>
      <c r="H18" s="592"/>
      <c r="I18" s="470">
        <f>'[1]NOTE 8 A'!I18</f>
        <v>0</v>
      </c>
    </row>
    <row r="19" spans="2:9">
      <c r="B19" s="1819"/>
      <c r="C19" s="1820"/>
      <c r="D19" s="470">
        <f>'[1]NOTE 8 A'!D19</f>
        <v>0</v>
      </c>
      <c r="E19" s="470">
        <f>'[1]NOTE 8 A'!E19</f>
        <v>0</v>
      </c>
      <c r="F19" s="470">
        <f>'[1]NOTE 8 A'!F19</f>
        <v>0</v>
      </c>
      <c r="G19" s="470">
        <f>'[1]NOTE 8 A'!G19</f>
        <v>0</v>
      </c>
      <c r="H19" s="592"/>
      <c r="I19" s="470">
        <f>'[1]NOTE 8 A'!I19</f>
        <v>0</v>
      </c>
    </row>
    <row r="20" spans="2:9">
      <c r="B20" s="1819"/>
      <c r="C20" s="1820"/>
      <c r="D20" s="470">
        <f>'[1]NOTE 8 A'!D20</f>
        <v>0</v>
      </c>
      <c r="E20" s="470">
        <f>'[1]NOTE 8 A'!E20</f>
        <v>0</v>
      </c>
      <c r="F20" s="470">
        <f>'[1]NOTE 8 A'!F20</f>
        <v>0</v>
      </c>
      <c r="G20" s="470">
        <f>'[1]NOTE 8 A'!G20</f>
        <v>0</v>
      </c>
      <c r="H20" s="592"/>
      <c r="I20" s="470">
        <f>'[1]NOTE 8 A'!I20</f>
        <v>0</v>
      </c>
    </row>
    <row r="21" spans="2:9">
      <c r="B21" s="1819"/>
      <c r="C21" s="1820"/>
      <c r="D21" s="470">
        <f>'[1]NOTE 8 A'!D21</f>
        <v>0</v>
      </c>
      <c r="E21" s="470">
        <f>'[1]NOTE 8 A'!E21</f>
        <v>0</v>
      </c>
      <c r="F21" s="470">
        <f>'[1]NOTE 8 A'!F21</f>
        <v>0</v>
      </c>
      <c r="G21" s="470">
        <f>'[1]NOTE 8 A'!G21</f>
        <v>0</v>
      </c>
      <c r="H21" s="592"/>
      <c r="I21" s="470">
        <f>'[1]NOTE 8 A'!I21</f>
        <v>0</v>
      </c>
    </row>
    <row r="22" spans="2:9">
      <c r="B22" s="1819"/>
      <c r="C22" s="1820"/>
      <c r="D22" s="470">
        <f>'[1]NOTE 8 A'!D22</f>
        <v>0</v>
      </c>
      <c r="E22" s="470">
        <f>'[1]NOTE 8 A'!E22</f>
        <v>0</v>
      </c>
      <c r="F22" s="470">
        <f>'[1]NOTE 8 A'!F22</f>
        <v>0</v>
      </c>
      <c r="G22" s="470">
        <f>'[1]NOTE 8 A'!G22</f>
        <v>0</v>
      </c>
      <c r="H22" s="592"/>
      <c r="I22" s="470">
        <f>'[1]NOTE 8 A'!I22</f>
        <v>0</v>
      </c>
    </row>
    <row r="23" spans="2:9">
      <c r="B23" s="1819"/>
      <c r="C23" s="1820"/>
      <c r="D23" s="470">
        <f>'[1]NOTE 8 A'!D23</f>
        <v>0</v>
      </c>
      <c r="E23" s="470">
        <f>'[1]NOTE 8 A'!E23</f>
        <v>0</v>
      </c>
      <c r="F23" s="470">
        <f>'[1]NOTE 8 A'!F23</f>
        <v>0</v>
      </c>
      <c r="G23" s="470">
        <f>'[1]NOTE 8 A'!G23</f>
        <v>0</v>
      </c>
      <c r="H23" s="592"/>
      <c r="I23" s="470">
        <f>'[1]NOTE 8 A'!I23</f>
        <v>0</v>
      </c>
    </row>
    <row r="24" spans="2:9">
      <c r="B24" s="1819"/>
      <c r="C24" s="1820"/>
      <c r="D24" s="470">
        <f>'[1]NOTE 8 A'!D24</f>
        <v>0</v>
      </c>
      <c r="E24" s="470">
        <f>'[1]NOTE 8 A'!E24</f>
        <v>0</v>
      </c>
      <c r="F24" s="470">
        <f>'[1]NOTE 8 A'!F24</f>
        <v>0</v>
      </c>
      <c r="G24" s="470">
        <f>'[1]NOTE 8 A'!G24</f>
        <v>0</v>
      </c>
      <c r="H24" s="592"/>
      <c r="I24" s="470">
        <f>'[1]NOTE 8 A'!I24</f>
        <v>0</v>
      </c>
    </row>
    <row r="25" spans="2:9">
      <c r="B25" s="1821"/>
      <c r="C25" s="1822"/>
      <c r="D25" s="470" t="str">
        <f>'[1]NOTE 8 A'!D25</f>
        <v>….</v>
      </c>
      <c r="E25" s="470">
        <f>'[1]NOTE 8 A'!E25</f>
        <v>0</v>
      </c>
      <c r="F25" s="470" t="str">
        <f>'[1]NOTE 8 A'!F25</f>
        <v>…</v>
      </c>
      <c r="G25" s="470">
        <f>'[1]NOTE 8 A'!G25</f>
        <v>0</v>
      </c>
      <c r="H25" s="592"/>
      <c r="I25" s="470">
        <f>'[1]NOTE 8 A'!I25</f>
        <v>0</v>
      </c>
    </row>
    <row r="26" spans="2:9">
      <c r="B26" s="1813" t="str">
        <f>IF([1]ACCUEIL!$B$1=1,"Total the 2018 financial year","Total exercice 2018")</f>
        <v>Total exercice 2018</v>
      </c>
      <c r="C26" s="1814"/>
      <c r="D26" s="592"/>
      <c r="E26" s="470">
        <f>'[1]NOTE 8 A'!E26</f>
        <v>0</v>
      </c>
      <c r="F26" s="592"/>
      <c r="G26" s="470">
        <f>'[1]NOTE 8 A'!G26</f>
        <v>0</v>
      </c>
      <c r="H26" s="592"/>
      <c r="I26" s="470">
        <f>'[1]NOTE 8 A'!I26</f>
        <v>0</v>
      </c>
    </row>
    <row r="27" spans="2:9">
      <c r="B27" s="1813" t="str">
        <f>IF([1]ACCUEIL!$B$1=1,"Total the 2019 financial year","Total exercice 2019")</f>
        <v>Total exercice 2019</v>
      </c>
      <c r="C27" s="1814"/>
      <c r="D27" s="592"/>
      <c r="E27" s="470">
        <f>'[1]NOTE 8 A'!E27</f>
        <v>0</v>
      </c>
      <c r="F27" s="592"/>
      <c r="G27" s="470">
        <f>'[1]NOTE 8 A'!G27</f>
        <v>0</v>
      </c>
      <c r="H27" s="592"/>
      <c r="I27" s="470">
        <f>'[1]NOTE 8 A'!I27</f>
        <v>0</v>
      </c>
    </row>
    <row r="28" spans="2:9">
      <c r="B28" s="1813" t="str">
        <f>IF([1]ACCUEIL!$B$1=1,"Total the 2020 financial year","Total exercice 2020")</f>
        <v>Total exercice 2020</v>
      </c>
      <c r="C28" s="1814"/>
      <c r="D28" s="592"/>
      <c r="E28" s="470">
        <f>'[1]NOTE 8 A'!E28</f>
        <v>0</v>
      </c>
      <c r="F28" s="592"/>
      <c r="G28" s="470">
        <f>'[1]NOTE 8 A'!G28</f>
        <v>0</v>
      </c>
      <c r="H28" s="592"/>
      <c r="I28" s="470">
        <f>'[1]NOTE 8 A'!I28</f>
        <v>0</v>
      </c>
    </row>
    <row r="29" spans="2:9">
      <c r="B29" s="1813" t="str">
        <f>IF([1]ACCUEIL!$B$1=1,"Total the 2021 financial year","Total exercice 2021")</f>
        <v>Total exercice 2021</v>
      </c>
      <c r="C29" s="1814"/>
      <c r="D29" s="592"/>
      <c r="E29" s="470">
        <f>'[1]NOTE 8 A'!E29</f>
        <v>0</v>
      </c>
      <c r="F29" s="592"/>
      <c r="G29" s="470">
        <f>'[1]NOTE 8 A'!G29</f>
        <v>0</v>
      </c>
      <c r="H29" s="592"/>
      <c r="I29" s="470">
        <f>'[1]NOTE 8 A'!I29</f>
        <v>0</v>
      </c>
    </row>
    <row r="30" spans="2:9">
      <c r="B30" s="1813" t="str">
        <f>IF([1]ACCUEIL!$B$1=1,"Total the 2022 financial year","Total exercice 2022")</f>
        <v>Total exercice 2022</v>
      </c>
      <c r="C30" s="1814"/>
      <c r="D30" s="592"/>
      <c r="E30" s="470">
        <f>'[1]NOTE 8 A'!E30</f>
        <v>0</v>
      </c>
      <c r="F30" s="592"/>
      <c r="G30" s="470">
        <f>'[1]NOTE 8 A'!G30</f>
        <v>0</v>
      </c>
      <c r="H30" s="592"/>
      <c r="I30" s="470">
        <f>'[1]NOTE 8 A'!I30</f>
        <v>0</v>
      </c>
    </row>
    <row r="31" spans="2:9">
      <c r="B31" s="1813" t="s">
        <v>58</v>
      </c>
      <c r="C31" s="1814"/>
      <c r="D31" s="593"/>
      <c r="E31" s="594">
        <f>SUM(E14:E30)</f>
        <v>0</v>
      </c>
      <c r="F31" s="593"/>
      <c r="G31" s="594">
        <f>SUM(G14:G30)</f>
        <v>0</v>
      </c>
      <c r="H31" s="593"/>
      <c r="I31" s="594">
        <f>SUM(I14:I30)</f>
        <v>0</v>
      </c>
    </row>
    <row r="36" spans="8:8">
      <c r="H36" s="371"/>
    </row>
  </sheetData>
  <sheetProtection selectLockedCells="1"/>
  <mergeCells count="18">
    <mergeCell ref="H10:I10"/>
    <mergeCell ref="B31:C31"/>
    <mergeCell ref="B11:C11"/>
    <mergeCell ref="B12:C12"/>
    <mergeCell ref="B13:C25"/>
    <mergeCell ref="B26:C26"/>
    <mergeCell ref="B27:C27"/>
    <mergeCell ref="B28:C28"/>
    <mergeCell ref="B29:C29"/>
    <mergeCell ref="B30:C30"/>
    <mergeCell ref="B10:C10"/>
    <mergeCell ref="D10:E10"/>
    <mergeCell ref="F10:G10"/>
    <mergeCell ref="C1:G1"/>
    <mergeCell ref="H2:I3"/>
    <mergeCell ref="K4:L5"/>
    <mergeCell ref="E7:F7"/>
    <mergeCell ref="B9:I9"/>
  </mergeCells>
  <conditionalFormatting sqref="H6 E5:F5 D6">
    <cfRule type="expression" dxfId="31" priority="1">
      <formula>#REF!=1</formula>
    </cfRule>
  </conditionalFormatting>
  <printOptions horizontalCentered="1"/>
  <pageMargins left="0.78740157480314965" right="0" top="0.59055118110236227" bottom="0.19685039370078741" header="0.31496062992125984" footer="0.31496062992125984"/>
  <pageSetup paperSize="9" scale="95" orientation="landscape" r:id="rId1"/>
  <headerFooter>
    <oddHeader>&amp;C&amp;"-,Gras"&amp;14Page &amp;P / &amp;N</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55">
    <pageSetUpPr fitToPage="1"/>
  </sheetPr>
  <dimension ref="B1:K22"/>
  <sheetViews>
    <sheetView showGridLines="0" showZeros="0" topLeftCell="A7" zoomScaleNormal="100" workbookViewId="0">
      <selection activeCell="I17" sqref="I17:K22"/>
    </sheetView>
  </sheetViews>
  <sheetFormatPr baseColWidth="10" defaultColWidth="11.5703125" defaultRowHeight="15"/>
  <cols>
    <col min="1" max="1" width="6.42578125" customWidth="1"/>
    <col min="2" max="2" width="14.7109375" customWidth="1"/>
    <col min="3" max="3" width="12.140625" customWidth="1"/>
    <col min="5" max="5" width="11.42578125" customWidth="1"/>
    <col min="6" max="6" width="13.28515625" customWidth="1"/>
    <col min="7" max="7" width="9.42578125" customWidth="1"/>
    <col min="8" max="8" width="10.140625" customWidth="1"/>
    <col min="9" max="9" width="8.140625" customWidth="1"/>
    <col min="10" max="10" width="21.140625" customWidth="1"/>
    <col min="11" max="11" width="10.42578125" customWidth="1"/>
  </cols>
  <sheetData>
    <row r="1" spans="2:11" ht="10.5" customHeight="1">
      <c r="B1" s="1826"/>
      <c r="C1" s="1826"/>
      <c r="D1" s="1826"/>
      <c r="E1" s="1826"/>
      <c r="F1" s="1826"/>
      <c r="G1" s="1826"/>
      <c r="H1" s="1826"/>
      <c r="I1" s="1826"/>
      <c r="J1" s="1826"/>
      <c r="K1" s="1826"/>
    </row>
    <row r="2" spans="2:11" ht="29.25" customHeight="1">
      <c r="B2" s="489"/>
      <c r="C2" s="489"/>
      <c r="D2" s="489"/>
      <c r="E2" s="489"/>
      <c r="F2" s="489"/>
      <c r="G2" s="489"/>
      <c r="H2" s="489"/>
      <c r="J2" s="1827" t="str">
        <f>IF([1]ACCUEIL!B1=1,"NOTE 8 B
NORMAL SYSTEM","NOTE 8 B
SYSTEME NORMAL")</f>
        <v>NOTE 8 B
SYSTEME NORMAL</v>
      </c>
      <c r="K2" s="1828"/>
    </row>
    <row r="3" spans="2:11">
      <c r="B3" s="1829" t="str">
        <f>+'NOTE 8 A'!B4</f>
        <v>Désignation entité:</v>
      </c>
      <c r="C3" s="1829"/>
      <c r="D3" s="1830" t="str">
        <f>+'NOTE 8 A'!C4</f>
        <v/>
      </c>
      <c r="E3" s="1830"/>
      <c r="F3" s="1830"/>
      <c r="G3" s="1830"/>
      <c r="H3" s="1830"/>
      <c r="I3" s="1830"/>
      <c r="J3" s="1830"/>
      <c r="K3" s="1830"/>
    </row>
    <row r="4" spans="2:11">
      <c r="B4" s="1829" t="str">
        <f>+'NOTE 8 A'!B5</f>
        <v>Sigle usuel :</v>
      </c>
      <c r="C4" s="1829"/>
      <c r="D4" s="595" t="str">
        <f>'NOTE 8 A'!C5</f>
        <v/>
      </c>
      <c r="F4" s="596"/>
      <c r="G4" s="596"/>
      <c r="J4" s="597"/>
      <c r="K4" s="597"/>
    </row>
    <row r="5" spans="2:11">
      <c r="B5" s="1831" t="str">
        <f>+'NOTE 8 A'!B6</f>
        <v>Adresse:</v>
      </c>
      <c r="C5" s="1829"/>
      <c r="D5" s="596">
        <f>+'NOTE 8 A'!C6</f>
        <v>0</v>
      </c>
      <c r="E5" s="595"/>
      <c r="F5" s="595"/>
      <c r="G5" s="595"/>
      <c r="H5" s="598"/>
      <c r="I5" s="599"/>
      <c r="J5" s="600" t="str">
        <f>+'NOTE 8 A'!H6</f>
        <v>BP:</v>
      </c>
      <c r="K5" s="601" t="str">
        <f>'NOTE 8 A'!I6</f>
        <v/>
      </c>
    </row>
    <row r="6" spans="2:11">
      <c r="B6" s="1829" t="str">
        <f>+'NOTE 8 A'!B7</f>
        <v>Numéro d'identification:</v>
      </c>
      <c r="C6" s="1829"/>
      <c r="D6" s="595" t="str">
        <f>+'NOTE 8 A'!C7</f>
        <v/>
      </c>
      <c r="E6" s="595"/>
      <c r="F6" s="602"/>
      <c r="G6" s="1832" t="str">
        <f>+'NOTE 8 A'!E7</f>
        <v xml:space="preserve">   Exercice clos le 31 - 12- </v>
      </c>
      <c r="H6" s="1833"/>
      <c r="I6" s="599">
        <f>'NOTE 8 A'!G7</f>
        <v>2025</v>
      </c>
      <c r="J6" s="603" t="str">
        <f>+'NOTE 8 A'!H7</f>
        <v xml:space="preserve">    Durée (en mois):</v>
      </c>
      <c r="K6" s="601">
        <f>'NOTE 8 A'!I7</f>
        <v>12</v>
      </c>
    </row>
    <row r="7" spans="2:11">
      <c r="B7" s="604"/>
      <c r="C7" s="604"/>
      <c r="D7" s="605"/>
      <c r="E7" s="605"/>
      <c r="F7" s="605"/>
      <c r="G7" s="606"/>
      <c r="H7" s="607"/>
      <c r="I7" s="607"/>
      <c r="J7" s="608"/>
      <c r="K7" s="605"/>
    </row>
    <row r="8" spans="2:11">
      <c r="B8" s="1638" t="str">
        <f>IF([1]ACCUEIL!B1=1,"NOTE 8 B: AMORTISATION OF PROVISIONS FOR DEFERRED CHARGES","NOTE 8 B : TABLEAU D’ETALEMENT DE PROVISIONS POUR CHARGES A REPARTIR")</f>
        <v>NOTE 8 B : TABLEAU D’ETALEMENT DE PROVISIONS POUR CHARGES A REPARTIR</v>
      </c>
      <c r="C8" s="1638"/>
      <c r="D8" s="1638"/>
      <c r="E8" s="1638"/>
      <c r="F8" s="1638"/>
      <c r="G8" s="1638"/>
      <c r="H8" s="1638"/>
      <c r="I8" s="1638"/>
      <c r="J8" s="1638"/>
      <c r="K8" s="1638"/>
    </row>
    <row r="10" spans="2:11" ht="15" customHeight="1">
      <c r="B10" s="1834" t="str">
        <f>'NOTE 8 A'!B10:C10</f>
        <v xml:space="preserve">      RUBRIQUES</v>
      </c>
      <c r="C10" s="1742"/>
      <c r="D10" s="1742"/>
      <c r="E10" s="1742"/>
      <c r="F10" s="1743" t="str">
        <f>IF([1]ACCUEIL!B1=1,"PROVISIONS FOR EXPENSES TO BE ALLOCATED","PROVISIONS POUR CHARGES A REPARTIR")</f>
        <v>PROVISIONS POUR CHARGES A REPARTIR</v>
      </c>
      <c r="G10" s="1835"/>
      <c r="H10" s="1835"/>
      <c r="I10" s="1835"/>
      <c r="J10" s="1835"/>
      <c r="K10" s="1744"/>
    </row>
    <row r="11" spans="2:11" ht="15" customHeight="1">
      <c r="B11" s="1823" t="str">
        <f>IF([1]ACCUEIL!B1=1,"Transitional account to be settled: 4752 transitional account, special adjustment related to the revision of SYSCOHADA, liability account","Compte transitoire à solder: 4752 compte transitoire, ajustement spécial lié à la révision du SYSCOHADA, compte-passif")</f>
        <v>Compte transitoire à solder: 4752 compte transitoire, ajustement spécial lié à la révision du SYSCOHADA, compte-passif</v>
      </c>
      <c r="C11" s="1824"/>
      <c r="D11" s="1824"/>
      <c r="E11" s="1824"/>
      <c r="F11" s="1824"/>
      <c r="G11" s="1824"/>
      <c r="H11" s="1824"/>
      <c r="I11" s="1824"/>
      <c r="J11" s="1824"/>
      <c r="K11" s="1825"/>
    </row>
    <row r="12" spans="2:11" ht="15" customHeight="1">
      <c r="B12" s="1841" t="str">
        <f>IF([1]ACCUEIL!B1=1,"Total amount to be spread as at 1 January 2018","Montant global à étaler au 1er janvier 2018")</f>
        <v>Montant global à étaler au 1er janvier 2018</v>
      </c>
      <c r="C12" s="1841"/>
      <c r="D12" s="1841"/>
      <c r="E12" s="1841"/>
      <c r="F12" s="1842">
        <f>'[1]NOTE 8 B'!F12:K12</f>
        <v>0</v>
      </c>
      <c r="G12" s="1839"/>
      <c r="H12" s="1839"/>
      <c r="I12" s="1839"/>
      <c r="J12" s="1839"/>
      <c r="K12" s="1840"/>
    </row>
    <row r="13" spans="2:11" ht="15" customHeight="1">
      <c r="B13" s="1841" t="str">
        <f>'NOTE 8 A'!B12:C12</f>
        <v>Durée d'étalement retenue</v>
      </c>
      <c r="C13" s="1841"/>
      <c r="D13" s="1841"/>
      <c r="E13" s="1841"/>
      <c r="F13" s="1842">
        <f>'[1]NOTE 8 B'!F13:K13</f>
        <v>0</v>
      </c>
      <c r="G13" s="1839"/>
      <c r="H13" s="1839"/>
      <c r="I13" s="1839"/>
      <c r="J13" s="1839"/>
      <c r="K13" s="1840"/>
    </row>
    <row r="14" spans="2:11" ht="15" customHeight="1">
      <c r="B14" s="609"/>
      <c r="C14" s="610"/>
      <c r="D14" s="610"/>
      <c r="E14" s="611"/>
      <c r="F14" s="1843" t="str">
        <f>'NOTE 8 A'!D13</f>
        <v>Comptes</v>
      </c>
      <c r="G14" s="1844"/>
      <c r="H14" s="1845"/>
      <c r="I14" s="1843" t="str">
        <f>'NOTE 8 A'!G13</f>
        <v>Montants</v>
      </c>
      <c r="J14" s="1844"/>
      <c r="K14" s="1845"/>
    </row>
    <row r="15" spans="2:11" ht="15" customHeight="1">
      <c r="B15" s="612"/>
      <c r="C15" s="613"/>
      <c r="D15" s="613"/>
      <c r="E15" s="614"/>
      <c r="F15" s="1846" t="str">
        <f>IF([1]ACCUEIL!B1=1,"791 Reversals of provisions and operating write-downs","791 Reprises de provisions et dépréciations d'exploitation")</f>
        <v>791 Reprises de provisions et dépréciations d'exploitation</v>
      </c>
      <c r="G15" s="1847"/>
      <c r="H15" s="1848"/>
      <c r="I15" s="1852">
        <f>'[1]NOTE 8 B'!I15:K16</f>
        <v>0</v>
      </c>
      <c r="J15" s="1853"/>
      <c r="K15" s="1854"/>
    </row>
    <row r="16" spans="2:11">
      <c r="B16" s="612"/>
      <c r="C16" s="613"/>
      <c r="D16" s="613"/>
      <c r="E16" s="614"/>
      <c r="F16" s="1849"/>
      <c r="G16" s="1850"/>
      <c r="H16" s="1851"/>
      <c r="I16" s="1855"/>
      <c r="J16" s="1856"/>
      <c r="K16" s="1857"/>
    </row>
    <row r="17" spans="2:11" ht="15" customHeight="1">
      <c r="B17" s="1836" t="str">
        <f>'NOTE 8 A'!B26:C26</f>
        <v>Total exercice 2018</v>
      </c>
      <c r="C17" s="1836"/>
      <c r="D17" s="1836"/>
      <c r="E17" s="1836"/>
      <c r="F17" s="1837"/>
      <c r="G17" s="1837"/>
      <c r="H17" s="1837"/>
      <c r="I17" s="1838">
        <f>'[1]NOTE 8 B'!I17:K17</f>
        <v>0</v>
      </c>
      <c r="J17" s="1839"/>
      <c r="K17" s="1840"/>
    </row>
    <row r="18" spans="2:11" ht="15" customHeight="1">
      <c r="B18" s="1836" t="str">
        <f>'NOTE 8 A'!B27:C27</f>
        <v>Total exercice 2019</v>
      </c>
      <c r="C18" s="1836"/>
      <c r="D18" s="1836"/>
      <c r="E18" s="1836"/>
      <c r="F18" s="1837"/>
      <c r="G18" s="1837"/>
      <c r="H18" s="1837"/>
      <c r="I18" s="1838">
        <f>'[1]NOTE 8 B'!I18:K18</f>
        <v>0</v>
      </c>
      <c r="J18" s="1839"/>
      <c r="K18" s="1840"/>
    </row>
    <row r="19" spans="2:11" ht="15" customHeight="1">
      <c r="B19" s="1836" t="str">
        <f>'NOTE 8 A'!B28:C28</f>
        <v>Total exercice 2020</v>
      </c>
      <c r="C19" s="1836"/>
      <c r="D19" s="1836"/>
      <c r="E19" s="1836"/>
      <c r="F19" s="1837"/>
      <c r="G19" s="1837"/>
      <c r="H19" s="1837"/>
      <c r="I19" s="1838">
        <f>'[1]NOTE 8 B'!I19:K19</f>
        <v>0</v>
      </c>
      <c r="J19" s="1839"/>
      <c r="K19" s="1840"/>
    </row>
    <row r="20" spans="2:11" ht="15" customHeight="1">
      <c r="B20" s="1836" t="str">
        <f>'NOTE 8 A'!B29:C29</f>
        <v>Total exercice 2021</v>
      </c>
      <c r="C20" s="1836"/>
      <c r="D20" s="1836"/>
      <c r="E20" s="1836"/>
      <c r="F20" s="1837"/>
      <c r="G20" s="1837"/>
      <c r="H20" s="1837"/>
      <c r="I20" s="1838">
        <f>'[1]NOTE 8 B'!I20:K20</f>
        <v>0</v>
      </c>
      <c r="J20" s="1839"/>
      <c r="K20" s="1840"/>
    </row>
    <row r="21" spans="2:11" ht="15" customHeight="1">
      <c r="B21" s="1836" t="str">
        <f>'NOTE 8 A'!B30:C30</f>
        <v>Total exercice 2022</v>
      </c>
      <c r="C21" s="1836"/>
      <c r="D21" s="1836"/>
      <c r="E21" s="1836"/>
      <c r="F21" s="1837"/>
      <c r="G21" s="1837"/>
      <c r="H21" s="1837"/>
      <c r="I21" s="1838">
        <f>'[1]NOTE 8 B'!I21:K21</f>
        <v>0</v>
      </c>
      <c r="J21" s="1839"/>
      <c r="K21" s="1840"/>
    </row>
    <row r="22" spans="2:11" ht="15" customHeight="1">
      <c r="B22" s="1841" t="s">
        <v>58</v>
      </c>
      <c r="C22" s="1841"/>
      <c r="D22" s="1841"/>
      <c r="E22" s="1841"/>
      <c r="F22" s="1858"/>
      <c r="G22" s="1858"/>
      <c r="H22" s="1858"/>
      <c r="I22" s="1838">
        <f>'[1]NOTE 8 B'!I22:K22</f>
        <v>0</v>
      </c>
      <c r="J22" s="1839"/>
      <c r="K22" s="1840"/>
    </row>
  </sheetData>
  <sheetProtection selectLockedCells="1"/>
  <mergeCells count="38">
    <mergeCell ref="B21:E21"/>
    <mergeCell ref="F21:H21"/>
    <mergeCell ref="I21:K21"/>
    <mergeCell ref="B22:E22"/>
    <mergeCell ref="F22:H22"/>
    <mergeCell ref="I22:K22"/>
    <mergeCell ref="B19:E19"/>
    <mergeCell ref="F19:H19"/>
    <mergeCell ref="I19:K19"/>
    <mergeCell ref="B20:E20"/>
    <mergeCell ref="F20:H20"/>
    <mergeCell ref="I20:K20"/>
    <mergeCell ref="B18:E18"/>
    <mergeCell ref="F18:H18"/>
    <mergeCell ref="I18:K18"/>
    <mergeCell ref="B12:E12"/>
    <mergeCell ref="F12:K12"/>
    <mergeCell ref="B13:E13"/>
    <mergeCell ref="F13:K13"/>
    <mergeCell ref="F14:H14"/>
    <mergeCell ref="I14:K14"/>
    <mergeCell ref="F15:H16"/>
    <mergeCell ref="I15:K16"/>
    <mergeCell ref="B17:E17"/>
    <mergeCell ref="F17:H17"/>
    <mergeCell ref="I17:K17"/>
    <mergeCell ref="B11:K11"/>
    <mergeCell ref="B1:K1"/>
    <mergeCell ref="J2:K2"/>
    <mergeCell ref="B3:C3"/>
    <mergeCell ref="D3:K3"/>
    <mergeCell ref="B4:C4"/>
    <mergeCell ref="B5:C5"/>
    <mergeCell ref="B6:C6"/>
    <mergeCell ref="G6:H6"/>
    <mergeCell ref="B8:K8"/>
    <mergeCell ref="B10:E10"/>
    <mergeCell ref="F10:K10"/>
  </mergeCells>
  <printOptions horizontalCentered="1"/>
  <pageMargins left="0.78740157480314965" right="0" top="0.59055118110236227" bottom="0.19685039370078741" header="0.31496062992125984" footer="0.31496062992125984"/>
  <pageSetup paperSize="9" scale="75" orientation="portrait" r:id="rId1"/>
  <headerFooter>
    <oddHeader>&amp;C&amp;"-,Gras"&amp;14Page &amp;P / &amp;N</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64">
    <pageSetUpPr fitToPage="1"/>
  </sheetPr>
  <dimension ref="B1:K22"/>
  <sheetViews>
    <sheetView showGridLines="0" showZeros="0" topLeftCell="A7" zoomScaleNormal="100" workbookViewId="0">
      <selection activeCell="I17" sqref="I17:K22"/>
    </sheetView>
  </sheetViews>
  <sheetFormatPr baseColWidth="10" defaultColWidth="11.5703125" defaultRowHeight="15"/>
  <cols>
    <col min="1" max="1" width="6.140625" customWidth="1"/>
    <col min="3" max="3" width="15.7109375" customWidth="1"/>
    <col min="4" max="4" width="10.28515625" customWidth="1"/>
    <col min="5" max="5" width="9.5703125" customWidth="1"/>
    <col min="7" max="7" width="8.28515625" customWidth="1"/>
    <col min="8" max="8" width="11.7109375" customWidth="1"/>
    <col min="9" max="9" width="10.28515625" customWidth="1"/>
    <col min="10" max="10" width="18" customWidth="1"/>
  </cols>
  <sheetData>
    <row r="1" spans="2:11">
      <c r="B1" s="1826"/>
      <c r="C1" s="1826"/>
      <c r="D1" s="1826"/>
      <c r="E1" s="1826"/>
      <c r="F1" s="1826"/>
      <c r="G1" s="1826"/>
      <c r="H1" s="1826"/>
      <c r="I1" s="1826"/>
      <c r="J1" s="1826"/>
      <c r="K1" s="1826"/>
    </row>
    <row r="2" spans="2:11" ht="30.75" customHeight="1">
      <c r="B2" s="489"/>
      <c r="C2" s="489"/>
      <c r="D2" s="489"/>
      <c r="E2" s="489"/>
      <c r="F2" s="489"/>
      <c r="G2" s="489"/>
      <c r="H2" s="489"/>
      <c r="J2" s="1827" t="str">
        <f>IF([1]ACCUEIL!B1=1,"NOTE 8C
NORMAL SYSTEM","NOTE 8C
SYSTEME NORMAL")</f>
        <v>NOTE 8C
SYSTEME NORMAL</v>
      </c>
      <c r="K2" s="1828"/>
    </row>
    <row r="3" spans="2:11">
      <c r="B3" s="1829" t="str">
        <f>'NOTE 8 B'!B3:C3</f>
        <v>Désignation entité:</v>
      </c>
      <c r="C3" s="1829"/>
      <c r="D3" s="615" t="str">
        <f>+'NOTE 8 B'!D3:K3</f>
        <v/>
      </c>
      <c r="E3" s="615"/>
      <c r="F3" s="615"/>
      <c r="G3" s="615"/>
      <c r="H3" s="615"/>
      <c r="I3" s="615"/>
      <c r="J3" s="615"/>
      <c r="K3" s="615"/>
    </row>
    <row r="4" spans="2:11">
      <c r="B4" s="596" t="str">
        <f>'NOTE 8 B'!B4:C4</f>
        <v>Sigle usuel :</v>
      </c>
      <c r="C4" s="596"/>
      <c r="D4" s="601" t="str">
        <f>'NOTE 8 B'!D4</f>
        <v/>
      </c>
      <c r="F4" s="601"/>
      <c r="G4" s="601"/>
      <c r="H4" s="601"/>
      <c r="I4" s="601"/>
      <c r="J4" s="601"/>
      <c r="K4" s="601"/>
    </row>
    <row r="5" spans="2:11">
      <c r="B5" s="616" t="str">
        <f>'NOTE 8 B'!B5:C5</f>
        <v>Adresse:</v>
      </c>
      <c r="D5" s="615">
        <f>'NOTE 8 B'!D5</f>
        <v>0</v>
      </c>
      <c r="E5" s="617"/>
      <c r="F5" s="617"/>
      <c r="G5" s="617"/>
      <c r="H5" s="618"/>
      <c r="I5" s="618"/>
      <c r="J5" s="600" t="str">
        <f>'NOTE 8 B'!J5</f>
        <v>BP:</v>
      </c>
      <c r="K5" s="601" t="str">
        <f>'NOTE 8 B'!K5</f>
        <v/>
      </c>
    </row>
    <row r="6" spans="2:11">
      <c r="B6" s="596" t="str">
        <f>'NOTE 8 B'!B6:C6</f>
        <v>Numéro d'identification:</v>
      </c>
      <c r="C6" s="596"/>
      <c r="D6" s="617" t="str">
        <f>'NOTE 8 B'!D6</f>
        <v/>
      </c>
      <c r="E6" s="617"/>
      <c r="F6" s="618"/>
      <c r="G6" s="1859" t="str">
        <f>'NOTE 8 B'!G6:H6</f>
        <v xml:space="preserve">   Exercice clos le 31 - 12- </v>
      </c>
      <c r="H6" s="1860"/>
      <c r="I6" s="601">
        <f>'NOTE 8 B'!I6</f>
        <v>2025</v>
      </c>
      <c r="J6" s="603" t="str">
        <f>'NOTE 8 B'!J6</f>
        <v xml:space="preserve">    Durée (en mois):</v>
      </c>
      <c r="K6" s="601">
        <f>'NOTE 8 B'!K6</f>
        <v>12</v>
      </c>
    </row>
    <row r="7" spans="2:11">
      <c r="B7" s="596"/>
      <c r="C7" s="596"/>
      <c r="D7" s="605"/>
      <c r="E7" s="605"/>
      <c r="F7" s="605"/>
      <c r="G7" s="606"/>
      <c r="H7" s="607"/>
      <c r="I7" s="607"/>
      <c r="J7" s="608"/>
      <c r="K7" s="605"/>
    </row>
    <row r="8" spans="2:11">
      <c r="B8" s="1638" t="str">
        <f>IF([1]ACCUEIL!B1=1,"NOTE 8 C: STATEMENT OF PROVISIONS FOR RETIREMENT BENEFIT OBLIGATIONS","NOTE 8 C : TABLEAU D’ETALEMENT DE PROVISIONS POUR ENGAGEMENTS DE RETRAITE")</f>
        <v>NOTE 8 C : TABLEAU D’ETALEMENT DE PROVISIONS POUR ENGAGEMENTS DE RETRAITE</v>
      </c>
      <c r="C8" s="1638"/>
      <c r="D8" s="1638"/>
      <c r="E8" s="1638"/>
      <c r="F8" s="1638"/>
      <c r="G8" s="1638"/>
      <c r="H8" s="1638"/>
      <c r="I8" s="1638"/>
      <c r="J8" s="1638"/>
      <c r="K8" s="1638"/>
    </row>
    <row r="10" spans="2:11" ht="15" customHeight="1">
      <c r="B10" s="1834" t="str">
        <f>'NOTE 8 B'!B10:E10</f>
        <v xml:space="preserve">      RUBRIQUES</v>
      </c>
      <c r="C10" s="1742"/>
      <c r="D10" s="1742"/>
      <c r="E10" s="1742"/>
      <c r="F10" s="1743" t="str">
        <f>IF([1]ACCUEIL!B1=1,"PROVISIONS FOR PENSIONS AND SIMILAR OBLIGATIONS","PROVISIONS POUR PENSIONS ET OBLIGATIONS SIMILAIRES")</f>
        <v>PROVISIONS POUR PENSIONS ET OBLIGATIONS SIMILAIRES</v>
      </c>
      <c r="G10" s="1835"/>
      <c r="H10" s="1835"/>
      <c r="I10" s="1835"/>
      <c r="J10" s="1835"/>
      <c r="K10" s="1744"/>
    </row>
    <row r="11" spans="2:11" ht="15" customHeight="1">
      <c r="B11" s="1823" t="str">
        <f>IF([1]ACCUEIL!B1=1,"Transitional account to be settled: 4752 transitional account, special adjustment related to the revision of SYSCOHADA, liability account","Compte transitoire à solder: 4752 compte transitoire, ajustement spécial lié à la révision du SYSCOHADA, compte-passif")</f>
        <v>Compte transitoire à solder: 4752 compte transitoire, ajustement spécial lié à la révision du SYSCOHADA, compte-passif</v>
      </c>
      <c r="C11" s="1824"/>
      <c r="D11" s="1824"/>
      <c r="E11" s="1824"/>
      <c r="F11" s="1824"/>
      <c r="G11" s="1824"/>
      <c r="H11" s="1824"/>
      <c r="I11" s="1824"/>
      <c r="J11" s="1824"/>
      <c r="K11" s="1825"/>
    </row>
    <row r="12" spans="2:11" ht="15" customHeight="1">
      <c r="B12" s="1841" t="str">
        <f>IF([1]ACCUEIL!B1=1,"Total amount to be spread as at 1 January 2018","Montant global à étaler au 1er janvier 2018")</f>
        <v>Montant global à étaler au 1er janvier 2018</v>
      </c>
      <c r="C12" s="1841"/>
      <c r="D12" s="1841"/>
      <c r="E12" s="1841"/>
      <c r="F12" s="1842">
        <f>'[1]NOTE 8 C'!F12:K12</f>
        <v>0</v>
      </c>
      <c r="G12" s="1839"/>
      <c r="H12" s="1839"/>
      <c r="I12" s="1839"/>
      <c r="J12" s="1839"/>
      <c r="K12" s="1840"/>
    </row>
    <row r="13" spans="2:11" ht="15" customHeight="1">
      <c r="B13" s="1841" t="str">
        <f>'NOTE 8 B'!B13:E13</f>
        <v>Durée d'étalement retenue</v>
      </c>
      <c r="C13" s="1841"/>
      <c r="D13" s="1841"/>
      <c r="E13" s="1841"/>
      <c r="F13" s="1842">
        <f>'[1]NOTE 8 C'!F13:K13</f>
        <v>0</v>
      </c>
      <c r="G13" s="1839"/>
      <c r="H13" s="1839"/>
      <c r="I13" s="1839"/>
      <c r="J13" s="1839"/>
      <c r="K13" s="1840"/>
    </row>
    <row r="14" spans="2:11">
      <c r="B14" s="609"/>
      <c r="C14" s="610"/>
      <c r="D14" s="610"/>
      <c r="E14" s="611"/>
      <c r="F14" s="1843" t="str">
        <f>'NOTE 8 B'!F14:H14</f>
        <v>Comptes</v>
      </c>
      <c r="G14" s="1844"/>
      <c r="H14" s="1845"/>
      <c r="I14" s="1843" t="str">
        <f>'NOTE 8 B'!I14:K14</f>
        <v>Montants</v>
      </c>
      <c r="J14" s="1844"/>
      <c r="K14" s="1845"/>
    </row>
    <row r="15" spans="2:11" ht="15" customHeight="1">
      <c r="B15" s="612"/>
      <c r="C15" s="613"/>
      <c r="D15" s="613"/>
      <c r="E15" s="614"/>
      <c r="F15" s="1846" t="str">
        <f>IF([1]ACCUEIL!B1=1,"6911 Allocation to provisions for liabilities and charges","6911 Dotation aux provisions pour risques et charges")</f>
        <v>6911 Dotation aux provisions pour risques et charges</v>
      </c>
      <c r="G15" s="1847"/>
      <c r="H15" s="1848"/>
      <c r="I15" s="1852">
        <f>'[1]NOTE 8 B'!I15:K16</f>
        <v>0</v>
      </c>
      <c r="J15" s="1853"/>
      <c r="K15" s="1854"/>
    </row>
    <row r="16" spans="2:11">
      <c r="B16" s="612"/>
      <c r="C16" s="613"/>
      <c r="D16" s="613"/>
      <c r="E16" s="614"/>
      <c r="F16" s="1849"/>
      <c r="G16" s="1850"/>
      <c r="H16" s="1851"/>
      <c r="I16" s="1855"/>
      <c r="J16" s="1856"/>
      <c r="K16" s="1857"/>
    </row>
    <row r="17" spans="2:11" ht="15" customHeight="1">
      <c r="B17" s="1836" t="str">
        <f>'NOTE 8 B'!B17:E17</f>
        <v>Total exercice 2018</v>
      </c>
      <c r="C17" s="1836"/>
      <c r="D17" s="1836"/>
      <c r="E17" s="1836"/>
      <c r="F17" s="1837"/>
      <c r="G17" s="1837"/>
      <c r="H17" s="1837"/>
      <c r="I17" s="1839">
        <f>'[1]NOTE 8 B'!I17:K17</f>
        <v>0</v>
      </c>
      <c r="J17" s="1839"/>
      <c r="K17" s="1840"/>
    </row>
    <row r="18" spans="2:11" ht="15" customHeight="1">
      <c r="B18" s="1836" t="str">
        <f>'NOTE 8 B'!B18:E18</f>
        <v>Total exercice 2019</v>
      </c>
      <c r="C18" s="1836"/>
      <c r="D18" s="1836"/>
      <c r="E18" s="1836"/>
      <c r="F18" s="1837"/>
      <c r="G18" s="1837"/>
      <c r="H18" s="1837"/>
      <c r="I18" s="1839">
        <f>'[1]NOTE 8 B'!I18:K18</f>
        <v>0</v>
      </c>
      <c r="J18" s="1839"/>
      <c r="K18" s="1840"/>
    </row>
    <row r="19" spans="2:11" ht="15" customHeight="1">
      <c r="B19" s="1836" t="str">
        <f>'NOTE 8 B'!B19:E19</f>
        <v>Total exercice 2020</v>
      </c>
      <c r="C19" s="1836"/>
      <c r="D19" s="1836"/>
      <c r="E19" s="1836"/>
      <c r="F19" s="1837"/>
      <c r="G19" s="1837"/>
      <c r="H19" s="1837"/>
      <c r="I19" s="1839">
        <f>'[1]NOTE 8 B'!I19:K19</f>
        <v>0</v>
      </c>
      <c r="J19" s="1839"/>
      <c r="K19" s="1840"/>
    </row>
    <row r="20" spans="2:11" ht="15" customHeight="1">
      <c r="B20" s="1836" t="str">
        <f>'NOTE 8 B'!B20:E20</f>
        <v>Total exercice 2021</v>
      </c>
      <c r="C20" s="1836"/>
      <c r="D20" s="1836"/>
      <c r="E20" s="1836"/>
      <c r="F20" s="1837"/>
      <c r="G20" s="1837"/>
      <c r="H20" s="1837"/>
      <c r="I20" s="1839">
        <f>'[1]NOTE 8 B'!I20:K20</f>
        <v>0</v>
      </c>
      <c r="J20" s="1839"/>
      <c r="K20" s="1840"/>
    </row>
    <row r="21" spans="2:11" ht="15" customHeight="1">
      <c r="B21" s="1836" t="str">
        <f>'NOTE 8 B'!B21:E21</f>
        <v>Total exercice 2022</v>
      </c>
      <c r="C21" s="1836"/>
      <c r="D21" s="1836"/>
      <c r="E21" s="1836"/>
      <c r="F21" s="1837"/>
      <c r="G21" s="1837"/>
      <c r="H21" s="1837"/>
      <c r="I21" s="1839">
        <f>'[1]NOTE 8 B'!I21:K21</f>
        <v>0</v>
      </c>
      <c r="J21" s="1839"/>
      <c r="K21" s="1840"/>
    </row>
    <row r="22" spans="2:11" ht="15" customHeight="1">
      <c r="B22" s="1836" t="s">
        <v>58</v>
      </c>
      <c r="C22" s="1836"/>
      <c r="D22" s="1836"/>
      <c r="E22" s="1836"/>
      <c r="F22" s="1858"/>
      <c r="G22" s="1858"/>
      <c r="H22" s="1858"/>
      <c r="I22" s="1839">
        <f>'[1]NOTE 8 B'!I22:K22</f>
        <v>0</v>
      </c>
      <c r="J22" s="1839"/>
      <c r="K22" s="1840"/>
    </row>
  </sheetData>
  <sheetProtection selectLockedCells="1"/>
  <mergeCells count="34">
    <mergeCell ref="B21:E21"/>
    <mergeCell ref="F21:H21"/>
    <mergeCell ref="I21:K21"/>
    <mergeCell ref="B22:E22"/>
    <mergeCell ref="F22:H22"/>
    <mergeCell ref="I22:K22"/>
    <mergeCell ref="B19:E19"/>
    <mergeCell ref="F19:H19"/>
    <mergeCell ref="I19:K19"/>
    <mergeCell ref="B20:E20"/>
    <mergeCell ref="F20:H20"/>
    <mergeCell ref="I20:K20"/>
    <mergeCell ref="B18:E18"/>
    <mergeCell ref="F18:H18"/>
    <mergeCell ref="I18:K18"/>
    <mergeCell ref="B11:K11"/>
    <mergeCell ref="B12:E12"/>
    <mergeCell ref="F12:K12"/>
    <mergeCell ref="B13:E13"/>
    <mergeCell ref="F13:K13"/>
    <mergeCell ref="F14:H14"/>
    <mergeCell ref="I14:K14"/>
    <mergeCell ref="F15:H16"/>
    <mergeCell ref="I15:K16"/>
    <mergeCell ref="B17:E17"/>
    <mergeCell ref="F17:H17"/>
    <mergeCell ref="I17:K17"/>
    <mergeCell ref="B10:E10"/>
    <mergeCell ref="F10:K10"/>
    <mergeCell ref="B1:K1"/>
    <mergeCell ref="J2:K2"/>
    <mergeCell ref="B3:C3"/>
    <mergeCell ref="G6:H6"/>
    <mergeCell ref="B8:K8"/>
  </mergeCells>
  <printOptions horizontalCentered="1"/>
  <pageMargins left="0.78740157480314965" right="0" top="0.59055118110236227" bottom="0.19685039370078741" header="0.31496062992125984" footer="0.31496062992125984"/>
  <pageSetup paperSize="9" scale="77" orientation="portrait" r:id="rId1"/>
  <headerFooter>
    <oddHeader>&amp;C&amp;"-,Gras"&amp;14Page &amp;P / &amp;N</oddHead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euil30">
    <pageSetUpPr fitToPage="1"/>
  </sheetPr>
  <dimension ref="B1:K31"/>
  <sheetViews>
    <sheetView showZeros="0" zoomScaleNormal="100" zoomScaleSheetLayoutView="100" workbookViewId="0">
      <selection activeCell="M18" sqref="M18"/>
    </sheetView>
  </sheetViews>
  <sheetFormatPr baseColWidth="10" defaultColWidth="11.42578125" defaultRowHeight="15"/>
  <cols>
    <col min="1" max="1" width="6.42578125" style="2" customWidth="1"/>
    <col min="2" max="2" width="24.7109375" style="2" customWidth="1"/>
    <col min="3" max="3" width="20.7109375" style="2" customWidth="1"/>
    <col min="4" max="4" width="29.7109375" style="2" customWidth="1"/>
    <col min="5" max="5" width="25.7109375" style="2" customWidth="1"/>
    <col min="6" max="6" width="23.7109375" style="2" customWidth="1"/>
    <col min="7" max="7" width="14.7109375" style="2" bestFit="1" customWidth="1"/>
    <col min="8" max="11" width="0" style="2" hidden="1" customWidth="1"/>
    <col min="12" max="16384" width="11.42578125" style="2"/>
  </cols>
  <sheetData>
    <row r="1" spans="2:11">
      <c r="B1" s="1788"/>
      <c r="C1" s="1788"/>
      <c r="D1" s="1788"/>
      <c r="E1" s="1788"/>
      <c r="F1" s="1788"/>
      <c r="G1" s="1788"/>
    </row>
    <row r="2" spans="2:11" ht="15" customHeight="1">
      <c r="B2" s="144"/>
      <c r="C2" s="144"/>
      <c r="D2" s="144"/>
      <c r="E2" s="144"/>
      <c r="F2" s="1650" t="str">
        <f>IF([1]ACCUEIL!B1=1,"NOTE 9
NORMAL SYSTEM","NOTE 9
SYSTEME NORMAL")</f>
        <v>NOTE 9
SYSTEME NORMAL</v>
      </c>
      <c r="G2" s="1651"/>
    </row>
    <row r="3" spans="2:11">
      <c r="B3" s="43"/>
      <c r="C3" s="43"/>
      <c r="D3" s="43"/>
      <c r="E3" s="43"/>
      <c r="F3" s="1652"/>
      <c r="G3" s="1653"/>
    </row>
    <row r="4" spans="2:11">
      <c r="B4" s="43" t="str">
        <f>'NOTE 8 C'!B3:C3</f>
        <v>Désignation entité:</v>
      </c>
      <c r="C4" s="313" t="str">
        <f>'NOTE 8 A'!C4</f>
        <v/>
      </c>
      <c r="D4" s="313"/>
      <c r="E4" s="313"/>
      <c r="F4" s="314"/>
      <c r="G4" s="314"/>
    </row>
    <row r="5" spans="2:11">
      <c r="B5" s="43" t="str">
        <f>'NOTE 8 C'!B4</f>
        <v>Sigle usuel :</v>
      </c>
      <c r="C5" s="402" t="str">
        <f>'NOTE 8 A'!C5</f>
        <v/>
      </c>
      <c r="E5" s="619"/>
      <c r="F5" s="507"/>
      <c r="G5" s="507"/>
    </row>
    <row r="6" spans="2:11">
      <c r="B6" s="43" t="str">
        <f>'NOTE 8 C'!B5</f>
        <v>Adresse:</v>
      </c>
      <c r="C6" s="313">
        <f>'NOTE 8 A'!C6</f>
        <v>0</v>
      </c>
      <c r="D6" s="455"/>
      <c r="E6" s="175"/>
      <c r="F6" s="317" t="str">
        <f>'NOTE 8 C'!J5</f>
        <v>BP:</v>
      </c>
      <c r="G6" s="319" t="str">
        <f>'NOTE 8 A'!I6</f>
        <v/>
      </c>
    </row>
    <row r="7" spans="2:11">
      <c r="B7" s="43" t="str">
        <f>'NOTE 8 C'!B6</f>
        <v>Numéro d'identification:</v>
      </c>
      <c r="C7" s="402" t="str">
        <f>'NOTE 8 A'!C7</f>
        <v/>
      </c>
      <c r="D7" s="481" t="str">
        <f>'NOTE 8 C'!G6</f>
        <v xml:space="preserve">   Exercice clos le 31 - 12- </v>
      </c>
      <c r="E7" s="402">
        <f>'NOTE 8 A'!G7</f>
        <v>2025</v>
      </c>
      <c r="F7" s="317" t="str">
        <f>'NOTE 8 C'!J6</f>
        <v xml:space="preserve">    Durée (en mois):</v>
      </c>
      <c r="G7" s="402">
        <f>'NOTE 8 A'!I7</f>
        <v>12</v>
      </c>
    </row>
    <row r="8" spans="2:11">
      <c r="B8" s="43"/>
      <c r="C8" s="43"/>
      <c r="D8" s="43"/>
      <c r="E8" s="43"/>
      <c r="F8" s="43"/>
      <c r="G8" s="43"/>
    </row>
    <row r="9" spans="2:11" ht="24.75" customHeight="1">
      <c r="B9" s="1861" t="s">
        <v>264</v>
      </c>
      <c r="C9" s="1861"/>
      <c r="D9" s="1861"/>
      <c r="E9" s="1861"/>
      <c r="F9" s="1861"/>
      <c r="G9" s="1861"/>
    </row>
    <row r="10" spans="2:11" s="522" customFormat="1" ht="24" customHeight="1">
      <c r="B10" s="1795" t="str">
        <f>'NOTE 8 C'!B10:E10</f>
        <v xml:space="preserve">      RUBRIQUES</v>
      </c>
      <c r="C10" s="1793"/>
      <c r="D10" s="1796"/>
      <c r="E10" s="321" t="str">
        <f>'NOTE 8'!D10</f>
        <v>Année 2025</v>
      </c>
      <c r="F10" s="321" t="str">
        <f>'NOTE 8'!E10</f>
        <v>Année 2024</v>
      </c>
      <c r="G10" s="321" t="str">
        <f>'NOTE 8'!F10</f>
        <v xml:space="preserve">Variation en % </v>
      </c>
      <c r="H10" s="561"/>
      <c r="I10" s="561"/>
      <c r="J10" s="561"/>
      <c r="K10" s="561"/>
    </row>
    <row r="11" spans="2:11" s="522" customFormat="1" ht="24" customHeight="1">
      <c r="B11" s="567" t="str">
        <f>IF([1]ACCUEIL!B1=1,"Treasury securities and short-term bills","Titres de trésor et bons de caisse à court terme")</f>
        <v>Titres de trésor et bons de caisse à court terme</v>
      </c>
      <c r="C11" s="568"/>
      <c r="D11" s="620"/>
      <c r="E11" s="484">
        <f>'[1]CLASSE 5'!I14</f>
        <v>0</v>
      </c>
      <c r="F11" s="484">
        <f>'[1]CLASSE 5'!E14</f>
        <v>0</v>
      </c>
      <c r="G11" s="570">
        <f>IF(H11=0,0,K11)</f>
        <v>0</v>
      </c>
      <c r="H11" s="561">
        <f>E11-F11</f>
        <v>0</v>
      </c>
      <c r="I11" s="561">
        <f>IF(F11=0,1,IF(F11&lt;0,(E11-F11)/-F11,(E11-F11)/F11))</f>
        <v>1</v>
      </c>
      <c r="J11" s="561">
        <f>IF(H11=E11,IF(E11&lt;0,-1,0))</f>
        <v>0</v>
      </c>
      <c r="K11" s="561">
        <f>IF(J11=-1,-1,I11)</f>
        <v>1</v>
      </c>
    </row>
    <row r="12" spans="2:11" s="522" customFormat="1" ht="24" customHeight="1">
      <c r="B12" s="567" t="str">
        <f>IF([1]ACCUEIL!B1=1,"Actions","Actions")</f>
        <v>Actions</v>
      </c>
      <c r="C12" s="568"/>
      <c r="D12" s="620"/>
      <c r="E12" s="484">
        <f>'[1]CLASSE 5'!I28</f>
        <v>0</v>
      </c>
      <c r="F12" s="484">
        <f>'[1]CLASSE 5'!E28</f>
        <v>0</v>
      </c>
      <c r="G12" s="570">
        <f t="shared" ref="G12:G20" si="0">IF(H12=0,0,K12)</f>
        <v>0</v>
      </c>
      <c r="H12" s="561">
        <f t="shared" ref="H12:H20" si="1">E12-F12</f>
        <v>0</v>
      </c>
      <c r="I12" s="561">
        <f t="shared" ref="I12:I20" si="2">IF(F12=0,1,IF(F12&lt;0,(E12-F12)/-F12,(E12-F12)/F12))</f>
        <v>1</v>
      </c>
      <c r="J12" s="561">
        <f t="shared" ref="J12:J20" si="3">IF(H12=E12,IF(E12&lt;0,-1,0))</f>
        <v>0</v>
      </c>
      <c r="K12" s="561">
        <f t="shared" ref="K12:K20" si="4">IF(J12=-1,-1,I12)</f>
        <v>1</v>
      </c>
    </row>
    <row r="13" spans="2:11" s="522" customFormat="1" ht="24" customHeight="1">
      <c r="B13" s="567" t="str">
        <f>IF([1]ACCUEIL!B1=1,"Bonds","Obligations")</f>
        <v>Obligations</v>
      </c>
      <c r="C13" s="568"/>
      <c r="D13" s="620"/>
      <c r="E13" s="484">
        <f>'[1]CLASSE 5'!I40</f>
        <v>0</v>
      </c>
      <c r="F13" s="484">
        <f>'[1]CLASSE 5'!E40</f>
        <v>0</v>
      </c>
      <c r="G13" s="570">
        <f t="shared" si="0"/>
        <v>0</v>
      </c>
      <c r="H13" s="561">
        <f t="shared" si="1"/>
        <v>0</v>
      </c>
      <c r="I13" s="561">
        <f t="shared" si="2"/>
        <v>1</v>
      </c>
      <c r="J13" s="561">
        <f t="shared" si="3"/>
        <v>0</v>
      </c>
      <c r="K13" s="561">
        <f t="shared" si="4"/>
        <v>1</v>
      </c>
    </row>
    <row r="14" spans="2:11" s="522" customFormat="1" ht="24" customHeight="1">
      <c r="B14" s="567" t="str">
        <f>IF([1]ACCUEIL!B1=1,"Warrants","Bons de souscription")</f>
        <v>Bons de souscription</v>
      </c>
      <c r="C14" s="568"/>
      <c r="D14" s="620"/>
      <c r="E14" s="484">
        <f>'[1]CLASSE 5'!I46</f>
        <v>0</v>
      </c>
      <c r="F14" s="484">
        <f>'[1]CLASSE 5'!E46</f>
        <v>0</v>
      </c>
      <c r="G14" s="570">
        <f t="shared" si="0"/>
        <v>0</v>
      </c>
      <c r="H14" s="561">
        <f t="shared" si="1"/>
        <v>0</v>
      </c>
      <c r="I14" s="561">
        <f t="shared" si="2"/>
        <v>1</v>
      </c>
      <c r="J14" s="561">
        <f t="shared" si="3"/>
        <v>0</v>
      </c>
      <c r="K14" s="561">
        <f t="shared" si="4"/>
        <v>1</v>
      </c>
    </row>
    <row r="15" spans="2:11" s="522" customFormat="1" ht="24" customHeight="1">
      <c r="B15" s="567" t="str">
        <f>IF([1]ACCUEIL!B1=1,"Marketable securities outside regions","Titres négociables hors régions")</f>
        <v>Titres négociables hors régions</v>
      </c>
      <c r="C15" s="568"/>
      <c r="D15" s="620"/>
      <c r="E15" s="484">
        <f>'[1]CLASSE 5'!I47</f>
        <v>0</v>
      </c>
      <c r="F15" s="484">
        <f>'[1]CLASSE 5'!E47</f>
        <v>0</v>
      </c>
      <c r="G15" s="570">
        <f t="shared" si="0"/>
        <v>0</v>
      </c>
      <c r="H15" s="561">
        <f t="shared" si="1"/>
        <v>0</v>
      </c>
      <c r="I15" s="561">
        <f t="shared" si="2"/>
        <v>1</v>
      </c>
      <c r="J15" s="561">
        <f t="shared" si="3"/>
        <v>0</v>
      </c>
      <c r="K15" s="561">
        <f t="shared" si="4"/>
        <v>1</v>
      </c>
    </row>
    <row r="16" spans="2:11" s="522" customFormat="1" ht="24" customHeight="1">
      <c r="B16" s="567" t="str">
        <f>IF([1]ACCUEIL!B1=1,"Accrued interests","Intérêts courus")</f>
        <v>Intérêts courus</v>
      </c>
      <c r="C16" s="568"/>
      <c r="D16" s="620"/>
      <c r="E16" s="484">
        <f>'[1]CLASSE 5'!I55</f>
        <v>0</v>
      </c>
      <c r="F16" s="484">
        <f>'[1]CLASSE 5'!I55</f>
        <v>0</v>
      </c>
      <c r="G16" s="570">
        <f t="shared" si="0"/>
        <v>0</v>
      </c>
      <c r="H16" s="561">
        <f t="shared" si="1"/>
        <v>0</v>
      </c>
      <c r="I16" s="561">
        <f t="shared" si="2"/>
        <v>1</v>
      </c>
      <c r="J16" s="561">
        <f t="shared" si="3"/>
        <v>0</v>
      </c>
      <c r="K16" s="561">
        <f t="shared" si="4"/>
        <v>1</v>
      </c>
    </row>
    <row r="17" spans="2:11" s="522" customFormat="1" ht="24" customHeight="1">
      <c r="B17" s="567" t="str">
        <f>IF([1]ACCUEIL!B1=1,"Other values assimilated","Autres valeurs assimilées")</f>
        <v>Autres valeurs assimilées</v>
      </c>
      <c r="C17" s="568"/>
      <c r="D17" s="620"/>
      <c r="E17" s="484">
        <f>'[1]CLASSE 5'!I56</f>
        <v>0</v>
      </c>
      <c r="F17" s="484">
        <f>'[1]CLASSE 5'!I56</f>
        <v>0</v>
      </c>
      <c r="G17" s="570">
        <f t="shared" si="0"/>
        <v>0</v>
      </c>
      <c r="H17" s="561">
        <f t="shared" si="1"/>
        <v>0</v>
      </c>
      <c r="I17" s="561">
        <f t="shared" si="2"/>
        <v>1</v>
      </c>
      <c r="J17" s="561">
        <f t="shared" si="3"/>
        <v>0</v>
      </c>
      <c r="K17" s="561">
        <f t="shared" si="4"/>
        <v>1</v>
      </c>
    </row>
    <row r="18" spans="2:11" s="522" customFormat="1" ht="24" customHeight="1">
      <c r="B18" s="62" t="str">
        <f>IF([1]ACCUEIL!B1=1,"TOTAL GROSS SECURITIES","TOTAL BRUT TITRES")</f>
        <v>TOTAL BRUT TITRES</v>
      </c>
      <c r="C18" s="573"/>
      <c r="D18" s="621"/>
      <c r="E18" s="483">
        <f>SUM(E11:E17)</f>
        <v>0</v>
      </c>
      <c r="F18" s="483">
        <f>SUM(F11:F17)</f>
        <v>0</v>
      </c>
      <c r="G18" s="570">
        <f t="shared" si="0"/>
        <v>0</v>
      </c>
      <c r="H18" s="561">
        <f t="shared" si="1"/>
        <v>0</v>
      </c>
      <c r="I18" s="561">
        <f t="shared" si="2"/>
        <v>1</v>
      </c>
      <c r="J18" s="561">
        <f t="shared" si="3"/>
        <v>0</v>
      </c>
      <c r="K18" s="561">
        <f t="shared" si="4"/>
        <v>1</v>
      </c>
    </row>
    <row r="19" spans="2:11" s="522" customFormat="1" ht="24" customHeight="1">
      <c r="B19" s="567" t="str">
        <f>IF([1]ACCUEIL!B1=1,"Impairment of securities","Dépréciations des titres")</f>
        <v>Dépréciations des titres</v>
      </c>
      <c r="C19" s="568"/>
      <c r="D19" s="620"/>
      <c r="E19" s="484">
        <f>'[1]CLASSE 5'!J134</f>
        <v>0</v>
      </c>
      <c r="F19" s="484">
        <f>'[1]CLASSE 5'!F134</f>
        <v>0</v>
      </c>
      <c r="G19" s="570">
        <f t="shared" si="0"/>
        <v>0</v>
      </c>
      <c r="H19" s="561">
        <f t="shared" si="1"/>
        <v>0</v>
      </c>
      <c r="I19" s="561">
        <f t="shared" si="2"/>
        <v>1</v>
      </c>
      <c r="J19" s="561">
        <f t="shared" si="3"/>
        <v>0</v>
      </c>
      <c r="K19" s="561">
        <f t="shared" si="4"/>
        <v>1</v>
      </c>
    </row>
    <row r="20" spans="2:11" s="522" customFormat="1" ht="24" customHeight="1">
      <c r="B20" s="571" t="str">
        <f>IF([1]ACCUEIL!B1=1,"TOTAL NET DEPRECIATION","TOTAL NET DE DEPRECIATION")</f>
        <v>TOTAL NET DE DEPRECIATION</v>
      </c>
      <c r="C20" s="576"/>
      <c r="D20" s="622"/>
      <c r="E20" s="483">
        <f>E18-E19</f>
        <v>0</v>
      </c>
      <c r="F20" s="483">
        <f>F18-F19</f>
        <v>0</v>
      </c>
      <c r="G20" s="570">
        <f t="shared" si="0"/>
        <v>0</v>
      </c>
      <c r="H20" s="561">
        <f t="shared" si="1"/>
        <v>0</v>
      </c>
      <c r="I20" s="561">
        <f t="shared" si="2"/>
        <v>1</v>
      </c>
      <c r="J20" s="561">
        <f t="shared" si="3"/>
        <v>0</v>
      </c>
      <c r="K20" s="561">
        <f t="shared" si="4"/>
        <v>1</v>
      </c>
    </row>
    <row r="21" spans="2:11">
      <c r="B21" s="81"/>
      <c r="C21" s="81"/>
      <c r="D21" s="81"/>
      <c r="E21" s="81"/>
      <c r="F21" s="81"/>
      <c r="G21" s="81"/>
      <c r="H21" s="81"/>
      <c r="I21" s="81"/>
      <c r="J21" s="81"/>
      <c r="K21" s="81"/>
    </row>
    <row r="22" spans="2:11">
      <c r="B22" s="558" t="str">
        <f>'NOTE 8'!B26</f>
        <v>COMMENTAIRE</v>
      </c>
      <c r="C22" s="1660">
        <f>'[1]NOTE 9'!C22:G22</f>
        <v>0</v>
      </c>
      <c r="D22" s="1660"/>
      <c r="E22" s="1660"/>
      <c r="F22" s="1660"/>
      <c r="G22" s="1660"/>
      <c r="H22" s="81"/>
      <c r="I22" s="81"/>
      <c r="J22" s="81"/>
      <c r="K22" s="81"/>
    </row>
    <row r="23" spans="2:11">
      <c r="B23" s="560"/>
      <c r="C23" s="1660">
        <f>'[1]NOTE 9'!C23:G23</f>
        <v>0</v>
      </c>
      <c r="D23" s="1660"/>
      <c r="E23" s="1660"/>
      <c r="F23" s="1660"/>
      <c r="G23" s="1660"/>
      <c r="H23" s="81"/>
      <c r="I23" s="81"/>
      <c r="J23" s="81"/>
      <c r="K23" s="81"/>
    </row>
    <row r="24" spans="2:11">
      <c r="B24" s="560"/>
      <c r="C24" s="1660">
        <f>'[1]NOTE 9'!C24:G24</f>
        <v>0</v>
      </c>
      <c r="D24" s="1660"/>
      <c r="E24" s="1660"/>
      <c r="F24" s="1660"/>
      <c r="G24" s="1660"/>
      <c r="H24" s="81"/>
      <c r="I24" s="81"/>
      <c r="J24" s="81"/>
      <c r="K24" s="81"/>
    </row>
    <row r="25" spans="2:11">
      <c r="B25" s="560"/>
      <c r="C25" s="1660">
        <f>'[1]NOTE 9'!C25:G25</f>
        <v>0</v>
      </c>
      <c r="D25" s="1660"/>
      <c r="E25" s="1660"/>
      <c r="F25" s="1660"/>
      <c r="G25" s="1660"/>
      <c r="H25" s="81"/>
      <c r="I25" s="81"/>
      <c r="J25" s="81"/>
      <c r="K25" s="81"/>
    </row>
    <row r="26" spans="2:11">
      <c r="B26" s="560"/>
      <c r="C26" s="1660">
        <f>'[1]NOTE 9'!C26:G26</f>
        <v>0</v>
      </c>
      <c r="D26" s="1660"/>
      <c r="E26" s="1660"/>
      <c r="F26" s="1660"/>
      <c r="G26" s="1660"/>
      <c r="H26" s="81"/>
      <c r="I26" s="81"/>
      <c r="J26" s="81"/>
      <c r="K26" s="81"/>
    </row>
    <row r="27" spans="2:11">
      <c r="B27" s="81"/>
      <c r="C27" s="1660">
        <f>'[1]NOTE 9'!C27:G27</f>
        <v>0</v>
      </c>
      <c r="D27" s="1660"/>
      <c r="E27" s="1660"/>
      <c r="F27" s="1660"/>
      <c r="G27" s="1660"/>
      <c r="H27" s="81"/>
      <c r="I27" s="81"/>
      <c r="J27" s="81"/>
      <c r="K27" s="81"/>
    </row>
    <row r="28" spans="2:11">
      <c r="B28" s="81"/>
      <c r="C28" s="1660">
        <f>'[1]NOTE 9'!C28:G28</f>
        <v>0</v>
      </c>
      <c r="D28" s="1660"/>
      <c r="E28" s="1660"/>
      <c r="F28" s="1660"/>
      <c r="G28" s="1660"/>
      <c r="H28" s="81"/>
      <c r="I28" s="81"/>
      <c r="J28" s="81"/>
      <c r="K28" s="81"/>
    </row>
    <row r="29" spans="2:11">
      <c r="B29" s="81"/>
      <c r="C29" s="1660">
        <f>'[1]NOTE 9'!C29:G29</f>
        <v>0</v>
      </c>
      <c r="D29" s="1660"/>
      <c r="E29" s="1660"/>
      <c r="F29" s="1660"/>
      <c r="G29" s="1660"/>
      <c r="H29" s="81"/>
      <c r="I29" s="81"/>
      <c r="J29" s="81"/>
      <c r="K29" s="81"/>
    </row>
    <row r="30" spans="2:11">
      <c r="C30" s="1660">
        <f>'[1]NOTE 9'!C30:G30</f>
        <v>0</v>
      </c>
      <c r="D30" s="1660"/>
      <c r="E30" s="1660"/>
      <c r="F30" s="1660"/>
      <c r="G30" s="1660"/>
    </row>
    <row r="31" spans="2:11">
      <c r="C31" s="1660">
        <f>'[1]NOTE 9'!C31:G31</f>
        <v>0</v>
      </c>
      <c r="D31" s="1660"/>
      <c r="E31" s="1660"/>
      <c r="F31" s="1660"/>
      <c r="G31" s="1660"/>
    </row>
  </sheetData>
  <sheetProtection selectLockedCells="1"/>
  <mergeCells count="14">
    <mergeCell ref="C30:G30"/>
    <mergeCell ref="C31:G31"/>
    <mergeCell ref="C24:G24"/>
    <mergeCell ref="C25:G25"/>
    <mergeCell ref="C26:G26"/>
    <mergeCell ref="C27:G27"/>
    <mergeCell ref="C28:G28"/>
    <mergeCell ref="C29:G29"/>
    <mergeCell ref="C23:G23"/>
    <mergeCell ref="B1:G1"/>
    <mergeCell ref="F2:G3"/>
    <mergeCell ref="B9:G9"/>
    <mergeCell ref="B10:D10"/>
    <mergeCell ref="C22:G22"/>
  </mergeCells>
  <conditionalFormatting sqref="F5:G5 D6 F6:F7">
    <cfRule type="expression" dxfId="30" priority="1">
      <formula>#REF!=1</formula>
    </cfRule>
  </conditionalFormatting>
  <printOptions horizontalCentered="1"/>
  <pageMargins left="0.78740157480314965" right="0" top="0.59055118110236227" bottom="0.19685039370078741" header="0.31496062992125984" footer="0.31496062992125984"/>
  <pageSetup paperSize="9" scale="97" orientation="landscape" r:id="rId1"/>
  <headerFooter>
    <oddHeader>&amp;C&amp;"-,Gras"&amp;14Page &amp;P / &amp;N</oddHead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Feuil32">
    <pageSetUpPr fitToPage="1"/>
  </sheetPr>
  <dimension ref="B1:K30"/>
  <sheetViews>
    <sheetView showGridLines="0" showZeros="0" topLeftCell="A7" zoomScale="80" zoomScaleNormal="80" zoomScaleSheetLayoutView="100" workbookViewId="0">
      <selection activeCell="N20" sqref="N20"/>
    </sheetView>
  </sheetViews>
  <sheetFormatPr baseColWidth="10" defaultColWidth="11.42578125" defaultRowHeight="15"/>
  <cols>
    <col min="1" max="1" width="3.7109375" style="2" customWidth="1"/>
    <col min="2" max="2" width="24.5703125" style="2" customWidth="1"/>
    <col min="3" max="3" width="17.85546875" style="2" customWidth="1"/>
    <col min="4" max="4" width="24.5703125" style="2" customWidth="1"/>
    <col min="5" max="5" width="22.28515625" style="2" customWidth="1"/>
    <col min="6" max="6" width="23.85546875" style="2" customWidth="1"/>
    <col min="7" max="7" width="10" style="2" customWidth="1"/>
    <col min="8" max="11" width="0" style="2" hidden="1" customWidth="1"/>
    <col min="12" max="16384" width="11.42578125" style="2"/>
  </cols>
  <sheetData>
    <row r="1" spans="2:11">
      <c r="B1" s="1649"/>
      <c r="C1" s="1649"/>
      <c r="D1" s="1649"/>
      <c r="E1" s="1649"/>
      <c r="F1" s="1649"/>
      <c r="G1" s="1649"/>
    </row>
    <row r="2" spans="2:11">
      <c r="B2" s="144"/>
      <c r="C2" s="144"/>
      <c r="D2" s="144"/>
      <c r="E2" s="144"/>
      <c r="F2" s="1650" t="str">
        <f>IF([1]ACCUEIL!B1=1,"NOTE 10
NORMAL SYSTEM","NOTE 10
SYSTEME NORMAL")</f>
        <v>NOTE 10
SYSTEME NORMAL</v>
      </c>
      <c r="G2" s="1651"/>
    </row>
    <row r="3" spans="2:11">
      <c r="B3" s="144"/>
      <c r="C3" s="144"/>
      <c r="D3" s="312"/>
      <c r="E3" s="144"/>
      <c r="F3" s="1652"/>
      <c r="G3" s="1653"/>
    </row>
    <row r="4" spans="2:11">
      <c r="B4" s="43" t="str">
        <f>'NOTE 9'!B4</f>
        <v>Désignation entité:</v>
      </c>
      <c r="C4" s="313" t="str">
        <f>'NOTE 9'!C4</f>
        <v/>
      </c>
      <c r="D4" s="313"/>
      <c r="E4" s="319"/>
      <c r="F4" s="144"/>
      <c r="G4" s="144"/>
    </row>
    <row r="5" spans="2:11">
      <c r="B5" s="43" t="str">
        <f>'NOTE 9'!B5</f>
        <v>Sigle usuel :</v>
      </c>
      <c r="C5" s="319" t="str">
        <f>'NOTE 9'!C5</f>
        <v/>
      </c>
      <c r="E5" s="619"/>
      <c r="F5" s="507"/>
      <c r="G5" s="507"/>
    </row>
    <row r="6" spans="2:11">
      <c r="B6" s="43" t="str">
        <f>'NOTE 9'!B6</f>
        <v>Adresse:</v>
      </c>
      <c r="C6" s="402">
        <f>'NOTE 9'!C6</f>
        <v>0</v>
      </c>
      <c r="D6" s="455"/>
      <c r="E6" s="175"/>
      <c r="F6" s="317" t="str">
        <f>'NOTE 9'!F6</f>
        <v>BP:</v>
      </c>
      <c r="G6" s="313" t="str">
        <f>'NOTE 9'!G6</f>
        <v/>
      </c>
    </row>
    <row r="7" spans="2:11">
      <c r="B7" s="43" t="str">
        <f>'NOTE 9'!B7</f>
        <v>Numéro d'identification:</v>
      </c>
      <c r="C7" s="402" t="str">
        <f>'NOTE 9'!C7</f>
        <v/>
      </c>
      <c r="D7" s="481" t="str">
        <f>'NOTE 9'!D7</f>
        <v xml:space="preserve">   Exercice clos le 31 - 12- </v>
      </c>
      <c r="E7" s="402">
        <f>'NOTE 9'!E7</f>
        <v>2025</v>
      </c>
      <c r="F7" s="318" t="str">
        <f>'NOTE 9'!F7</f>
        <v xml:space="preserve">    Durée (en mois):</v>
      </c>
      <c r="G7" s="402">
        <f>'NOTE 9'!G7</f>
        <v>12</v>
      </c>
    </row>
    <row r="8" spans="2:11">
      <c r="B8" s="144"/>
      <c r="C8" s="43"/>
      <c r="D8" s="43"/>
      <c r="E8" s="144"/>
      <c r="F8" s="43"/>
      <c r="G8" s="43"/>
    </row>
    <row r="9" spans="2:11" ht="30" customHeight="1">
      <c r="B9" s="1789" t="str">
        <f>IF([1]ACCUEIL!B1=1,"NOTE 10 RECEIVABLES","NOTE 10 VALEURS A ENCAISSER")</f>
        <v>NOTE 10 VALEURS A ENCAISSER</v>
      </c>
      <c r="C9" s="1789"/>
      <c r="D9" s="1789"/>
      <c r="E9" s="1789"/>
      <c r="F9" s="1789"/>
      <c r="G9" s="1789"/>
    </row>
    <row r="10" spans="2:11" ht="25.5">
      <c r="B10" s="1773" t="str">
        <f>'NOTE 9'!B10:D10</f>
        <v xml:space="preserve">      RUBRIQUES</v>
      </c>
      <c r="C10" s="1862"/>
      <c r="D10" s="1863"/>
      <c r="E10" s="623" t="str">
        <f>'NOTE 9'!E10</f>
        <v>Année 2025</v>
      </c>
      <c r="F10" s="623" t="str">
        <f>'NOTE 9'!F10</f>
        <v>Année 2024</v>
      </c>
      <c r="G10" s="556" t="str">
        <f>'NOTE 9'!G10</f>
        <v xml:space="preserve">Variation en % </v>
      </c>
    </row>
    <row r="11" spans="2:11" s="522" customFormat="1" ht="24" customHeight="1">
      <c r="B11" s="1349" t="str">
        <f>IF([1]ACCUEIL!B1=1,"Bills of exchange to be cashed
","Effets à encaisser")</f>
        <v>Effets à encaisser</v>
      </c>
      <c r="C11" s="1350"/>
      <c r="D11" s="1351"/>
      <c r="E11" s="1352">
        <f>'[1]CLASSE 5'!I57</f>
        <v>0</v>
      </c>
      <c r="F11" s="1352">
        <f>'[1]CLASSE 5'!E57</f>
        <v>0</v>
      </c>
      <c r="G11" s="1353">
        <f>IF(H11=0,0,K11)</f>
        <v>0</v>
      </c>
      <c r="H11" s="522">
        <f>E11-F11</f>
        <v>0</v>
      </c>
      <c r="I11" s="522">
        <f>IF(F11=0,1,IF(F11&lt;0,(E11-F11)/-F11,(E11-F11)/F11))</f>
        <v>1</v>
      </c>
      <c r="J11" s="522">
        <f>IF(H11=E11,IF(E11&lt;0,-1,0))</f>
        <v>0</v>
      </c>
      <c r="K11" s="522">
        <f>IF(J11=-1,-1,I11)</f>
        <v>1</v>
      </c>
    </row>
    <row r="12" spans="2:11" s="522" customFormat="1" ht="24" customHeight="1">
      <c r="B12" s="1349" t="str">
        <f>IF([1]ACCUEIL!B1=1,"Bills of exchange for collection","Effets à l'encaissement")</f>
        <v>Effets à l'encaissement</v>
      </c>
      <c r="C12" s="1350"/>
      <c r="D12" s="1351"/>
      <c r="E12" s="1352">
        <f>'[1]CLASSE 5'!I58</f>
        <v>0</v>
      </c>
      <c r="F12" s="1352">
        <f>'[1]CLASSE 5'!E58</f>
        <v>0</v>
      </c>
      <c r="G12" s="1353">
        <f t="shared" ref="G12:G19" si="0">IF(H12=0,0,K12)</f>
        <v>0</v>
      </c>
      <c r="H12" s="522">
        <f t="shared" ref="H12:H19" si="1">E12-F12</f>
        <v>0</v>
      </c>
      <c r="I12" s="522">
        <f t="shared" ref="I12:I19" si="2">IF(F12=0,1,IF(F12&lt;0,(E12-F12)/-F12,(E12-F12)/F12))</f>
        <v>1</v>
      </c>
      <c r="J12" s="522">
        <f t="shared" ref="J12:J19" si="3">IF(H12=E12,IF(E12&lt;0,-1,0))</f>
        <v>0</v>
      </c>
      <c r="K12" s="522">
        <f t="shared" ref="K12:K19" si="4">IF(J12=-1,-1,I12)</f>
        <v>1</v>
      </c>
    </row>
    <row r="13" spans="2:11" s="522" customFormat="1" ht="24" customHeight="1">
      <c r="B13" s="1349" t="str">
        <f>IF([1]ACCUEIL!B1=1,"Cheques to be cashed","Chèques à encaisser")</f>
        <v>Chèques à encaisser</v>
      </c>
      <c r="C13" s="1350"/>
      <c r="D13" s="1351"/>
      <c r="E13" s="1352">
        <f>'[1]CLASSE 5'!I59</f>
        <v>0</v>
      </c>
      <c r="F13" s="1352">
        <f>'[1]CLASSE 5'!E59</f>
        <v>0</v>
      </c>
      <c r="G13" s="1353">
        <f t="shared" si="0"/>
        <v>0</v>
      </c>
      <c r="H13" s="522">
        <f t="shared" si="1"/>
        <v>0</v>
      </c>
      <c r="I13" s="522">
        <f t="shared" si="2"/>
        <v>1</v>
      </c>
      <c r="J13" s="522">
        <f t="shared" si="3"/>
        <v>0</v>
      </c>
      <c r="K13" s="522">
        <f t="shared" si="4"/>
        <v>1</v>
      </c>
    </row>
    <row r="14" spans="2:11" s="522" customFormat="1" ht="24" customHeight="1">
      <c r="B14" s="1349" t="str">
        <f>IF([1]ACCUEIL!B1=1,"Cheques for collection","Chèques à l'encaissement")</f>
        <v>Chèques à l'encaissement</v>
      </c>
      <c r="C14" s="1350"/>
      <c r="D14" s="1351"/>
      <c r="E14" s="1352">
        <f>'[1]CLASSE 5'!I60</f>
        <v>0</v>
      </c>
      <c r="F14" s="1352">
        <f>'[1]CLASSE 5'!E60</f>
        <v>0</v>
      </c>
      <c r="G14" s="1353">
        <f t="shared" si="0"/>
        <v>0</v>
      </c>
      <c r="H14" s="522">
        <f t="shared" si="1"/>
        <v>0</v>
      </c>
      <c r="I14" s="522">
        <f t="shared" si="2"/>
        <v>1</v>
      </c>
      <c r="J14" s="522">
        <f t="shared" si="3"/>
        <v>0</v>
      </c>
      <c r="K14" s="522">
        <f t="shared" si="4"/>
        <v>1</v>
      </c>
    </row>
    <row r="15" spans="2:11" s="522" customFormat="1" ht="24" customHeight="1">
      <c r="B15" s="1349" t="str">
        <f>IF([1]ACCUEIL!B1=1,"Credit cards to be cashed","Cartes de crédit à encaisser")</f>
        <v>Cartes de crédit à encaisser</v>
      </c>
      <c r="C15" s="1350"/>
      <c r="D15" s="1351"/>
      <c r="E15" s="1352">
        <f>'[1]CLASSE 5'!I61</f>
        <v>0</v>
      </c>
      <c r="F15" s="1352">
        <f>'[1]CLASSE 5'!E61</f>
        <v>0</v>
      </c>
      <c r="G15" s="1353">
        <f t="shared" si="0"/>
        <v>0</v>
      </c>
      <c r="H15" s="522">
        <f t="shared" si="1"/>
        <v>0</v>
      </c>
      <c r="I15" s="522">
        <f t="shared" si="2"/>
        <v>1</v>
      </c>
      <c r="J15" s="522">
        <f t="shared" si="3"/>
        <v>0</v>
      </c>
      <c r="K15" s="522">
        <f t="shared" si="4"/>
        <v>1</v>
      </c>
    </row>
    <row r="16" spans="2:11" s="522" customFormat="1" ht="24" customHeight="1">
      <c r="B16" s="1349" t="str">
        <f>IF([1]ACCUEIL!B1=1,"Other securities to be cashed","Autres valeurs à encaisser")</f>
        <v>Autres valeurs à encaisser</v>
      </c>
      <c r="C16" s="1350"/>
      <c r="D16" s="1351"/>
      <c r="E16" s="1352">
        <f>'[1]CLASSE 5'!I73</f>
        <v>0</v>
      </c>
      <c r="F16" s="1352">
        <f>'[1]CLASSE 5'!E73</f>
        <v>0</v>
      </c>
      <c r="G16" s="1353">
        <f t="shared" si="0"/>
        <v>0</v>
      </c>
      <c r="H16" s="522">
        <f t="shared" si="1"/>
        <v>0</v>
      </c>
      <c r="I16" s="522">
        <f t="shared" si="2"/>
        <v>1</v>
      </c>
      <c r="J16" s="522">
        <f t="shared" si="3"/>
        <v>0</v>
      </c>
      <c r="K16" s="522">
        <f t="shared" si="4"/>
        <v>1</v>
      </c>
    </row>
    <row r="17" spans="2:11" s="522" customFormat="1" ht="24" customHeight="1">
      <c r="B17" s="62" t="str">
        <f>IF([1]ACCUEIL!B1=1,"TOTAL GROSS VALUES TO BE RECEIVED","TOTAL BRUT VALEURS A ENCAISSER")</f>
        <v>TOTAL BRUT VALEURS A ENCAISSER</v>
      </c>
      <c r="C17" s="573"/>
      <c r="D17" s="621"/>
      <c r="E17" s="695">
        <f>SUM(E11:E16)</f>
        <v>0</v>
      </c>
      <c r="F17" s="695">
        <f>SUM(F11:F16)</f>
        <v>0</v>
      </c>
      <c r="G17" s="766">
        <f t="shared" si="0"/>
        <v>0</v>
      </c>
      <c r="H17" s="522">
        <f t="shared" si="1"/>
        <v>0</v>
      </c>
      <c r="I17" s="522">
        <f t="shared" si="2"/>
        <v>1</v>
      </c>
      <c r="J17" s="522">
        <f t="shared" si="3"/>
        <v>0</v>
      </c>
      <c r="K17" s="522">
        <f t="shared" si="4"/>
        <v>1</v>
      </c>
    </row>
    <row r="18" spans="2:11" s="559" customFormat="1" ht="24" customHeight="1">
      <c r="B18" s="1110" t="str">
        <f>IF([1]ACCUEIL!B1=1,"Impairment of assets to be cashed","Dépréciations des valeurs à encaisser")</f>
        <v>Dépréciations des valeurs à encaisser</v>
      </c>
      <c r="C18" s="1188"/>
      <c r="D18" s="1111"/>
      <c r="E18" s="216">
        <f>'[1]CLASSE 5'!J135</f>
        <v>0</v>
      </c>
      <c r="F18" s="216">
        <f>'[1]CLASSE 5'!F135</f>
        <v>0</v>
      </c>
      <c r="G18" s="1189">
        <f t="shared" si="0"/>
        <v>0</v>
      </c>
      <c r="H18" s="559">
        <f t="shared" si="1"/>
        <v>0</v>
      </c>
      <c r="I18" s="559">
        <f t="shared" si="2"/>
        <v>1</v>
      </c>
      <c r="J18" s="559">
        <f t="shared" si="3"/>
        <v>0</v>
      </c>
      <c r="K18" s="559">
        <f t="shared" si="4"/>
        <v>1</v>
      </c>
    </row>
    <row r="19" spans="2:11" s="522" customFormat="1" ht="24" customHeight="1">
      <c r="B19" s="62" t="str">
        <f>IF([1]ACCUEIL!B1=1,"TOTAL NET DEPRECIATION","TOTAL NET DE DEPRECIATION")</f>
        <v>TOTAL NET DE DEPRECIATION</v>
      </c>
      <c r="C19" s="573"/>
      <c r="D19" s="621"/>
      <c r="E19" s="695">
        <f>E17-E18</f>
        <v>0</v>
      </c>
      <c r="F19" s="695">
        <f>F17-F18</f>
        <v>0</v>
      </c>
      <c r="G19" s="766">
        <f t="shared" si="0"/>
        <v>0</v>
      </c>
      <c r="H19" s="522">
        <f t="shared" si="1"/>
        <v>0</v>
      </c>
      <c r="I19" s="522">
        <f t="shared" si="2"/>
        <v>1</v>
      </c>
      <c r="J19" s="522">
        <f t="shared" si="3"/>
        <v>0</v>
      </c>
      <c r="K19" s="522">
        <f t="shared" si="4"/>
        <v>1</v>
      </c>
    </row>
    <row r="20" spans="2:11">
      <c r="B20" s="81"/>
      <c r="C20" s="81"/>
      <c r="D20" s="81"/>
      <c r="E20" s="81"/>
      <c r="F20" s="81"/>
      <c r="G20" s="81"/>
    </row>
    <row r="21" spans="2:11">
      <c r="B21" s="558" t="str">
        <f>'NOTE 9'!B22</f>
        <v>COMMENTAIRE</v>
      </c>
      <c r="C21" s="1660">
        <f>'[1]NOTE 10'!C21:G21</f>
        <v>0</v>
      </c>
      <c r="D21" s="1660"/>
      <c r="E21" s="1660"/>
      <c r="F21" s="1660"/>
      <c r="G21" s="1660"/>
    </row>
    <row r="22" spans="2:11">
      <c r="B22" s="560"/>
      <c r="C22" s="1660">
        <f>'[1]NOTE 10'!C22:G22</f>
        <v>0</v>
      </c>
      <c r="D22" s="1660"/>
      <c r="E22" s="1660"/>
      <c r="F22" s="1660"/>
      <c r="G22" s="1660"/>
    </row>
    <row r="23" spans="2:11">
      <c r="B23" s="560"/>
      <c r="C23" s="1660">
        <f>'[1]NOTE 10'!C23:G23</f>
        <v>0</v>
      </c>
      <c r="D23" s="1660"/>
      <c r="E23" s="1660"/>
      <c r="F23" s="1660"/>
      <c r="G23" s="1660"/>
    </row>
    <row r="24" spans="2:11">
      <c r="B24" s="81"/>
      <c r="C24" s="1660">
        <f>'[1]NOTE 10'!C24:G24</f>
        <v>0</v>
      </c>
      <c r="D24" s="1660"/>
      <c r="E24" s="1660"/>
      <c r="F24" s="1660"/>
      <c r="G24" s="1660"/>
    </row>
    <row r="25" spans="2:11">
      <c r="B25" s="81"/>
      <c r="C25" s="1660">
        <f>'[1]NOTE 10'!C25:G25</f>
        <v>0</v>
      </c>
      <c r="D25" s="1660"/>
      <c r="E25" s="1660"/>
      <c r="F25" s="1660"/>
      <c r="G25" s="1660"/>
    </row>
    <row r="26" spans="2:11">
      <c r="B26" s="81"/>
      <c r="C26" s="1660">
        <f>'[1]NOTE 10'!C26:G26</f>
        <v>0</v>
      </c>
      <c r="D26" s="1660"/>
      <c r="E26" s="1660"/>
      <c r="F26" s="1660"/>
      <c r="G26" s="1660"/>
    </row>
    <row r="27" spans="2:11">
      <c r="B27" s="81"/>
      <c r="C27" s="1660">
        <f>'[1]NOTE 10'!C27:G27</f>
        <v>0</v>
      </c>
      <c r="D27" s="1660"/>
      <c r="E27" s="1660"/>
      <c r="F27" s="1660"/>
      <c r="G27" s="1660"/>
    </row>
    <row r="28" spans="2:11">
      <c r="C28" s="1660">
        <f>'[1]NOTE 10'!C28:G28</f>
        <v>0</v>
      </c>
      <c r="D28" s="1660"/>
      <c r="E28" s="1660"/>
      <c r="F28" s="1660"/>
      <c r="G28" s="1660"/>
    </row>
    <row r="29" spans="2:11">
      <c r="C29" s="1660">
        <f>'[1]NOTE 10'!C29:G29</f>
        <v>0</v>
      </c>
      <c r="D29" s="1660"/>
      <c r="E29" s="1660"/>
      <c r="F29" s="1660"/>
      <c r="G29" s="1660"/>
    </row>
    <row r="30" spans="2:11">
      <c r="C30" s="1660">
        <f>'[1]NOTE 10'!C30:G30</f>
        <v>0</v>
      </c>
      <c r="D30" s="1660"/>
      <c r="E30" s="1660"/>
      <c r="F30" s="1660"/>
      <c r="G30" s="1660"/>
    </row>
  </sheetData>
  <sheetProtection selectLockedCells="1"/>
  <mergeCells count="14">
    <mergeCell ref="C29:G29"/>
    <mergeCell ref="C30:G30"/>
    <mergeCell ref="C23:G23"/>
    <mergeCell ref="C24:G24"/>
    <mergeCell ref="C25:G25"/>
    <mergeCell ref="C26:G26"/>
    <mergeCell ref="C27:G27"/>
    <mergeCell ref="C28:G28"/>
    <mergeCell ref="C22:G22"/>
    <mergeCell ref="B1:G1"/>
    <mergeCell ref="F2:G3"/>
    <mergeCell ref="B9:G9"/>
    <mergeCell ref="B10:D10"/>
    <mergeCell ref="C21:G21"/>
  </mergeCells>
  <conditionalFormatting sqref="F5:G5 D6 F6">
    <cfRule type="expression" dxfId="29" priority="1">
      <formula>#REF!=1</formula>
    </cfRule>
  </conditionalFormatting>
  <printOptions horizontalCentered="1"/>
  <pageMargins left="0.78740157480314965" right="0" top="0.59055118110236227" bottom="0.19685039370078741" header="0.31496062992125984" footer="0.31496062992125984"/>
  <pageSetup paperSize="9" scale="75" orientation="portrait" r:id="rId1"/>
  <headerFooter>
    <oddHeader>&amp;C&amp;"-,Gras"&amp;14Page &amp;P / &amp;N</oddHead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33">
    <pageSetUpPr fitToPage="1"/>
  </sheetPr>
  <dimension ref="B1:P36"/>
  <sheetViews>
    <sheetView showGridLines="0" showZeros="0" topLeftCell="A16" zoomScale="80" zoomScaleNormal="80" zoomScaleSheetLayoutView="100" workbookViewId="0">
      <selection activeCell="O26" sqref="O26"/>
    </sheetView>
  </sheetViews>
  <sheetFormatPr baseColWidth="10" defaultColWidth="11.42578125" defaultRowHeight="15"/>
  <cols>
    <col min="1" max="1" width="5.140625" style="2" customWidth="1"/>
    <col min="2" max="2" width="25.28515625" style="2" customWidth="1"/>
    <col min="3" max="3" width="18.42578125" style="2" customWidth="1"/>
    <col min="4" max="4" width="27.42578125" style="2" bestFit="1" customWidth="1"/>
    <col min="5" max="5" width="22.7109375" style="2" customWidth="1"/>
    <col min="6" max="6" width="22.42578125" style="2" bestFit="1" customWidth="1"/>
    <col min="7" max="7" width="11" style="2" customWidth="1"/>
    <col min="8" max="8" width="7.28515625" style="2" hidden="1" customWidth="1"/>
    <col min="9" max="9" width="10.85546875" style="2" hidden="1" customWidth="1"/>
    <col min="10" max="10" width="10.5703125" style="2" hidden="1" customWidth="1"/>
    <col min="11" max="11" width="7.85546875" style="2" hidden="1" customWidth="1"/>
    <col min="12" max="16384" width="11.42578125" style="2"/>
  </cols>
  <sheetData>
    <row r="1" spans="2:11">
      <c r="B1" s="1649"/>
      <c r="C1" s="1649"/>
      <c r="D1" s="1649"/>
      <c r="E1" s="1649"/>
      <c r="F1" s="1649"/>
      <c r="G1" s="1649"/>
    </row>
    <row r="2" spans="2:11">
      <c r="B2" s="144"/>
      <c r="C2" s="144"/>
      <c r="D2" s="144"/>
      <c r="E2" s="144"/>
      <c r="F2" s="1650" t="str">
        <f>IF([1]ACCUEIL!B1=1,"NOTE 11
NORMAL SYSTEM","NOTE 11
SYSTEME NORMAL")</f>
        <v>NOTE 11
SYSTEME NORMAL</v>
      </c>
      <c r="G2" s="1651"/>
    </row>
    <row r="3" spans="2:11">
      <c r="B3" s="144"/>
      <c r="C3" s="144"/>
      <c r="D3" s="144"/>
      <c r="E3" s="312"/>
      <c r="F3" s="1652"/>
      <c r="G3" s="1653"/>
    </row>
    <row r="4" spans="2:11">
      <c r="B4" s="43" t="str">
        <f>'NOTE 10'!B4</f>
        <v>Désignation entité:</v>
      </c>
      <c r="C4" s="373" t="str">
        <f>'NOTE 10'!C4</f>
        <v/>
      </c>
      <c r="D4" s="373"/>
      <c r="E4" s="319"/>
      <c r="F4" s="43"/>
      <c r="G4" s="43"/>
    </row>
    <row r="5" spans="2:11">
      <c r="B5" s="43" t="str">
        <f>'NOTE 10'!B5</f>
        <v>Sigle usuel :</v>
      </c>
      <c r="C5" s="373" t="str">
        <f>'NOTE 10'!C5</f>
        <v/>
      </c>
      <c r="E5" s="377"/>
      <c r="F5" s="624"/>
      <c r="G5" s="625"/>
    </row>
    <row r="6" spans="2:11">
      <c r="B6" s="43" t="str">
        <f>'NOTE 10'!B6</f>
        <v>Adresse:</v>
      </c>
      <c r="C6" s="373">
        <f>'NOTE 10'!C6</f>
        <v>0</v>
      </c>
      <c r="D6" s="378"/>
      <c r="E6" s="379"/>
      <c r="F6" s="626" t="str">
        <f>'NOTE 10'!F6</f>
        <v>BP:</v>
      </c>
      <c r="G6" s="380" t="str">
        <f>'NOTE 10'!G6</f>
        <v/>
      </c>
    </row>
    <row r="7" spans="2:11">
      <c r="B7" s="43" t="str">
        <f>'NOTE 10'!B7</f>
        <v>Numéro d'identification:</v>
      </c>
      <c r="C7" s="319" t="str">
        <f>'NOTE 10'!C7</f>
        <v/>
      </c>
      <c r="D7" s="481" t="str">
        <f>'NOTE 10'!D7</f>
        <v xml:space="preserve">   Exercice clos le 31 - 12- </v>
      </c>
      <c r="E7" s="319">
        <f>'NOTE 10'!E7</f>
        <v>2025</v>
      </c>
      <c r="F7" s="318" t="str">
        <f>'NOTE 10'!F7</f>
        <v xml:space="preserve">    Durée (en mois):</v>
      </c>
      <c r="G7" s="380">
        <f>'NOTE 10'!G7</f>
        <v>12</v>
      </c>
    </row>
    <row r="8" spans="2:11">
      <c r="B8" s="43"/>
      <c r="C8" s="376"/>
      <c r="D8" s="43"/>
      <c r="E8" s="376"/>
      <c r="F8" s="43"/>
      <c r="G8" s="43"/>
    </row>
    <row r="9" spans="2:11" ht="30" customHeight="1">
      <c r="B9" s="1789" t="str">
        <f>IF([1]ACCUEIL!B1=1,"NOTE 11 AVAILABILITIES","NOTE 11 DISPONIBILITES")</f>
        <v>NOTE 11 DISPONIBILITES</v>
      </c>
      <c r="C9" s="1789"/>
      <c r="D9" s="1789"/>
      <c r="E9" s="1789"/>
      <c r="F9" s="1789"/>
      <c r="G9" s="1789"/>
    </row>
    <row r="10" spans="2:11" ht="25.5">
      <c r="B10" s="1865" t="str">
        <f>'NOTE 10'!B10:D10</f>
        <v xml:space="preserve">      RUBRIQUES</v>
      </c>
      <c r="C10" s="1866"/>
      <c r="D10" s="1867"/>
      <c r="E10" s="627" t="str">
        <f>'NOTE 10'!E10</f>
        <v>Année 2025</v>
      </c>
      <c r="F10" s="627" t="str">
        <f>'NOTE 10'!F10</f>
        <v>Année 2024</v>
      </c>
      <c r="G10" s="562" t="str">
        <f>'NOTE 10'!G10</f>
        <v xml:space="preserve">Variation en % </v>
      </c>
    </row>
    <row r="11" spans="2:11" ht="24" customHeight="1">
      <c r="B11" s="1306" t="str">
        <f>IF([1]ACCUEIL!B1=1,"Local Banks","Banques locales")</f>
        <v>Banques locales</v>
      </c>
      <c r="C11" s="1328"/>
      <c r="D11" s="1307"/>
      <c r="E11" s="1352">
        <f>'[1]CLASSE 5'!I75+'[1]CLASSE 5'!I77+'[1]CLASSE 5'!I79</f>
        <v>0</v>
      </c>
      <c r="F11" s="1352">
        <f>'[1]CLASSE 5'!E80</f>
        <v>0</v>
      </c>
      <c r="G11" s="1353">
        <f>IF(H11=0,0,K11)</f>
        <v>0</v>
      </c>
      <c r="H11" s="1354">
        <f>E11-F11</f>
        <v>0</v>
      </c>
      <c r="I11" s="628">
        <f>IF(F11=0,1,IF(F11&lt;0,(E11-F11)/-F11,(E11-F11)/F11))</f>
        <v>1</v>
      </c>
      <c r="J11" s="628">
        <f>IF(H11=E11,IF(E11&lt;0,-1,0))</f>
        <v>0</v>
      </c>
      <c r="K11" s="628">
        <f>IF(J11=-1,-1,I11)</f>
        <v>1</v>
      </c>
    </row>
    <row r="12" spans="2:11" ht="24" customHeight="1">
      <c r="B12" s="1717" t="str">
        <f>IF([1]ACCUEIL!B1=1,"Banks other states region","Banques autres états région")</f>
        <v>Banques autres états région</v>
      </c>
      <c r="C12" s="1868"/>
      <c r="D12" s="1307"/>
      <c r="E12" s="1339">
        <f>'[1]CLASSE 5'!I81</f>
        <v>0</v>
      </c>
      <c r="F12" s="1339">
        <f>'[1]CLASSE 5'!E81</f>
        <v>0</v>
      </c>
      <c r="G12" s="1353">
        <f t="shared" ref="G12:G25" si="0">IF(H12=0,0,K12)</f>
        <v>0</v>
      </c>
      <c r="H12" s="628">
        <f t="shared" ref="H12:H25" si="1">E12-F12</f>
        <v>0</v>
      </c>
      <c r="I12" s="628">
        <f t="shared" ref="I12:I25" si="2">IF(F12=0,1,IF(F12&lt;0,(E12-F12)/-F12,(E12-F12)/F12))</f>
        <v>1</v>
      </c>
      <c r="J12" s="628">
        <f t="shared" ref="J12:J25" si="3">IF(H12=E12,IF(E12&lt;0,-1,0))</f>
        <v>0</v>
      </c>
      <c r="K12" s="628">
        <f t="shared" ref="K12:K25" si="4">IF(J12=-1,-1,I12)</f>
        <v>1</v>
      </c>
    </row>
    <row r="13" spans="2:11" ht="24" customHeight="1">
      <c r="B13" s="1717" t="str">
        <f>IF([1]ACCUEIL!B1=1,"Banks, term deposit ","Banques, dépôt à terme ")</f>
        <v xml:space="preserve">Banques, dépôt à terme </v>
      </c>
      <c r="C13" s="1868"/>
      <c r="D13" s="1307"/>
      <c r="E13" s="1339">
        <f>'[1]CLASSE 5'!I84</f>
        <v>0</v>
      </c>
      <c r="F13" s="1339">
        <f>'[1]CLASSE 5'!E84</f>
        <v>0</v>
      </c>
      <c r="G13" s="1353">
        <f t="shared" si="0"/>
        <v>0</v>
      </c>
      <c r="H13" s="628">
        <f t="shared" si="1"/>
        <v>0</v>
      </c>
      <c r="I13" s="628">
        <f t="shared" si="2"/>
        <v>1</v>
      </c>
      <c r="J13" s="628">
        <f t="shared" si="3"/>
        <v>0</v>
      </c>
      <c r="K13" s="628">
        <f t="shared" si="4"/>
        <v>1</v>
      </c>
    </row>
    <row r="14" spans="2:11" ht="24" customHeight="1">
      <c r="B14" s="1306" t="str">
        <f>IF([1]ACCUEIL!B1=1,"Other Banks","Autres banques")</f>
        <v>Autres banques</v>
      </c>
      <c r="C14" s="1328"/>
      <c r="D14" s="1307"/>
      <c r="E14" s="1339">
        <f>'[1]CLASSE 5'!I82+'[1]CLASSE 5'!I83</f>
        <v>0</v>
      </c>
      <c r="F14" s="1339">
        <f>'[1]CLASSE 5'!E82+'[1]CLASSE 5'!E83</f>
        <v>0</v>
      </c>
      <c r="G14" s="1353">
        <f t="shared" si="0"/>
        <v>0</v>
      </c>
      <c r="H14" s="2">
        <f t="shared" si="1"/>
        <v>0</v>
      </c>
      <c r="I14" s="2">
        <f t="shared" si="2"/>
        <v>1</v>
      </c>
      <c r="J14" s="2">
        <f t="shared" si="3"/>
        <v>0</v>
      </c>
      <c r="K14" s="2">
        <f t="shared" si="4"/>
        <v>1</v>
      </c>
    </row>
    <row r="15" spans="2:11" ht="24" customHeight="1">
      <c r="B15" s="1306" t="str">
        <f>IF([1]ACCUEIL!B1=1,"Banks accrued interest","Banques intérêts courus")</f>
        <v>Banques intérêts courus</v>
      </c>
      <c r="C15" s="1328"/>
      <c r="D15" s="1307"/>
      <c r="E15" s="1339">
        <f>'[1]CLASSE 5'!I90</f>
        <v>0</v>
      </c>
      <c r="F15" s="1339">
        <f>'[1]CLASSE 5'!E90</f>
        <v>0</v>
      </c>
      <c r="G15" s="1353">
        <f t="shared" si="0"/>
        <v>0</v>
      </c>
      <c r="H15" s="2">
        <f t="shared" si="1"/>
        <v>0</v>
      </c>
      <c r="I15" s="2">
        <f t="shared" si="2"/>
        <v>1</v>
      </c>
      <c r="J15" s="2">
        <f t="shared" si="3"/>
        <v>0</v>
      </c>
      <c r="K15" s="2">
        <f t="shared" si="4"/>
        <v>1</v>
      </c>
    </row>
    <row r="16" spans="2:11" ht="24" customHeight="1">
      <c r="B16" s="1306" t="str">
        <f>IF([1]ACCUEIL!B1=1,"Postal checks","Chèques postaux")</f>
        <v>Chèques postaux</v>
      </c>
      <c r="C16" s="1328"/>
      <c r="D16" s="1307"/>
      <c r="E16" s="1339">
        <f>'[1]CLASSE 5'!I91</f>
        <v>0</v>
      </c>
      <c r="F16" s="1339">
        <f>'[1]CLASSE 5'!E91</f>
        <v>0</v>
      </c>
      <c r="G16" s="1353">
        <f t="shared" si="0"/>
        <v>0</v>
      </c>
      <c r="H16" s="2">
        <f t="shared" si="1"/>
        <v>0</v>
      </c>
      <c r="I16" s="2">
        <f t="shared" si="2"/>
        <v>1</v>
      </c>
      <c r="J16" s="2">
        <f t="shared" si="3"/>
        <v>0</v>
      </c>
      <c r="K16" s="2">
        <f t="shared" si="4"/>
        <v>1</v>
      </c>
    </row>
    <row r="17" spans="2:11" ht="24" customHeight="1">
      <c r="B17" s="1717" t="str">
        <f>IF([1]ACCUEIL!B1=1,"Other financial establishments","Autres établissements financiers")</f>
        <v>Autres établissements financiers</v>
      </c>
      <c r="C17" s="1868"/>
      <c r="D17" s="1307"/>
      <c r="E17" s="1339">
        <f>SUM('[1]CLASSE 5'!I92:I93)+'[1]CLASSE 5'!I95</f>
        <v>0</v>
      </c>
      <c r="F17" s="1339">
        <f>SUM('[1]CLASSE 5'!E92:E93)+'[1]CLASSE 5'!E95</f>
        <v>0</v>
      </c>
      <c r="G17" s="1353">
        <f t="shared" si="0"/>
        <v>0</v>
      </c>
      <c r="H17" s="2">
        <f t="shared" si="1"/>
        <v>0</v>
      </c>
      <c r="I17" s="2">
        <f t="shared" si="2"/>
        <v>1</v>
      </c>
      <c r="J17" s="2">
        <f t="shared" si="3"/>
        <v>0</v>
      </c>
      <c r="K17" s="2">
        <f t="shared" si="4"/>
        <v>1</v>
      </c>
    </row>
    <row r="18" spans="2:11" ht="24" customHeight="1">
      <c r="B18" s="1717" t="str">
        <f>IF([1]ACCUEIL!B1=1,"Financial institutions accrued interest","Etablissements financiers intérêts courus")</f>
        <v>Etablissements financiers intérêts courus</v>
      </c>
      <c r="C18" s="1868"/>
      <c r="D18" s="1307"/>
      <c r="E18" s="1339">
        <f>'[1]CLASSE 5'!I94</f>
        <v>0</v>
      </c>
      <c r="F18" s="1339">
        <f>'[1]CLASSE 5'!E94</f>
        <v>0</v>
      </c>
      <c r="G18" s="1353">
        <f t="shared" si="0"/>
        <v>0</v>
      </c>
      <c r="H18" s="2">
        <f t="shared" si="1"/>
        <v>0</v>
      </c>
      <c r="I18" s="2">
        <f t="shared" si="2"/>
        <v>1</v>
      </c>
      <c r="J18" s="2">
        <f t="shared" si="3"/>
        <v>0</v>
      </c>
      <c r="K18" s="2">
        <f t="shared" si="4"/>
        <v>1</v>
      </c>
    </row>
    <row r="19" spans="2:11" ht="24" customHeight="1">
      <c r="B19" s="1717" t="str">
        <f>IF([1]ACCUEIL!B1=1,"Treasury instruments","Instruments de trésorerie")</f>
        <v>Instruments de trésorerie</v>
      </c>
      <c r="C19" s="1868"/>
      <c r="D19" s="1307"/>
      <c r="E19" s="1339">
        <f>SUM('[1]CLASSE 5'!I96:I107)</f>
        <v>0</v>
      </c>
      <c r="F19" s="1339">
        <f>SUM('[1]CLASSE 5'!E96:E107)</f>
        <v>0</v>
      </c>
      <c r="G19" s="1353">
        <f t="shared" si="0"/>
        <v>0</v>
      </c>
      <c r="H19" s="2">
        <f t="shared" si="1"/>
        <v>0</v>
      </c>
      <c r="I19" s="2">
        <f t="shared" si="2"/>
        <v>1</v>
      </c>
      <c r="J19" s="2">
        <f t="shared" si="3"/>
        <v>0</v>
      </c>
      <c r="K19" s="2">
        <f t="shared" si="4"/>
        <v>1</v>
      </c>
    </row>
    <row r="20" spans="2:11" ht="24" customHeight="1">
      <c r="B20" s="1306" t="str">
        <f>IF([1]ACCUEIL!B1=1,"Cashes","Caisses")</f>
        <v>Caisses</v>
      </c>
      <c r="C20" s="1328"/>
      <c r="D20" s="1307"/>
      <c r="E20" s="1339">
        <f>'[1]CLASSE 5'!I117</f>
        <v>0</v>
      </c>
      <c r="F20" s="1339">
        <f>'[1]CLASSE 5'!E117</f>
        <v>0</v>
      </c>
      <c r="G20" s="1353">
        <f t="shared" si="0"/>
        <v>0</v>
      </c>
      <c r="H20" s="2">
        <f t="shared" si="1"/>
        <v>0</v>
      </c>
      <c r="I20" s="2">
        <f t="shared" si="2"/>
        <v>1</v>
      </c>
      <c r="J20" s="2">
        <f t="shared" si="3"/>
        <v>0</v>
      </c>
      <c r="K20" s="2">
        <f t="shared" si="4"/>
        <v>1</v>
      </c>
    </row>
    <row r="21" spans="2:11" ht="24" customHeight="1">
      <c r="B21" s="1717" t="str">
        <f>IF([1]ACCUEIL!B1=1,"Mobile electronic cash desks","Caisses électronique mobile")</f>
        <v>Caisses électronique mobile</v>
      </c>
      <c r="C21" s="1868"/>
      <c r="D21" s="1307"/>
      <c r="E21" s="1339">
        <f>'[1]CLASSE 5'!I123+'[1]CLASSE 5'!I129</f>
        <v>0</v>
      </c>
      <c r="F21" s="1339">
        <f>'[1]CLASSE 5'!E123+'[1]CLASSE 5'!E129</f>
        <v>0</v>
      </c>
      <c r="G21" s="1353">
        <f t="shared" si="0"/>
        <v>0</v>
      </c>
      <c r="H21" s="2">
        <f t="shared" si="1"/>
        <v>0</v>
      </c>
      <c r="I21" s="2">
        <f t="shared" si="2"/>
        <v>1</v>
      </c>
      <c r="J21" s="2">
        <f t="shared" si="3"/>
        <v>0</v>
      </c>
      <c r="K21" s="2">
        <f t="shared" si="4"/>
        <v>1</v>
      </c>
    </row>
    <row r="22" spans="2:11" ht="24" customHeight="1">
      <c r="B22" s="1717" t="str">
        <f>IF([1]ACCUEIL!B1=1,"Credit imprest accounts and transfers","Régies d'avances et virements accréditifs")</f>
        <v>Régies d'avances et virements accréditifs</v>
      </c>
      <c r="C22" s="1868"/>
      <c r="D22" s="1355"/>
      <c r="E22" s="1336">
        <f>SUM('[1]CLASSE 5'!I130:I133)</f>
        <v>0</v>
      </c>
      <c r="F22" s="1336">
        <f>SUM('[1]CLASSE 5'!E130:E133)</f>
        <v>0</v>
      </c>
      <c r="G22" s="1353">
        <f t="shared" si="0"/>
        <v>0</v>
      </c>
      <c r="H22" s="2">
        <f t="shared" si="1"/>
        <v>0</v>
      </c>
      <c r="I22" s="2">
        <f t="shared" si="2"/>
        <v>1</v>
      </c>
      <c r="J22" s="2">
        <f t="shared" si="3"/>
        <v>0</v>
      </c>
      <c r="K22" s="2">
        <f t="shared" si="4"/>
        <v>1</v>
      </c>
    </row>
    <row r="23" spans="2:11" ht="24" customHeight="1">
      <c r="B23" s="1802" t="str">
        <f>IF([1]ACCUEIL!B1=1,"TOTAL DES DISPONIBILITÉS BRUTES","TOTAL BRUT DISPONIBILITES")</f>
        <v>TOTAL BRUT DISPONIBILITES</v>
      </c>
      <c r="C23" s="1864"/>
      <c r="D23" s="460"/>
      <c r="E23" s="1356">
        <f>SUM(E11:E22)</f>
        <v>0</v>
      </c>
      <c r="F23" s="695">
        <f>SUM(F11:F22)</f>
        <v>0</v>
      </c>
      <c r="G23" s="766">
        <f t="shared" si="0"/>
        <v>0</v>
      </c>
      <c r="H23" s="2">
        <f t="shared" si="1"/>
        <v>0</v>
      </c>
      <c r="I23" s="2">
        <f t="shared" si="2"/>
        <v>1</v>
      </c>
      <c r="J23" s="2">
        <f t="shared" si="3"/>
        <v>0</v>
      </c>
      <c r="K23" s="2">
        <f t="shared" si="4"/>
        <v>1</v>
      </c>
    </row>
    <row r="24" spans="2:11" s="9" customFormat="1" ht="24" customHeight="1">
      <c r="B24" s="1717" t="str">
        <f>IF([1]ACCUEIL!B1=1,"Impairments","Dépréciations")</f>
        <v>Dépréciations</v>
      </c>
      <c r="C24" s="1868"/>
      <c r="D24" s="215"/>
      <c r="E24" s="1211">
        <f>SUM('[1]CLASSE 5'!J136:J138)</f>
        <v>0</v>
      </c>
      <c r="F24" s="1211">
        <f>SUM('[1]CLASSE 5'!F136:F138)</f>
        <v>0</v>
      </c>
      <c r="G24" s="1189">
        <f t="shared" si="0"/>
        <v>0</v>
      </c>
      <c r="H24" s="9">
        <f t="shared" si="1"/>
        <v>0</v>
      </c>
      <c r="I24" s="9">
        <f t="shared" si="2"/>
        <v>1</v>
      </c>
      <c r="J24" s="9">
        <f t="shared" si="3"/>
        <v>0</v>
      </c>
      <c r="K24" s="9">
        <f t="shared" si="4"/>
        <v>1</v>
      </c>
    </row>
    <row r="25" spans="2:11" ht="24" customHeight="1">
      <c r="B25" s="1802" t="str">
        <f>IF([1]ACCUEIL!B1=1,"TOTAL NET OF DEPRECIATIONS","TOTAL NET DE DEPRECIATIONS")</f>
        <v>TOTAL NET DE DEPRECIATIONS</v>
      </c>
      <c r="C25" s="1864"/>
      <c r="D25" s="460"/>
      <c r="E25" s="1356">
        <f>E23-E24</f>
        <v>0</v>
      </c>
      <c r="F25" s="695">
        <f>F23-F24</f>
        <v>0</v>
      </c>
      <c r="G25" s="766">
        <f t="shared" si="0"/>
        <v>0</v>
      </c>
      <c r="H25" s="2">
        <f t="shared" si="1"/>
        <v>0</v>
      </c>
      <c r="I25" s="2">
        <f t="shared" si="2"/>
        <v>1</v>
      </c>
      <c r="J25" s="2">
        <f t="shared" si="3"/>
        <v>0</v>
      </c>
      <c r="K25" s="2">
        <f t="shared" si="4"/>
        <v>1</v>
      </c>
    </row>
    <row r="26" spans="2:11" ht="36" customHeight="1">
      <c r="B26" s="1799" t="str">
        <f>IF([1]ACCUEIL!B1=1,"NB: Banks and accrued interest and financial institution accrued interest are included under this negative heading if the attached principal account is in debit.","NB : Banques et intérêts courus et établissement financiers intérêts courus figurent dans cette rubrique négatif si le compte principal attaché est débiteur")</f>
        <v>NB : Banques et intérêts courus et établissement financiers intérêts courus figurent dans cette rubrique négatif si le compte principal attaché est débiteur</v>
      </c>
      <c r="C26" s="1799"/>
      <c r="D26" s="1799"/>
      <c r="E26" s="1799"/>
      <c r="F26" s="1799"/>
      <c r="G26" s="1799"/>
    </row>
    <row r="27" spans="2:11">
      <c r="B27" s="558" t="str">
        <f>'NOTE 10'!B21</f>
        <v>COMMENTAIRE</v>
      </c>
      <c r="C27" s="1660">
        <f>'[1]NOTE 11'!C27:G27</f>
        <v>0</v>
      </c>
      <c r="D27" s="1660"/>
      <c r="E27" s="1660"/>
      <c r="F27" s="1660"/>
      <c r="G27" s="1660"/>
    </row>
    <row r="28" spans="2:11">
      <c r="B28" s="560"/>
      <c r="C28" s="1660">
        <f>'[1]NOTE 11'!C28:G28</f>
        <v>0</v>
      </c>
      <c r="D28" s="1660"/>
      <c r="E28" s="1660"/>
      <c r="F28" s="1660"/>
      <c r="G28" s="1660"/>
    </row>
    <row r="29" spans="2:11">
      <c r="B29" s="560"/>
      <c r="C29" s="1660">
        <f>'[1]NOTE 11'!C29:G29</f>
        <v>0</v>
      </c>
      <c r="D29" s="1660"/>
      <c r="E29" s="1660"/>
      <c r="F29" s="1660"/>
      <c r="G29" s="1660"/>
    </row>
    <row r="30" spans="2:11">
      <c r="B30" s="560"/>
      <c r="C30" s="1660">
        <f>'[1]NOTE 11'!C30:G30</f>
        <v>0</v>
      </c>
      <c r="D30" s="1660"/>
      <c r="E30" s="1660"/>
      <c r="F30" s="1660"/>
      <c r="G30" s="1660"/>
    </row>
    <row r="31" spans="2:11">
      <c r="B31" s="560"/>
      <c r="C31" s="1660">
        <f>'[1]NOTE 11'!C31:G31</f>
        <v>0</v>
      </c>
      <c r="D31" s="1660"/>
      <c r="E31" s="1660"/>
      <c r="F31" s="1660"/>
      <c r="G31" s="1660"/>
    </row>
    <row r="32" spans="2:11">
      <c r="B32" s="560"/>
      <c r="C32" s="1660">
        <f>'[1]NOTE 11'!C32:G32</f>
        <v>0</v>
      </c>
      <c r="D32" s="1660"/>
      <c r="E32" s="1660"/>
      <c r="F32" s="1660"/>
      <c r="G32" s="1660"/>
    </row>
    <row r="33" spans="2:16">
      <c r="B33" s="81"/>
      <c r="C33" s="1660">
        <f>'[1]NOTE 11'!C33:G33</f>
        <v>0</v>
      </c>
      <c r="D33" s="1660"/>
      <c r="E33" s="1660"/>
      <c r="F33" s="1660"/>
      <c r="G33" s="1660"/>
    </row>
    <row r="34" spans="2:16">
      <c r="C34" s="1660">
        <f>'[1]NOTE 11'!C34:G34</f>
        <v>0</v>
      </c>
      <c r="D34" s="1660"/>
      <c r="E34" s="1660"/>
      <c r="F34" s="1660"/>
      <c r="G34" s="1660"/>
      <c r="H34" s="561"/>
      <c r="I34" s="561"/>
      <c r="J34" s="561"/>
      <c r="K34" s="561"/>
      <c r="L34" s="561"/>
      <c r="M34" s="561"/>
      <c r="N34" s="561"/>
      <c r="O34" s="561"/>
      <c r="P34" s="561"/>
    </row>
    <row r="35" spans="2:16">
      <c r="C35" s="1660">
        <f>'[1]NOTE 11'!C35:G35</f>
        <v>0</v>
      </c>
      <c r="D35" s="1660"/>
      <c r="E35" s="1660"/>
      <c r="F35" s="1660"/>
      <c r="G35" s="1660"/>
    </row>
    <row r="36" spans="2:16">
      <c r="C36" s="1660">
        <f>'[1]NOTE 11'!C36:G36</f>
        <v>0</v>
      </c>
      <c r="D36" s="1660"/>
      <c r="E36" s="1660"/>
      <c r="F36" s="1660"/>
      <c r="G36" s="1660"/>
    </row>
  </sheetData>
  <sheetProtection selectLockedCells="1" selectUnlockedCells="1"/>
  <mergeCells count="25">
    <mergeCell ref="B24:C24"/>
    <mergeCell ref="C36:G36"/>
    <mergeCell ref="B25:C25"/>
    <mergeCell ref="B26:G26"/>
    <mergeCell ref="C27:G27"/>
    <mergeCell ref="C28:G28"/>
    <mergeCell ref="C29:G29"/>
    <mergeCell ref="C30:G30"/>
    <mergeCell ref="C31:G31"/>
    <mergeCell ref="C32:G32"/>
    <mergeCell ref="C33:G33"/>
    <mergeCell ref="C34:G34"/>
    <mergeCell ref="C35:G35"/>
    <mergeCell ref="B23:C23"/>
    <mergeCell ref="B1:G1"/>
    <mergeCell ref="F2:G3"/>
    <mergeCell ref="B9:G9"/>
    <mergeCell ref="B10:D10"/>
    <mergeCell ref="B12:C12"/>
    <mergeCell ref="B13:C13"/>
    <mergeCell ref="B17:C17"/>
    <mergeCell ref="B18:C18"/>
    <mergeCell ref="B19:C19"/>
    <mergeCell ref="B21:C21"/>
    <mergeCell ref="B22:C22"/>
  </mergeCells>
  <conditionalFormatting sqref="F5:G5 D6">
    <cfRule type="expression" dxfId="28" priority="1">
      <formula>#REF!=1</formula>
    </cfRule>
  </conditionalFormatting>
  <printOptions horizontalCentered="1"/>
  <pageMargins left="0.78740157480314965" right="0" top="0.59055118110236227" bottom="0.19685039370078741" header="0.31496062992125984" footer="0.31496062992125984"/>
  <pageSetup paperSize="9" scale="72" orientation="portrait" r:id="rId1"/>
  <headerFooter>
    <oddHeader>&amp;C&amp;"-,Gras"&amp;14Page &amp;P / &amp;N</oddHead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Feuil34">
    <pageSetUpPr fitToPage="1"/>
  </sheetPr>
  <dimension ref="B1:L64"/>
  <sheetViews>
    <sheetView showGridLines="0" showZeros="0" topLeftCell="A9" zoomScaleNormal="100" zoomScaleSheetLayoutView="100" workbookViewId="0">
      <selection activeCell="C59" sqref="C59:G64"/>
    </sheetView>
  </sheetViews>
  <sheetFormatPr baseColWidth="10" defaultColWidth="11.42578125" defaultRowHeight="15"/>
  <cols>
    <col min="1" max="1" width="5.28515625" style="2" customWidth="1"/>
    <col min="2" max="2" width="24.5703125" style="2" customWidth="1"/>
    <col min="3" max="3" width="17.28515625" style="2" customWidth="1"/>
    <col min="4" max="4" width="17" style="2" customWidth="1"/>
    <col min="5" max="5" width="20.7109375" style="2" customWidth="1"/>
    <col min="6" max="6" width="16.42578125" style="2" customWidth="1"/>
    <col min="7" max="7" width="23.85546875" style="2" bestFit="1" customWidth="1"/>
    <col min="8" max="8" width="17.5703125" style="2" bestFit="1" customWidth="1"/>
    <col min="9" max="9" width="8.85546875" style="2" hidden="1" customWidth="1"/>
    <col min="10" max="10" width="8.42578125" style="2" hidden="1" customWidth="1"/>
    <col min="11" max="11" width="8" style="2" hidden="1" customWidth="1"/>
    <col min="12" max="12" width="13.28515625" style="2" hidden="1" customWidth="1"/>
    <col min="13" max="16384" width="11.42578125" style="2"/>
  </cols>
  <sheetData>
    <row r="1" spans="2:8">
      <c r="B1" s="1649"/>
      <c r="C1" s="1649"/>
      <c r="D1" s="1649"/>
      <c r="E1" s="1649"/>
      <c r="F1" s="1649"/>
      <c r="G1" s="1649"/>
      <c r="H1" s="1649"/>
    </row>
    <row r="2" spans="2:8">
      <c r="B2" s="144"/>
      <c r="C2" s="144"/>
      <c r="D2" s="144"/>
      <c r="E2" s="144"/>
      <c r="F2" s="144"/>
      <c r="G2" s="1871" t="str">
        <f>IF([1]ACCUEIL!B1=1,"NOTE 12
NORMAL SYSTEM","NOTE 12
SYSTEME NORMAL")</f>
        <v>NOTE 12
SYSTEME NORMAL</v>
      </c>
      <c r="H2" s="1872"/>
    </row>
    <row r="3" spans="2:8">
      <c r="B3" s="144"/>
      <c r="C3" s="144"/>
      <c r="D3" s="144"/>
      <c r="E3" s="312"/>
      <c r="F3" s="144"/>
      <c r="G3" s="1873"/>
      <c r="H3" s="1874"/>
    </row>
    <row r="4" spans="2:8">
      <c r="B4" s="43" t="str">
        <f>'NOTE 11'!B4</f>
        <v>Désignation entité:</v>
      </c>
      <c r="C4" s="373" t="str">
        <f>'NOTE 11'!C4</f>
        <v/>
      </c>
      <c r="D4" s="373"/>
      <c r="E4" s="462"/>
      <c r="F4" s="462"/>
      <c r="G4" s="144"/>
      <c r="H4" s="144"/>
    </row>
    <row r="5" spans="2:8">
      <c r="B5" s="43" t="str">
        <f>'NOTE 11'!B5</f>
        <v>Sigle usuel :</v>
      </c>
      <c r="C5" s="373" t="str">
        <f>'NOTE 11'!C5</f>
        <v/>
      </c>
      <c r="E5" s="624"/>
      <c r="F5" s="624"/>
      <c r="G5" s="375"/>
      <c r="H5" s="629"/>
    </row>
    <row r="6" spans="2:8">
      <c r="B6" s="43" t="str">
        <f>'NOTE 11'!B6</f>
        <v>Adresse:</v>
      </c>
      <c r="C6" s="373">
        <f>'NOTE 11'!C6</f>
        <v>0</v>
      </c>
      <c r="D6" s="378"/>
      <c r="E6" s="377"/>
      <c r="F6" s="379"/>
      <c r="G6" s="630" t="str">
        <f>'NOTE 11'!F6</f>
        <v>BP:</v>
      </c>
      <c r="H6" s="380" t="str">
        <f>'NOTE 11'!G6</f>
        <v/>
      </c>
    </row>
    <row r="7" spans="2:8">
      <c r="B7" s="43" t="str">
        <f>'NOTE 11'!B7</f>
        <v>Numéro d'identification:</v>
      </c>
      <c r="C7" s="319" t="str">
        <f>'NOTE 11'!C7</f>
        <v/>
      </c>
      <c r="D7" s="1736" t="str">
        <f>'NOTE 11'!D7</f>
        <v xml:space="preserve">   Exercice clos le 31 - 12- </v>
      </c>
      <c r="E7" s="1711"/>
      <c r="F7" s="373">
        <f>'NOTE 11'!E7</f>
        <v>2025</v>
      </c>
      <c r="G7" s="317" t="str">
        <f>'NOTE 11'!F7</f>
        <v xml:space="preserve">    Durée (en mois):</v>
      </c>
      <c r="H7" s="380">
        <f>'NOTE 11'!G7</f>
        <v>12</v>
      </c>
    </row>
    <row r="8" spans="2:8">
      <c r="B8" s="43"/>
      <c r="C8" s="376"/>
      <c r="D8" s="43"/>
      <c r="E8" s="43"/>
      <c r="F8" s="43"/>
      <c r="G8" s="43"/>
      <c r="H8" s="43"/>
    </row>
    <row r="9" spans="2:8" ht="25.5" customHeight="1">
      <c r="B9" s="1789" t="str">
        <f>IF([1]ACCUEIL!B1=1,"NOTE 12 CONVERSION GAPS","NOTE 12 ECARTS DE CONVERSION")</f>
        <v>NOTE 12 ECARTS DE CONVERSION</v>
      </c>
      <c r="C9" s="1789"/>
      <c r="D9" s="1789"/>
      <c r="E9" s="1789"/>
      <c r="F9" s="1789"/>
      <c r="G9" s="1789"/>
      <c r="H9" s="1789"/>
    </row>
    <row r="10" spans="2:8" ht="38.25">
      <c r="B10" s="1875" t="str">
        <f>'NOTE 11'!B10:D10</f>
        <v xml:space="preserve">      RUBRIQUES</v>
      </c>
      <c r="C10" s="1867"/>
      <c r="D10" s="627" t="str">
        <f>IF([1]ACCUEIL!B1=1,"CURRENCY","DEVISES")</f>
        <v>DEVISES</v>
      </c>
      <c r="E10" s="631" t="str">
        <f>IF([1]ACCUEIL!B1=1,"CURRENCY AMOUNT","MONTANT EN DEVISES")</f>
        <v>MONTANT EN DEVISES</v>
      </c>
      <c r="F10" s="631" t="str">
        <f>IF([1]ACCUEIL!B1=1,"UML COURSES ACQUISITION YEARS","COURS UML ANNEES ACQUISITION")</f>
        <v>COURS UML ANNEES ACQUISITION</v>
      </c>
      <c r="G10" s="562" t="str">
        <f>IF([1]ACCUEIL!B1=1,"PRIX UML 31/12","COURS UML 31/12")</f>
        <v>COURS UML 31/12</v>
      </c>
      <c r="H10" s="562" t="str">
        <f>IF([1]ACCUEIL!B1=1,"ABSOLUTE CHANGE","VARIATION EN VALEUR ABSOLUE")</f>
        <v>VARIATION EN VALEUR ABSOLUE</v>
      </c>
    </row>
    <row r="11" spans="2:8" ht="42.75" customHeight="1">
      <c r="B11" s="1869" t="str">
        <f>IF([1]ACCUEIL!B1=1,"ASSETS CONVERSION GAPS: detail the receivables and payables concerned","ECART DE CONVERSION ACTIF: détailler les créances et dettes concernes")</f>
        <v>ECART DE CONVERSION ACTIF: détailler les créances et dettes concernes</v>
      </c>
      <c r="C11" s="1870"/>
      <c r="D11" s="472">
        <f>'[1]NOTE 12'!D11</f>
        <v>0</v>
      </c>
      <c r="E11" s="472">
        <f>'[1]NOTE 12'!E11</f>
        <v>0</v>
      </c>
      <c r="F11" s="472">
        <f>'[1]NOTE 12'!F11</f>
        <v>0</v>
      </c>
      <c r="G11" s="472">
        <f>'[1]NOTE 12'!G11</f>
        <v>0</v>
      </c>
      <c r="H11" s="472">
        <f>'[1]NOTE 12'!H11</f>
        <v>0</v>
      </c>
    </row>
    <row r="12" spans="2:8">
      <c r="B12" s="1876">
        <f>'[1]NOTE 12'!B12:C12</f>
        <v>0</v>
      </c>
      <c r="C12" s="1877"/>
      <c r="D12" s="633">
        <f>'[1]NOTE 12'!D12</f>
        <v>0</v>
      </c>
      <c r="E12" s="633">
        <f>'[1]NOTE 12'!E12</f>
        <v>0</v>
      </c>
      <c r="F12" s="633">
        <f>'[1]NOTE 12'!F12</f>
        <v>0</v>
      </c>
      <c r="G12" s="633">
        <f>'[1]NOTE 12'!G12</f>
        <v>0</v>
      </c>
      <c r="H12" s="632">
        <f t="shared" ref="H12:H41" si="0">IF((G12-F12)&gt;0,(G12-F12)*E12,-(G12-F12)*E12)</f>
        <v>0</v>
      </c>
    </row>
    <row r="13" spans="2:8">
      <c r="B13" s="1876">
        <f>'[1]NOTE 12'!B13:C13</f>
        <v>0</v>
      </c>
      <c r="C13" s="1877"/>
      <c r="D13" s="633">
        <f>'[1]NOTE 12'!D13</f>
        <v>0</v>
      </c>
      <c r="E13" s="633">
        <f>'[1]NOTE 12'!E13</f>
        <v>0</v>
      </c>
      <c r="F13" s="633">
        <f>'[1]NOTE 12'!F13</f>
        <v>0</v>
      </c>
      <c r="G13" s="633">
        <f>'[1]NOTE 12'!G13</f>
        <v>0</v>
      </c>
      <c r="H13" s="632">
        <f t="shared" si="0"/>
        <v>0</v>
      </c>
    </row>
    <row r="14" spans="2:8">
      <c r="B14" s="1876">
        <f>'[1]NOTE 12'!B14:C14</f>
        <v>0</v>
      </c>
      <c r="C14" s="1877"/>
      <c r="D14" s="633">
        <f>'[1]NOTE 12'!D14</f>
        <v>0</v>
      </c>
      <c r="E14" s="633">
        <f>'[1]NOTE 12'!E14</f>
        <v>0</v>
      </c>
      <c r="F14" s="633">
        <f>'[1]NOTE 12'!F14</f>
        <v>0</v>
      </c>
      <c r="G14" s="633">
        <f>'[1]NOTE 12'!G14</f>
        <v>0</v>
      </c>
      <c r="H14" s="632">
        <f t="shared" si="0"/>
        <v>0</v>
      </c>
    </row>
    <row r="15" spans="2:8">
      <c r="B15" s="1876">
        <f>'[1]NOTE 12'!B15:C15</f>
        <v>0</v>
      </c>
      <c r="C15" s="1877"/>
      <c r="D15" s="633">
        <f>'[1]NOTE 12'!D15</f>
        <v>0</v>
      </c>
      <c r="E15" s="633">
        <f>'[1]NOTE 12'!E15</f>
        <v>0</v>
      </c>
      <c r="F15" s="633">
        <f>'[1]NOTE 12'!F15</f>
        <v>0</v>
      </c>
      <c r="G15" s="633">
        <f>'[1]NOTE 12'!G15</f>
        <v>0</v>
      </c>
      <c r="H15" s="632">
        <f t="shared" si="0"/>
        <v>0</v>
      </c>
    </row>
    <row r="16" spans="2:8">
      <c r="B16" s="1876">
        <f>'[1]NOTE 12'!B16:C16</f>
        <v>0</v>
      </c>
      <c r="C16" s="1877"/>
      <c r="D16" s="633">
        <f>'[1]NOTE 12'!D16</f>
        <v>0</v>
      </c>
      <c r="E16" s="633">
        <f>'[1]NOTE 12'!E16</f>
        <v>0</v>
      </c>
      <c r="F16" s="633">
        <f>'[1]NOTE 12'!F16</f>
        <v>0</v>
      </c>
      <c r="G16" s="633">
        <f>'[1]NOTE 12'!G16</f>
        <v>0</v>
      </c>
      <c r="H16" s="632">
        <f t="shared" si="0"/>
        <v>0</v>
      </c>
    </row>
    <row r="17" spans="2:8">
      <c r="B17" s="1876">
        <f>'[1]NOTE 12'!B17:C17</f>
        <v>0</v>
      </c>
      <c r="C17" s="1877"/>
      <c r="D17" s="633">
        <f>'[1]NOTE 12'!D17</f>
        <v>0</v>
      </c>
      <c r="E17" s="633">
        <f>'[1]NOTE 12'!E17</f>
        <v>0</v>
      </c>
      <c r="F17" s="633">
        <f>'[1]NOTE 12'!F17</f>
        <v>0</v>
      </c>
      <c r="G17" s="633">
        <f>'[1]NOTE 12'!G17</f>
        <v>0</v>
      </c>
      <c r="H17" s="632">
        <f t="shared" si="0"/>
        <v>0</v>
      </c>
    </row>
    <row r="18" spans="2:8">
      <c r="B18" s="1876">
        <f>'[1]NOTE 12'!B18:C18</f>
        <v>0</v>
      </c>
      <c r="C18" s="1877"/>
      <c r="D18" s="633">
        <f>'[1]NOTE 12'!D18</f>
        <v>0</v>
      </c>
      <c r="E18" s="633">
        <f>'[1]NOTE 12'!E18</f>
        <v>0</v>
      </c>
      <c r="F18" s="633">
        <f>'[1]NOTE 12'!F18</f>
        <v>0</v>
      </c>
      <c r="G18" s="633">
        <f>'[1]NOTE 12'!G18</f>
        <v>0</v>
      </c>
      <c r="H18" s="632">
        <f t="shared" si="0"/>
        <v>0</v>
      </c>
    </row>
    <row r="19" spans="2:8">
      <c r="B19" s="1876">
        <f>'[1]NOTE 12'!B19:C19</f>
        <v>0</v>
      </c>
      <c r="C19" s="1877"/>
      <c r="D19" s="633">
        <f>'[1]NOTE 12'!D19</f>
        <v>0</v>
      </c>
      <c r="E19" s="633">
        <f>'[1]NOTE 12'!E19</f>
        <v>0</v>
      </c>
      <c r="F19" s="633">
        <f>'[1]NOTE 12'!F19</f>
        <v>0</v>
      </c>
      <c r="G19" s="633">
        <f>'[1]NOTE 12'!G19</f>
        <v>0</v>
      </c>
      <c r="H19" s="632">
        <f t="shared" si="0"/>
        <v>0</v>
      </c>
    </row>
    <row r="20" spans="2:8">
      <c r="B20" s="1876">
        <f>'[1]NOTE 12'!B20:C20</f>
        <v>0</v>
      </c>
      <c r="C20" s="1877"/>
      <c r="D20" s="633">
        <f>'[1]NOTE 12'!D20</f>
        <v>0</v>
      </c>
      <c r="E20" s="633">
        <f>'[1]NOTE 12'!E20</f>
        <v>0</v>
      </c>
      <c r="F20" s="633">
        <f>'[1]NOTE 12'!F20</f>
        <v>0</v>
      </c>
      <c r="G20" s="633">
        <f>'[1]NOTE 12'!G20</f>
        <v>0</v>
      </c>
      <c r="H20" s="632">
        <f t="shared" si="0"/>
        <v>0</v>
      </c>
    </row>
    <row r="21" spans="2:8">
      <c r="B21" s="1876">
        <f>'[1]NOTE 12'!B21:C21</f>
        <v>0</v>
      </c>
      <c r="C21" s="1877"/>
      <c r="D21" s="633">
        <f>'[1]NOTE 12'!D21</f>
        <v>0</v>
      </c>
      <c r="E21" s="633">
        <f>'[1]NOTE 12'!E21</f>
        <v>0</v>
      </c>
      <c r="F21" s="633">
        <f>'[1]NOTE 12'!F21</f>
        <v>0</v>
      </c>
      <c r="G21" s="633">
        <f>'[1]NOTE 12'!G21</f>
        <v>0</v>
      </c>
      <c r="H21" s="632">
        <f t="shared" si="0"/>
        <v>0</v>
      </c>
    </row>
    <row r="22" spans="2:8">
      <c r="B22" s="1876">
        <f>'[1]NOTE 12'!B22:C22</f>
        <v>0</v>
      </c>
      <c r="C22" s="1877"/>
      <c r="D22" s="633">
        <f>'[1]NOTE 12'!D22</f>
        <v>0</v>
      </c>
      <c r="E22" s="633">
        <f>'[1]NOTE 12'!E22</f>
        <v>0</v>
      </c>
      <c r="F22" s="633">
        <f>'[1]NOTE 12'!F22</f>
        <v>0</v>
      </c>
      <c r="G22" s="633">
        <f>'[1]NOTE 12'!G22</f>
        <v>0</v>
      </c>
      <c r="H22" s="632">
        <f t="shared" si="0"/>
        <v>0</v>
      </c>
    </row>
    <row r="23" spans="2:8">
      <c r="B23" s="1876">
        <f>'[1]NOTE 12'!B23:C23</f>
        <v>0</v>
      </c>
      <c r="C23" s="1877"/>
      <c r="D23" s="633">
        <f>'[1]NOTE 12'!D23</f>
        <v>0</v>
      </c>
      <c r="E23" s="633">
        <f>'[1]NOTE 12'!E23</f>
        <v>0</v>
      </c>
      <c r="F23" s="633">
        <f>'[1]NOTE 12'!F23</f>
        <v>0</v>
      </c>
      <c r="G23" s="633">
        <f>'[1]NOTE 12'!G23</f>
        <v>0</v>
      </c>
      <c r="H23" s="632">
        <f t="shared" si="0"/>
        <v>0</v>
      </c>
    </row>
    <row r="24" spans="2:8">
      <c r="B24" s="1876">
        <f>'[1]NOTE 12'!B24:C24</f>
        <v>0</v>
      </c>
      <c r="C24" s="1877"/>
      <c r="D24" s="633">
        <f>'[1]NOTE 12'!D24</f>
        <v>0</v>
      </c>
      <c r="E24" s="633">
        <f>'[1]NOTE 12'!E24</f>
        <v>0</v>
      </c>
      <c r="F24" s="633">
        <f>'[1]NOTE 12'!F24</f>
        <v>0</v>
      </c>
      <c r="G24" s="633">
        <f>'[1]NOTE 12'!G24</f>
        <v>0</v>
      </c>
      <c r="H24" s="632">
        <f t="shared" si="0"/>
        <v>0</v>
      </c>
    </row>
    <row r="25" spans="2:8">
      <c r="B25" s="1876">
        <f>'[1]NOTE 12'!B25:C25</f>
        <v>0</v>
      </c>
      <c r="C25" s="1877"/>
      <c r="D25" s="633">
        <f>'[1]NOTE 12'!D25</f>
        <v>0</v>
      </c>
      <c r="E25" s="633">
        <f>'[1]NOTE 12'!E25</f>
        <v>0</v>
      </c>
      <c r="F25" s="633">
        <f>'[1]NOTE 12'!F25</f>
        <v>0</v>
      </c>
      <c r="G25" s="633">
        <f>'[1]NOTE 12'!G25</f>
        <v>0</v>
      </c>
      <c r="H25" s="632">
        <f t="shared" si="0"/>
        <v>0</v>
      </c>
    </row>
    <row r="26" spans="2:8">
      <c r="B26" s="1876">
        <f>'[1]NOTE 12'!B26:C26</f>
        <v>0</v>
      </c>
      <c r="C26" s="1877"/>
      <c r="D26" s="633">
        <f>'[1]NOTE 12'!D26</f>
        <v>0</v>
      </c>
      <c r="E26" s="633">
        <f>'[1]NOTE 12'!E26</f>
        <v>0</v>
      </c>
      <c r="F26" s="633">
        <f>'[1]NOTE 12'!F26</f>
        <v>0</v>
      </c>
      <c r="G26" s="633">
        <f>'[1]NOTE 12'!G26</f>
        <v>0</v>
      </c>
      <c r="H26" s="632">
        <f t="shared" si="0"/>
        <v>0</v>
      </c>
    </row>
    <row r="27" spans="2:8" ht="43.5" customHeight="1">
      <c r="B27" s="1869" t="str">
        <f>IF([1]ACCUEIL!B1=1,"LIABILITIES CONVERSION GAPS: detail the receivables and payables concerned","ECART DE CONVERSION PASSIF: détailler les créances et dettes concernées")</f>
        <v>ECART DE CONVERSION PASSIF: détailler les créances et dettes concernées</v>
      </c>
      <c r="C27" s="1870"/>
      <c r="D27" s="472">
        <f>'[1]NOTE 12'!D27</f>
        <v>0</v>
      </c>
      <c r="E27" s="472">
        <f>'[1]NOTE 12'!E27</f>
        <v>0</v>
      </c>
      <c r="F27" s="472">
        <f>'[1]NOTE 12'!F27</f>
        <v>0</v>
      </c>
      <c r="G27" s="472">
        <f>'[1]NOTE 12'!G27</f>
        <v>0</v>
      </c>
      <c r="H27" s="472">
        <f>'[1]NOTE 12'!H27</f>
        <v>0</v>
      </c>
    </row>
    <row r="28" spans="2:8">
      <c r="B28" s="1876">
        <f>'[1]NOTE 12'!B28:C28</f>
        <v>0</v>
      </c>
      <c r="C28" s="1877"/>
      <c r="D28" s="472">
        <f>'[1]NOTE 12'!D28</f>
        <v>0</v>
      </c>
      <c r="E28" s="472">
        <f>'[1]NOTE 12'!E28</f>
        <v>0</v>
      </c>
      <c r="F28" s="472">
        <f>'[1]NOTE 12'!F28</f>
        <v>0</v>
      </c>
      <c r="G28" s="472">
        <f>'[1]NOTE 12'!G28</f>
        <v>0</v>
      </c>
      <c r="H28" s="632">
        <f t="shared" si="0"/>
        <v>0</v>
      </c>
    </row>
    <row r="29" spans="2:8">
      <c r="B29" s="1876">
        <f>'[1]NOTE 12'!B29:C29</f>
        <v>0</v>
      </c>
      <c r="C29" s="1877"/>
      <c r="D29" s="472">
        <f>'[1]NOTE 12'!D29</f>
        <v>0</v>
      </c>
      <c r="E29" s="472">
        <f>'[1]NOTE 12'!E29</f>
        <v>0</v>
      </c>
      <c r="F29" s="472">
        <f>'[1]NOTE 12'!F29</f>
        <v>0</v>
      </c>
      <c r="G29" s="472">
        <f>'[1]NOTE 12'!G29</f>
        <v>0</v>
      </c>
      <c r="H29" s="632">
        <f t="shared" si="0"/>
        <v>0</v>
      </c>
    </row>
    <row r="30" spans="2:8">
      <c r="B30" s="1876">
        <f>'[1]NOTE 12'!B30:C30</f>
        <v>0</v>
      </c>
      <c r="C30" s="1877"/>
      <c r="D30" s="472">
        <f>'[1]NOTE 12'!D30</f>
        <v>0</v>
      </c>
      <c r="E30" s="472">
        <f>'[1]NOTE 12'!E30</f>
        <v>0</v>
      </c>
      <c r="F30" s="472">
        <f>'[1]NOTE 12'!F30</f>
        <v>0</v>
      </c>
      <c r="G30" s="472">
        <f>'[1]NOTE 12'!G30</f>
        <v>0</v>
      </c>
      <c r="H30" s="632">
        <f t="shared" si="0"/>
        <v>0</v>
      </c>
    </row>
    <row r="31" spans="2:8">
      <c r="B31" s="1876">
        <f>'[1]NOTE 12'!B31:C31</f>
        <v>0</v>
      </c>
      <c r="C31" s="1877"/>
      <c r="D31" s="472">
        <f>'[1]NOTE 12'!D31</f>
        <v>0</v>
      </c>
      <c r="E31" s="472">
        <f>'[1]NOTE 12'!E31</f>
        <v>0</v>
      </c>
      <c r="F31" s="472">
        <f>'[1]NOTE 12'!F31</f>
        <v>0</v>
      </c>
      <c r="G31" s="472">
        <f>'[1]NOTE 12'!G31</f>
        <v>0</v>
      </c>
      <c r="H31" s="632">
        <f t="shared" si="0"/>
        <v>0</v>
      </c>
    </row>
    <row r="32" spans="2:8">
      <c r="B32" s="1876">
        <f>'[1]NOTE 12'!B32:C32</f>
        <v>0</v>
      </c>
      <c r="C32" s="1877"/>
      <c r="D32" s="472">
        <f>'[1]NOTE 12'!D32</f>
        <v>0</v>
      </c>
      <c r="E32" s="472">
        <f>'[1]NOTE 12'!E32</f>
        <v>0</v>
      </c>
      <c r="F32" s="472">
        <f>'[1]NOTE 12'!F32</f>
        <v>0</v>
      </c>
      <c r="G32" s="472">
        <f>'[1]NOTE 12'!G32</f>
        <v>0</v>
      </c>
      <c r="H32" s="632">
        <f t="shared" si="0"/>
        <v>0</v>
      </c>
    </row>
    <row r="33" spans="2:12">
      <c r="B33" s="1876">
        <f>'[1]NOTE 12'!B33:C33</f>
        <v>0</v>
      </c>
      <c r="C33" s="1877"/>
      <c r="D33" s="472">
        <f>'[1]NOTE 12'!D33</f>
        <v>0</v>
      </c>
      <c r="E33" s="472">
        <f>'[1]NOTE 12'!E33</f>
        <v>0</v>
      </c>
      <c r="F33" s="472">
        <f>'[1]NOTE 12'!F33</f>
        <v>0</v>
      </c>
      <c r="G33" s="472">
        <f>'[1]NOTE 12'!G33</f>
        <v>0</v>
      </c>
      <c r="H33" s="632">
        <f t="shared" si="0"/>
        <v>0</v>
      </c>
    </row>
    <row r="34" spans="2:12">
      <c r="B34" s="1876">
        <f>'[1]NOTE 12'!B34:C34</f>
        <v>0</v>
      </c>
      <c r="C34" s="1877"/>
      <c r="D34" s="472">
        <f>'[1]NOTE 12'!D34</f>
        <v>0</v>
      </c>
      <c r="E34" s="472">
        <f>'[1]NOTE 12'!E34</f>
        <v>0</v>
      </c>
      <c r="F34" s="472">
        <f>'[1]NOTE 12'!F34</f>
        <v>0</v>
      </c>
      <c r="G34" s="472">
        <f>'[1]NOTE 12'!G34</f>
        <v>0</v>
      </c>
      <c r="H34" s="632">
        <f t="shared" si="0"/>
        <v>0</v>
      </c>
    </row>
    <row r="35" spans="2:12">
      <c r="B35" s="1876">
        <f>'[1]NOTE 12'!B35:C35</f>
        <v>0</v>
      </c>
      <c r="C35" s="1877"/>
      <c r="D35" s="472">
        <f>'[1]NOTE 12'!D35</f>
        <v>0</v>
      </c>
      <c r="E35" s="472">
        <f>'[1]NOTE 12'!E35</f>
        <v>0</v>
      </c>
      <c r="F35" s="472">
        <f>'[1]NOTE 12'!F35</f>
        <v>0</v>
      </c>
      <c r="G35" s="472">
        <f>'[1]NOTE 12'!G35</f>
        <v>0</v>
      </c>
      <c r="H35" s="632">
        <f t="shared" si="0"/>
        <v>0</v>
      </c>
    </row>
    <row r="36" spans="2:12">
      <c r="B36" s="1876">
        <f>'[1]NOTE 12'!B36:C36</f>
        <v>0</v>
      </c>
      <c r="C36" s="1877"/>
      <c r="D36" s="472">
        <f>'[1]NOTE 12'!D36</f>
        <v>0</v>
      </c>
      <c r="E36" s="472">
        <f>'[1]NOTE 12'!E36</f>
        <v>0</v>
      </c>
      <c r="F36" s="472">
        <f>'[1]NOTE 12'!F36</f>
        <v>0</v>
      </c>
      <c r="G36" s="472">
        <f>'[1]NOTE 12'!G36</f>
        <v>0</v>
      </c>
      <c r="H36" s="632">
        <f t="shared" si="0"/>
        <v>0</v>
      </c>
    </row>
    <row r="37" spans="2:12">
      <c r="B37" s="1876">
        <f>'[1]NOTE 12'!B37:C37</f>
        <v>0</v>
      </c>
      <c r="C37" s="1877"/>
      <c r="D37" s="472">
        <f>'[1]NOTE 12'!D37</f>
        <v>0</v>
      </c>
      <c r="E37" s="472">
        <f>'[1]NOTE 12'!E37</f>
        <v>0</v>
      </c>
      <c r="F37" s="472">
        <f>'[1]NOTE 12'!F37</f>
        <v>0</v>
      </c>
      <c r="G37" s="472">
        <f>'[1]NOTE 12'!G37</f>
        <v>0</v>
      </c>
      <c r="H37" s="632">
        <f t="shared" si="0"/>
        <v>0</v>
      </c>
    </row>
    <row r="38" spans="2:12">
      <c r="B38" s="1876">
        <f>'[1]NOTE 12'!B38:C38</f>
        <v>0</v>
      </c>
      <c r="C38" s="1877"/>
      <c r="D38" s="472">
        <f>'[1]NOTE 12'!D38</f>
        <v>0</v>
      </c>
      <c r="E38" s="472">
        <f>'[1]NOTE 12'!E38</f>
        <v>0</v>
      </c>
      <c r="F38" s="472">
        <f>'[1]NOTE 12'!F38</f>
        <v>0</v>
      </c>
      <c r="G38" s="472">
        <f>'[1]NOTE 12'!G38</f>
        <v>0</v>
      </c>
      <c r="H38" s="632">
        <f t="shared" si="0"/>
        <v>0</v>
      </c>
    </row>
    <row r="39" spans="2:12">
      <c r="B39" s="1876">
        <f>'[1]NOTE 12'!B39:C39</f>
        <v>0</v>
      </c>
      <c r="C39" s="1877"/>
      <c r="D39" s="472">
        <f>'[1]NOTE 12'!D39</f>
        <v>0</v>
      </c>
      <c r="E39" s="472">
        <f>'[1]NOTE 12'!E39</f>
        <v>0</v>
      </c>
      <c r="F39" s="472">
        <f>'[1]NOTE 12'!F39</f>
        <v>0</v>
      </c>
      <c r="G39" s="472">
        <f>'[1]NOTE 12'!G39</f>
        <v>0</v>
      </c>
      <c r="H39" s="632">
        <f t="shared" si="0"/>
        <v>0</v>
      </c>
    </row>
    <row r="40" spans="2:12">
      <c r="B40" s="1876">
        <f>'[1]NOTE 12'!B40:C40</f>
        <v>0</v>
      </c>
      <c r="C40" s="1877"/>
      <c r="D40" s="472">
        <f>'[1]NOTE 12'!D40</f>
        <v>0</v>
      </c>
      <c r="E40" s="472">
        <f>'[1]NOTE 12'!E40</f>
        <v>0</v>
      </c>
      <c r="F40" s="472">
        <f>'[1]NOTE 12'!F40</f>
        <v>0</v>
      </c>
      <c r="G40" s="472">
        <f>'[1]NOTE 12'!G40</f>
        <v>0</v>
      </c>
      <c r="H40" s="632">
        <f t="shared" si="0"/>
        <v>0</v>
      </c>
    </row>
    <row r="41" spans="2:12">
      <c r="B41" s="1876">
        <f>'[1]NOTE 12'!B41:C41</f>
        <v>0</v>
      </c>
      <c r="C41" s="1877"/>
      <c r="D41" s="472">
        <f>'[1]NOTE 12'!D41</f>
        <v>0</v>
      </c>
      <c r="E41" s="472">
        <f>'[1]NOTE 12'!E41</f>
        <v>0</v>
      </c>
      <c r="F41" s="472">
        <f>'[1]NOTE 12'!F41</f>
        <v>0</v>
      </c>
      <c r="G41" s="472">
        <f>'[1]NOTE 12'!G41</f>
        <v>0</v>
      </c>
      <c r="H41" s="632">
        <f t="shared" si="0"/>
        <v>0</v>
      </c>
    </row>
    <row r="42" spans="2:12">
      <c r="B42" s="634"/>
      <c r="C42" s="634"/>
      <c r="D42" s="537"/>
      <c r="E42" s="635"/>
      <c r="F42" s="636"/>
      <c r="G42" s="637"/>
      <c r="H42" s="636"/>
    </row>
    <row r="43" spans="2:12">
      <c r="B43" s="1409" t="str">
        <f>IF([1]ACCUEIL!B1=1,"CHARGE TRANSFER","TRANSFERT DE CHARGES")</f>
        <v>TRANSFERT DE CHARGES</v>
      </c>
      <c r="C43" s="1409"/>
      <c r="D43" s="1409"/>
      <c r="E43" s="1409"/>
      <c r="F43" s="1409"/>
      <c r="G43" s="81"/>
      <c r="H43" s="638"/>
    </row>
    <row r="44" spans="2:12">
      <c r="B44" s="81"/>
      <c r="C44" s="81"/>
      <c r="D44" s="89"/>
      <c r="E44" s="81"/>
      <c r="F44" s="81"/>
      <c r="G44" s="81"/>
      <c r="H44" s="638"/>
    </row>
    <row r="45" spans="2:12">
      <c r="B45" s="1878" t="str">
        <f>'NOTE 11'!B10:D10</f>
        <v xml:space="preserve">      RUBRIQUES</v>
      </c>
      <c r="C45" s="1715"/>
      <c r="D45" s="562" t="str">
        <f>'NOTE 11'!E10</f>
        <v>Année 2025</v>
      </c>
      <c r="E45" s="639" t="str">
        <f>'NOTE 11'!F10</f>
        <v>Année 2024</v>
      </c>
      <c r="F45" s="639" t="str">
        <f>'NOTE 11'!G10</f>
        <v xml:space="preserve">Variation en % </v>
      </c>
      <c r="G45" s="81"/>
      <c r="H45" s="638"/>
      <c r="I45" s="220"/>
    </row>
    <row r="46" spans="2:12" ht="38.25" customHeight="1">
      <c r="B46" s="1879" t="str">
        <f>IF([1]ACCUEIL!B1=1,"Transfers of operating expenses: detail the nature of the expenses transferred","Transferts de charges d'exploitation : détailler la nature des charges transférer")</f>
        <v>Transferts de charges d'exploitation : détailler la nature des charges transférer</v>
      </c>
      <c r="C46" s="1880"/>
      <c r="D46" s="473">
        <f>'[1]CLASSE 7'!J217</f>
        <v>0</v>
      </c>
      <c r="E46" s="640">
        <f>'[1]CLASSE 7'!F217</f>
        <v>0</v>
      </c>
      <c r="F46" s="641">
        <f t="shared" ref="F46:F57" si="1">IF(I46=0,0,L46)</f>
        <v>0</v>
      </c>
      <c r="G46" s="81"/>
      <c r="H46" s="638"/>
      <c r="I46" s="220">
        <f>D46-E46</f>
        <v>0</v>
      </c>
      <c r="J46" s="2">
        <f>IF(E46=0,1,IF(E46&lt;0,(D46-E46)/-E46,(D46-E46)/E46))</f>
        <v>1</v>
      </c>
      <c r="K46" s="2">
        <f>IF(I46=D46,IF(D46&lt;0,-1,0))</f>
        <v>0</v>
      </c>
      <c r="L46" s="2">
        <f>IF(K46=-1,-1,J46)</f>
        <v>1</v>
      </c>
    </row>
    <row r="47" spans="2:12">
      <c r="B47" s="1876">
        <f>'[1]NOTE 12'!B47:C47</f>
        <v>0</v>
      </c>
      <c r="C47" s="1877"/>
      <c r="D47" s="471">
        <f>'[1]NOTE 12'!D47</f>
        <v>0</v>
      </c>
      <c r="E47" s="471">
        <f>'[1]NOTE 12'!E47</f>
        <v>0</v>
      </c>
      <c r="F47" s="641">
        <f t="shared" si="1"/>
        <v>0</v>
      </c>
      <c r="G47" s="81"/>
      <c r="H47" s="638"/>
      <c r="I47" s="220">
        <f t="shared" ref="I47:I57" si="2">D47-E47</f>
        <v>0</v>
      </c>
      <c r="J47" s="2">
        <f t="shared" ref="J47:J57" si="3">IF(E47=0,1,IF(E47&lt;0,(D47-E47)/-E47,(D47-E47)/E47))</f>
        <v>1</v>
      </c>
      <c r="K47" s="2">
        <f t="shared" ref="K47:K57" si="4">IF(I47=D47,IF(D47&lt;0,-1,0))</f>
        <v>0</v>
      </c>
      <c r="L47" s="2">
        <f t="shared" ref="L47:L57" si="5">IF(K47=-1,-1,J47)</f>
        <v>1</v>
      </c>
    </row>
    <row r="48" spans="2:12">
      <c r="B48" s="1876">
        <f>'[1]NOTE 12'!B48:C48</f>
        <v>0</v>
      </c>
      <c r="C48" s="1877"/>
      <c r="D48" s="471">
        <f>'[1]NOTE 12'!D48</f>
        <v>0</v>
      </c>
      <c r="E48" s="471">
        <f>'[1]NOTE 12'!E48</f>
        <v>0</v>
      </c>
      <c r="F48" s="641">
        <f t="shared" si="1"/>
        <v>0</v>
      </c>
      <c r="G48" s="81"/>
      <c r="H48" s="638"/>
      <c r="I48" s="220">
        <f t="shared" si="2"/>
        <v>0</v>
      </c>
      <c r="J48" s="2">
        <f t="shared" si="3"/>
        <v>1</v>
      </c>
      <c r="K48" s="2">
        <f t="shared" si="4"/>
        <v>0</v>
      </c>
      <c r="L48" s="2">
        <f t="shared" si="5"/>
        <v>1</v>
      </c>
    </row>
    <row r="49" spans="2:12">
      <c r="B49" s="1876">
        <f>'[1]NOTE 12'!B49:C49</f>
        <v>0</v>
      </c>
      <c r="C49" s="1877"/>
      <c r="D49" s="471">
        <f>'[1]NOTE 12'!D49</f>
        <v>0</v>
      </c>
      <c r="E49" s="471">
        <f>'[1]NOTE 12'!E49</f>
        <v>0</v>
      </c>
      <c r="F49" s="641">
        <f t="shared" si="1"/>
        <v>0</v>
      </c>
      <c r="G49" s="81"/>
      <c r="H49" s="638"/>
      <c r="I49" s="220">
        <f t="shared" si="2"/>
        <v>0</v>
      </c>
      <c r="J49" s="2">
        <f t="shared" si="3"/>
        <v>1</v>
      </c>
      <c r="K49" s="2">
        <f t="shared" si="4"/>
        <v>0</v>
      </c>
      <c r="L49" s="2">
        <f t="shared" si="5"/>
        <v>1</v>
      </c>
    </row>
    <row r="50" spans="2:12">
      <c r="B50" s="1876">
        <f>'[1]NOTE 12'!B50:C50</f>
        <v>0</v>
      </c>
      <c r="C50" s="1877"/>
      <c r="D50" s="471">
        <f>'[1]NOTE 12'!D50</f>
        <v>0</v>
      </c>
      <c r="E50" s="471">
        <f>'[1]NOTE 12'!E50</f>
        <v>0</v>
      </c>
      <c r="F50" s="641">
        <f t="shared" si="1"/>
        <v>0</v>
      </c>
      <c r="G50" s="81"/>
      <c r="H50" s="638"/>
      <c r="I50" s="220">
        <f t="shared" si="2"/>
        <v>0</v>
      </c>
      <c r="J50" s="2">
        <f t="shared" si="3"/>
        <v>1</v>
      </c>
      <c r="K50" s="2">
        <f t="shared" si="4"/>
        <v>0</v>
      </c>
      <c r="L50" s="2">
        <f t="shared" si="5"/>
        <v>1</v>
      </c>
    </row>
    <row r="51" spans="2:12">
      <c r="B51" s="1876">
        <f>'[1]NOTE 12'!B51:C51</f>
        <v>0</v>
      </c>
      <c r="C51" s="1877"/>
      <c r="D51" s="471">
        <f>'[1]NOTE 12'!D51</f>
        <v>0</v>
      </c>
      <c r="E51" s="471">
        <f>'[1]NOTE 12'!E51</f>
        <v>0</v>
      </c>
      <c r="F51" s="641">
        <f t="shared" si="1"/>
        <v>0</v>
      </c>
      <c r="G51" s="81"/>
      <c r="H51" s="638"/>
      <c r="I51" s="220">
        <f t="shared" si="2"/>
        <v>0</v>
      </c>
      <c r="J51" s="2">
        <f t="shared" si="3"/>
        <v>1</v>
      </c>
      <c r="K51" s="2">
        <f t="shared" si="4"/>
        <v>0</v>
      </c>
      <c r="L51" s="2">
        <f t="shared" si="5"/>
        <v>1</v>
      </c>
    </row>
    <row r="52" spans="2:12" ht="42.75" customHeight="1">
      <c r="B52" s="1879" t="str">
        <f>IF([1]ACCUEIL!B1=1,"Transfers of financial charges: detail the nature of the charges transferred","Transferts de charges financières : détailler la nature des charges transférer")</f>
        <v>Transferts de charges financières : détailler la nature des charges transférer</v>
      </c>
      <c r="C52" s="1880"/>
      <c r="D52" s="473">
        <f>'[1]CLASSE 7'!F218</f>
        <v>0</v>
      </c>
      <c r="E52" s="473">
        <f>'[1]CLASSE 7'!K218</f>
        <v>0</v>
      </c>
      <c r="F52" s="641">
        <f t="shared" si="1"/>
        <v>0</v>
      </c>
      <c r="G52" s="81"/>
      <c r="H52" s="638"/>
      <c r="I52" s="220">
        <f t="shared" si="2"/>
        <v>0</v>
      </c>
      <c r="J52" s="2">
        <f t="shared" si="3"/>
        <v>1</v>
      </c>
      <c r="K52" s="2">
        <f t="shared" si="4"/>
        <v>0</v>
      </c>
      <c r="L52" s="2">
        <f t="shared" si="5"/>
        <v>1</v>
      </c>
    </row>
    <row r="53" spans="2:12">
      <c r="B53" s="1876">
        <f>'[1]NOTE 12'!B53:C53</f>
        <v>0</v>
      </c>
      <c r="C53" s="1877"/>
      <c r="D53" s="471">
        <f>'[1]NOTE 12'!D53</f>
        <v>0</v>
      </c>
      <c r="E53" s="471">
        <f>'[1]NOTE 12'!E53</f>
        <v>0</v>
      </c>
      <c r="F53" s="641">
        <f t="shared" si="1"/>
        <v>0</v>
      </c>
      <c r="G53" s="81"/>
      <c r="H53" s="638"/>
      <c r="I53" s="220">
        <f t="shared" si="2"/>
        <v>0</v>
      </c>
      <c r="J53" s="2">
        <f t="shared" si="3"/>
        <v>1</v>
      </c>
      <c r="K53" s="2">
        <f t="shared" si="4"/>
        <v>0</v>
      </c>
      <c r="L53" s="2">
        <f t="shared" si="5"/>
        <v>1</v>
      </c>
    </row>
    <row r="54" spans="2:12">
      <c r="B54" s="1876">
        <f>'[1]NOTE 12'!B54:C54</f>
        <v>0</v>
      </c>
      <c r="C54" s="1877"/>
      <c r="D54" s="471">
        <f>'[1]NOTE 12'!D54</f>
        <v>0</v>
      </c>
      <c r="E54" s="471">
        <f>'[1]NOTE 12'!E54</f>
        <v>0</v>
      </c>
      <c r="F54" s="641">
        <f t="shared" si="1"/>
        <v>0</v>
      </c>
      <c r="G54" s="81"/>
      <c r="H54" s="638"/>
      <c r="I54" s="220">
        <f t="shared" si="2"/>
        <v>0</v>
      </c>
      <c r="J54" s="2">
        <f t="shared" si="3"/>
        <v>1</v>
      </c>
      <c r="K54" s="2">
        <f t="shared" si="4"/>
        <v>0</v>
      </c>
      <c r="L54" s="2">
        <f t="shared" si="5"/>
        <v>1</v>
      </c>
    </row>
    <row r="55" spans="2:12">
      <c r="B55" s="1876">
        <f>'[1]NOTE 12'!B55:C55</f>
        <v>0</v>
      </c>
      <c r="C55" s="1877"/>
      <c r="D55" s="471">
        <f>'[1]NOTE 12'!D55</f>
        <v>0</v>
      </c>
      <c r="E55" s="471">
        <f>'[1]NOTE 12'!E55</f>
        <v>0</v>
      </c>
      <c r="F55" s="641">
        <f t="shared" si="1"/>
        <v>0</v>
      </c>
      <c r="G55" s="81"/>
      <c r="H55" s="638"/>
      <c r="I55" s="220">
        <f t="shared" si="2"/>
        <v>0</v>
      </c>
      <c r="J55" s="2">
        <f t="shared" si="3"/>
        <v>1</v>
      </c>
      <c r="K55" s="2">
        <f t="shared" si="4"/>
        <v>0</v>
      </c>
      <c r="L55" s="2">
        <f t="shared" si="5"/>
        <v>1</v>
      </c>
    </row>
    <row r="56" spans="2:12">
      <c r="B56" s="1876">
        <f>'[1]NOTE 12'!B56:C56</f>
        <v>0</v>
      </c>
      <c r="C56" s="1877"/>
      <c r="D56" s="471">
        <f>'[1]NOTE 12'!D56</f>
        <v>0</v>
      </c>
      <c r="E56" s="471">
        <f>'[1]NOTE 12'!E56</f>
        <v>0</v>
      </c>
      <c r="F56" s="641">
        <f t="shared" si="1"/>
        <v>0</v>
      </c>
      <c r="G56" s="81"/>
      <c r="H56" s="638"/>
      <c r="I56" s="220">
        <f t="shared" si="2"/>
        <v>0</v>
      </c>
      <c r="J56" s="2">
        <f t="shared" si="3"/>
        <v>1</v>
      </c>
      <c r="K56" s="2">
        <f t="shared" si="4"/>
        <v>0</v>
      </c>
      <c r="L56" s="2">
        <f t="shared" si="5"/>
        <v>1</v>
      </c>
    </row>
    <row r="57" spans="2:12">
      <c r="B57" s="1876">
        <f>'[1]NOTE 12'!B57:C57</f>
        <v>0</v>
      </c>
      <c r="C57" s="1877"/>
      <c r="D57" s="471">
        <f>'[1]NOTE 12'!D57</f>
        <v>0</v>
      </c>
      <c r="E57" s="471">
        <f>'[1]NOTE 12'!E57</f>
        <v>0</v>
      </c>
      <c r="F57" s="641">
        <f t="shared" si="1"/>
        <v>0</v>
      </c>
      <c r="G57" s="81"/>
      <c r="H57" s="638"/>
      <c r="I57" s="220">
        <f t="shared" si="2"/>
        <v>0</v>
      </c>
      <c r="J57" s="2">
        <f t="shared" si="3"/>
        <v>1</v>
      </c>
      <c r="K57" s="2">
        <f t="shared" si="4"/>
        <v>0</v>
      </c>
      <c r="L57" s="2">
        <f t="shared" si="5"/>
        <v>1</v>
      </c>
    </row>
    <row r="58" spans="2:12">
      <c r="B58" s="1881"/>
      <c r="C58" s="1881"/>
      <c r="D58" s="1881"/>
      <c r="E58" s="1881"/>
      <c r="F58" s="81"/>
      <c r="G58" s="81"/>
      <c r="H58" s="81"/>
      <c r="I58" s="2">
        <f>D58-E58</f>
        <v>0</v>
      </c>
    </row>
    <row r="59" spans="2:12">
      <c r="B59" s="558" t="str">
        <f>'NOTE 11'!B27</f>
        <v>COMMENTAIRE</v>
      </c>
      <c r="C59" s="1660">
        <f>'[1]NOTE 12'!C59:G59</f>
        <v>0</v>
      </c>
      <c r="D59" s="1660"/>
      <c r="E59" s="1660"/>
      <c r="F59" s="1660"/>
      <c r="G59" s="1660"/>
      <c r="H59" s="81"/>
      <c r="I59" s="2">
        <f>D59-E59</f>
        <v>0</v>
      </c>
    </row>
    <row r="60" spans="2:12">
      <c r="B60" s="81"/>
      <c r="C60" s="1660">
        <f>'[1]NOTE 12'!C60:G60</f>
        <v>0</v>
      </c>
      <c r="D60" s="1660"/>
      <c r="E60" s="1660"/>
      <c r="F60" s="1660"/>
      <c r="G60" s="1660"/>
      <c r="H60" s="81"/>
    </row>
    <row r="61" spans="2:12">
      <c r="B61" s="81"/>
      <c r="C61" s="1660">
        <f>'[1]NOTE 12'!C61:G61</f>
        <v>0</v>
      </c>
      <c r="D61" s="1660"/>
      <c r="E61" s="1660"/>
      <c r="F61" s="1660"/>
      <c r="G61" s="1660"/>
      <c r="H61" s="81"/>
    </row>
    <row r="62" spans="2:12">
      <c r="B62" s="81"/>
      <c r="C62" s="1660">
        <f>'[1]NOTE 12'!C62:G62</f>
        <v>0</v>
      </c>
      <c r="D62" s="1660"/>
      <c r="E62" s="1660"/>
      <c r="F62" s="1660"/>
      <c r="G62" s="1660"/>
      <c r="H62" s="81"/>
    </row>
    <row r="63" spans="2:12">
      <c r="C63" s="1660">
        <f>'[1]NOTE 12'!C63:G63</f>
        <v>0</v>
      </c>
      <c r="D63" s="1660"/>
      <c r="E63" s="1660"/>
      <c r="F63" s="1660"/>
      <c r="G63" s="1660"/>
    </row>
    <row r="64" spans="2:12">
      <c r="C64" s="1660">
        <f>'[1]NOTE 12'!C64:G64</f>
        <v>0</v>
      </c>
      <c r="D64" s="1660"/>
      <c r="E64" s="1660"/>
      <c r="F64" s="1660"/>
      <c r="G64" s="1660"/>
    </row>
  </sheetData>
  <sheetProtection insertRows="0" selectLockedCells="1"/>
  <mergeCells count="57">
    <mergeCell ref="C64:G64"/>
    <mergeCell ref="B50:C50"/>
    <mergeCell ref="B51:C51"/>
    <mergeCell ref="B52:C52"/>
    <mergeCell ref="B53:C53"/>
    <mergeCell ref="B54:C54"/>
    <mergeCell ref="B58:E58"/>
    <mergeCell ref="C59:G59"/>
    <mergeCell ref="C60:G60"/>
    <mergeCell ref="C61:G61"/>
    <mergeCell ref="C62:G62"/>
    <mergeCell ref="C63:G63"/>
    <mergeCell ref="B55:C55"/>
    <mergeCell ref="B56:C56"/>
    <mergeCell ref="B57:C57"/>
    <mergeCell ref="B49:C49"/>
    <mergeCell ref="B36:C36"/>
    <mergeCell ref="B37:C37"/>
    <mergeCell ref="B38:C38"/>
    <mergeCell ref="B39:C39"/>
    <mergeCell ref="B40:C40"/>
    <mergeCell ref="B41:C41"/>
    <mergeCell ref="B43:F43"/>
    <mergeCell ref="B45:C45"/>
    <mergeCell ref="B46:C46"/>
    <mergeCell ref="B47:C47"/>
    <mergeCell ref="B48:C48"/>
    <mergeCell ref="B35:C35"/>
    <mergeCell ref="B24:C24"/>
    <mergeCell ref="B25:C25"/>
    <mergeCell ref="B26:C26"/>
    <mergeCell ref="B27:C27"/>
    <mergeCell ref="B28:C28"/>
    <mergeCell ref="B29:C29"/>
    <mergeCell ref="B30:C30"/>
    <mergeCell ref="B31:C31"/>
    <mergeCell ref="B32:C32"/>
    <mergeCell ref="B33:C33"/>
    <mergeCell ref="B34:C34"/>
    <mergeCell ref="B23:C23"/>
    <mergeCell ref="B12:C12"/>
    <mergeCell ref="B13:C13"/>
    <mergeCell ref="B14:C14"/>
    <mergeCell ref="B15:C15"/>
    <mergeCell ref="B16:C16"/>
    <mergeCell ref="B17:C17"/>
    <mergeCell ref="B18:C18"/>
    <mergeCell ref="B19:C19"/>
    <mergeCell ref="B20:C20"/>
    <mergeCell ref="B21:C21"/>
    <mergeCell ref="B22:C22"/>
    <mergeCell ref="B11:C11"/>
    <mergeCell ref="B1:H1"/>
    <mergeCell ref="G2:H3"/>
    <mergeCell ref="D7:E7"/>
    <mergeCell ref="B9:H9"/>
    <mergeCell ref="B10:C10"/>
  </mergeCells>
  <conditionalFormatting sqref="E5:F5 D6 G6:G7">
    <cfRule type="expression" dxfId="27" priority="1">
      <formula>#REF!=1</formula>
    </cfRule>
  </conditionalFormatting>
  <printOptions horizontalCentered="1"/>
  <pageMargins left="0.78740157480314965" right="0" top="0.59055118110236227" bottom="0.19685039370078741" header="0.31496062992125984" footer="0.15748031496062992"/>
  <pageSetup paperSize="9" scale="67" fitToHeight="0" orientation="portrait" r:id="rId1"/>
  <headerFooter>
    <oddHeader>&amp;C&amp;"-,Gras"&amp;14Page &amp;P / &amp;N</oddHead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euil35">
    <pageSetUpPr fitToPage="1"/>
  </sheetPr>
  <dimension ref="B1:N42"/>
  <sheetViews>
    <sheetView showGridLines="0" showZeros="0" topLeftCell="A22" zoomScaleNormal="100" zoomScaleSheetLayoutView="100" workbookViewId="0">
      <selection activeCell="C33" sqref="C33:H42"/>
    </sheetView>
  </sheetViews>
  <sheetFormatPr baseColWidth="10" defaultColWidth="11.42578125" defaultRowHeight="15"/>
  <cols>
    <col min="1" max="1" width="6.140625" style="2" customWidth="1"/>
    <col min="2" max="2" width="24.28515625" style="2" customWidth="1"/>
    <col min="3" max="3" width="19.28515625" style="2" customWidth="1"/>
    <col min="4" max="4" width="14.42578125" style="2" customWidth="1"/>
    <col min="5" max="5" width="15.85546875" style="2" customWidth="1"/>
    <col min="6" max="6" width="11.7109375" style="2" customWidth="1"/>
    <col min="7" max="7" width="22.42578125" style="2" bestFit="1" customWidth="1"/>
    <col min="8" max="8" width="14.85546875" style="2" customWidth="1"/>
    <col min="9" max="13" width="11.42578125" style="2"/>
    <col min="14" max="14" width="0" style="2" hidden="1" customWidth="1"/>
    <col min="15" max="16384" width="11.42578125" style="2"/>
  </cols>
  <sheetData>
    <row r="1" spans="2:14">
      <c r="B1" s="1649"/>
      <c r="C1" s="1649"/>
      <c r="D1" s="1649"/>
      <c r="E1" s="1649"/>
      <c r="F1" s="1649"/>
      <c r="G1" s="1649"/>
      <c r="H1" s="1649"/>
    </row>
    <row r="2" spans="2:14" ht="15" customHeight="1">
      <c r="B2" s="144"/>
      <c r="C2" s="144"/>
      <c r="D2" s="144"/>
      <c r="E2" s="144"/>
      <c r="F2" s="144"/>
      <c r="G2" s="1871" t="str">
        <f>IF([1]ACCUEIL!B1=1,"NOTE 13
NORMAL SYSTEM","NOTE 13
SYSTEME NORMAL")</f>
        <v>NOTE 13
SYSTEME NORMAL</v>
      </c>
      <c r="H2" s="1872"/>
    </row>
    <row r="3" spans="2:14">
      <c r="B3" s="144"/>
      <c r="C3" s="144"/>
      <c r="D3" s="144"/>
      <c r="E3" s="312"/>
      <c r="F3" s="144"/>
      <c r="G3" s="1873"/>
      <c r="H3" s="1874"/>
    </row>
    <row r="4" spans="2:14">
      <c r="B4" s="43" t="str">
        <f>'NOTE 12'!B4</f>
        <v>Désignation entité:</v>
      </c>
      <c r="C4" s="428" t="str">
        <f>'NOTE 12'!C4</f>
        <v/>
      </c>
      <c r="D4" s="313"/>
      <c r="E4" s="428"/>
      <c r="F4" s="428"/>
      <c r="G4" s="144"/>
      <c r="H4" s="144"/>
    </row>
    <row r="5" spans="2:14">
      <c r="B5" s="43" t="str">
        <f>'NOTE 12'!B5</f>
        <v>Sigle usuel :</v>
      </c>
      <c r="C5" s="430" t="str">
        <f>'NOTE 12'!C5</f>
        <v/>
      </c>
      <c r="D5" s="175"/>
      <c r="E5" s="507"/>
      <c r="F5" s="507"/>
      <c r="G5" s="642"/>
      <c r="H5" s="643"/>
    </row>
    <row r="6" spans="2:14">
      <c r="B6" s="43" t="str">
        <f>'NOTE 12'!B6</f>
        <v>Adresse:</v>
      </c>
      <c r="C6" s="428">
        <f>'NOTE 11'!C6</f>
        <v>0</v>
      </c>
      <c r="D6" s="508"/>
      <c r="E6" s="172"/>
      <c r="F6" s="172"/>
      <c r="G6" s="317" t="str">
        <f>'NOTE 12'!G6</f>
        <v>BP:</v>
      </c>
      <c r="H6" s="402" t="str">
        <f>'NOTE 11'!G6</f>
        <v/>
      </c>
    </row>
    <row r="7" spans="2:14">
      <c r="B7" s="43" t="str">
        <f>'NOTE 12'!B7</f>
        <v>Numéro d'identification:</v>
      </c>
      <c r="C7" s="402" t="str">
        <f>'NOTE 12'!C7</f>
        <v/>
      </c>
      <c r="D7" s="1777" t="str">
        <f>'NOTE 12'!D7:E7</f>
        <v xml:space="preserve">   Exercice clos le 31 - 12- </v>
      </c>
      <c r="E7" s="1701"/>
      <c r="F7" s="644">
        <f>'NOTE 12'!F7</f>
        <v>2025</v>
      </c>
      <c r="G7" s="318" t="str">
        <f>'NOTE 12'!G7</f>
        <v xml:space="preserve">    Durée (en mois):</v>
      </c>
      <c r="H7" s="402">
        <f>'NOTE 12'!H7</f>
        <v>12</v>
      </c>
    </row>
    <row r="8" spans="2:14">
      <c r="B8" s="43">
        <f>'NOTE 12'!B8</f>
        <v>0</v>
      </c>
      <c r="C8" s="43"/>
      <c r="D8" s="43"/>
      <c r="E8" s="43"/>
      <c r="F8" s="43"/>
      <c r="G8" s="43"/>
      <c r="H8" s="43"/>
    </row>
    <row r="9" spans="2:14">
      <c r="B9" s="1617" t="str">
        <f>IF([1]ACCUEIL!B1=1,"NOTE 13 NOMINAL VALUE OF SHARES OR UNITS      
","NOTE 13 VALEUR NOMINAL DES ACTIONS OU PARTS")</f>
        <v>NOTE 13 VALEUR NOMINAL DES ACTIONS OU PARTS</v>
      </c>
      <c r="C9" s="1617"/>
      <c r="D9" s="1617"/>
      <c r="E9" s="1617"/>
      <c r="F9" s="1617"/>
      <c r="G9" s="1617"/>
      <c r="H9" s="1617"/>
    </row>
    <row r="10" spans="2:14">
      <c r="B10" s="43"/>
      <c r="C10" s="144"/>
      <c r="D10" s="144"/>
      <c r="E10" s="152"/>
      <c r="F10" s="152"/>
      <c r="G10" s="631" t="s">
        <v>265</v>
      </c>
      <c r="H10" s="645">
        <f>'[1]NOTE 13'!$H$10</f>
        <v>500000</v>
      </c>
    </row>
    <row r="11" spans="2:14" ht="51.75">
      <c r="B11" s="1882" t="str">
        <f>IF([1]ACCUEIL!B1=1,"LAST NAME AND FIRST NAMES","NOM ET PRENOMS")</f>
        <v>NOM ET PRENOMS</v>
      </c>
      <c r="C11" s="1867"/>
      <c r="D11" s="646" t="str">
        <f>IF([1]ACCUEIL!B1=1,"NATIONALITY","NATIONALITE")</f>
        <v>NATIONALITE</v>
      </c>
      <c r="E11" s="647" t="str">
        <f>IF([1]ACCUEIL!B1=1,"Nature of shares (ordinary or preferred)","Nature des action ou parts (ordinaires ou préferences)")</f>
        <v>Nature des action ou parts (ordinaires ou préferences)</v>
      </c>
      <c r="F11" s="646" t="str">
        <f>IF([1]ACCUEIL!B1=1,"NUMBER","NOMBRE")</f>
        <v>NOMBRE</v>
      </c>
      <c r="G11" s="631" t="str">
        <f>IF([1]ACCUEIL!B1=1,"Total amount","Montant total")</f>
        <v>Montant total</v>
      </c>
      <c r="H11" s="647" t="str">
        <f>IF([1]ACCUEIL!B1=1,"Transfer or reimbursement during the financial year","Cession ou rembourssement en cours de l'exercice")</f>
        <v>Cession ou rembourssement en cours de l'exercice</v>
      </c>
    </row>
    <row r="12" spans="2:14" ht="24" customHeight="1">
      <c r="B12" s="1794">
        <f>'[1]NOTE 13'!B12:C12</f>
        <v>0</v>
      </c>
      <c r="C12" s="1786"/>
      <c r="D12" s="470">
        <f>'[1]NOTE 13'!D12</f>
        <v>0</v>
      </c>
      <c r="E12" s="470">
        <f>'[1]NOTE 13'!E12</f>
        <v>0</v>
      </c>
      <c r="F12" s="470">
        <f>'[1]NOTE 13'!F12</f>
        <v>0</v>
      </c>
      <c r="G12" s="470">
        <f>'[1]NOTE 13'!G12</f>
        <v>0</v>
      </c>
      <c r="H12" s="470">
        <f>'[1]NOTE 13'!H12</f>
        <v>0</v>
      </c>
      <c r="N12" s="2" t="s">
        <v>266</v>
      </c>
    </row>
    <row r="13" spans="2:14" ht="24" customHeight="1">
      <c r="B13" s="1794">
        <f>'[1]NOTE 13'!B13:C13</f>
        <v>0</v>
      </c>
      <c r="C13" s="1786"/>
      <c r="D13" s="470">
        <f>'[1]NOTE 13'!D13</f>
        <v>0</v>
      </c>
      <c r="E13" s="470">
        <f>'[1]NOTE 13'!E13</f>
        <v>0</v>
      </c>
      <c r="F13" s="470">
        <f>'[1]NOTE 13'!F13</f>
        <v>0</v>
      </c>
      <c r="G13" s="470">
        <f>'[1]NOTE 13'!G13</f>
        <v>0</v>
      </c>
      <c r="H13" s="470">
        <f>'[1]NOTE 13'!H13</f>
        <v>0</v>
      </c>
      <c r="N13" s="2" t="s">
        <v>267</v>
      </c>
    </row>
    <row r="14" spans="2:14" ht="24" customHeight="1">
      <c r="B14" s="1794">
        <f>'[1]NOTE 13'!B14:C14</f>
        <v>0</v>
      </c>
      <c r="C14" s="1786"/>
      <c r="D14" s="470">
        <f>'[1]NOTE 13'!D14</f>
        <v>0</v>
      </c>
      <c r="E14" s="470">
        <f>'[1]NOTE 13'!E14</f>
        <v>0</v>
      </c>
      <c r="F14" s="470">
        <f>'[1]NOTE 13'!F14</f>
        <v>0</v>
      </c>
      <c r="G14" s="470">
        <f>'[1]NOTE 13'!G14</f>
        <v>0</v>
      </c>
      <c r="H14" s="470">
        <f>'[1]NOTE 13'!H14</f>
        <v>0</v>
      </c>
    </row>
    <row r="15" spans="2:14" ht="24" customHeight="1">
      <c r="B15" s="1794">
        <f>'[1]NOTE 13'!B15:C15</f>
        <v>0</v>
      </c>
      <c r="C15" s="1786"/>
      <c r="D15" s="470">
        <f>'[1]NOTE 13'!D15</f>
        <v>0</v>
      </c>
      <c r="E15" s="470">
        <f>'[1]NOTE 13'!E15</f>
        <v>0</v>
      </c>
      <c r="F15" s="470">
        <f>'[1]NOTE 13'!F15</f>
        <v>0</v>
      </c>
      <c r="G15" s="470">
        <f>'[1]NOTE 13'!G15</f>
        <v>0</v>
      </c>
      <c r="H15" s="470">
        <f>'[1]NOTE 13'!H15</f>
        <v>0</v>
      </c>
    </row>
    <row r="16" spans="2:14" ht="24" customHeight="1">
      <c r="B16" s="1794">
        <f>'[1]NOTE 13'!B16:C16</f>
        <v>0</v>
      </c>
      <c r="C16" s="1786"/>
      <c r="D16" s="470">
        <f>'[1]NOTE 13'!D16</f>
        <v>0</v>
      </c>
      <c r="E16" s="470">
        <f>'[1]NOTE 13'!E16</f>
        <v>0</v>
      </c>
      <c r="F16" s="470">
        <f>'[1]NOTE 13'!F16</f>
        <v>0</v>
      </c>
      <c r="G16" s="470">
        <f>'[1]NOTE 13'!G16</f>
        <v>0</v>
      </c>
      <c r="H16" s="470">
        <f>'[1]NOTE 13'!H16</f>
        <v>0</v>
      </c>
    </row>
    <row r="17" spans="2:8" ht="24" customHeight="1">
      <c r="B17" s="1794">
        <f>'[1]NOTE 13'!B17:C17</f>
        <v>0</v>
      </c>
      <c r="C17" s="1786"/>
      <c r="D17" s="470">
        <f>'[1]NOTE 13'!D17</f>
        <v>0</v>
      </c>
      <c r="E17" s="470">
        <f>'[1]NOTE 13'!E17</f>
        <v>0</v>
      </c>
      <c r="F17" s="470">
        <f>'[1]NOTE 13'!F17</f>
        <v>0</v>
      </c>
      <c r="G17" s="470">
        <f>'[1]NOTE 13'!G17</f>
        <v>0</v>
      </c>
      <c r="H17" s="470">
        <f>'[1]NOTE 13'!H17</f>
        <v>0</v>
      </c>
    </row>
    <row r="18" spans="2:8" ht="24" customHeight="1">
      <c r="B18" s="1794">
        <f>'[1]NOTE 13'!B18:C18</f>
        <v>0</v>
      </c>
      <c r="C18" s="1786"/>
      <c r="D18" s="470">
        <f>'[1]NOTE 13'!D18</f>
        <v>0</v>
      </c>
      <c r="E18" s="470">
        <f>'[1]NOTE 13'!E18</f>
        <v>0</v>
      </c>
      <c r="F18" s="470">
        <f>'[1]NOTE 13'!F18</f>
        <v>0</v>
      </c>
      <c r="G18" s="470">
        <f>'[1]NOTE 13'!G18</f>
        <v>0</v>
      </c>
      <c r="H18" s="470">
        <f>'[1]NOTE 13'!H18</f>
        <v>0</v>
      </c>
    </row>
    <row r="19" spans="2:8" ht="24" customHeight="1">
      <c r="B19" s="1794">
        <f>'[1]NOTE 13'!B19:C19</f>
        <v>0</v>
      </c>
      <c r="C19" s="1786"/>
      <c r="D19" s="470">
        <f>'[1]NOTE 13'!D19</f>
        <v>0</v>
      </c>
      <c r="E19" s="470">
        <f>'[1]NOTE 13'!E19</f>
        <v>0</v>
      </c>
      <c r="F19" s="470">
        <f>'[1]NOTE 13'!F19</f>
        <v>0</v>
      </c>
      <c r="G19" s="470">
        <f>'[1]NOTE 13'!G19</f>
        <v>0</v>
      </c>
      <c r="H19" s="470">
        <f>'[1]NOTE 13'!H19</f>
        <v>0</v>
      </c>
    </row>
    <row r="20" spans="2:8" ht="24" customHeight="1">
      <c r="B20" s="1794">
        <f>'[1]NOTE 13'!B20:C20</f>
        <v>0</v>
      </c>
      <c r="C20" s="1786"/>
      <c r="D20" s="470">
        <f>'[1]NOTE 13'!D20</f>
        <v>0</v>
      </c>
      <c r="E20" s="470">
        <f>'[1]NOTE 13'!E20</f>
        <v>0</v>
      </c>
      <c r="F20" s="470">
        <f>'[1]NOTE 13'!F20</f>
        <v>0</v>
      </c>
      <c r="G20" s="470">
        <f>'[1]NOTE 13'!G20</f>
        <v>0</v>
      </c>
      <c r="H20" s="470">
        <f>'[1]NOTE 13'!H20</f>
        <v>0</v>
      </c>
    </row>
    <row r="21" spans="2:8" ht="24" customHeight="1">
      <c r="B21" s="1794">
        <f>'[1]NOTE 13'!B21:C21</f>
        <v>0</v>
      </c>
      <c r="C21" s="1786"/>
      <c r="D21" s="470">
        <f>'[1]NOTE 13'!D21</f>
        <v>0</v>
      </c>
      <c r="E21" s="470">
        <f>'[1]NOTE 13'!E21</f>
        <v>0</v>
      </c>
      <c r="F21" s="470">
        <f>'[1]NOTE 13'!F21</f>
        <v>0</v>
      </c>
      <c r="G21" s="470">
        <f>'[1]NOTE 13'!G21</f>
        <v>0</v>
      </c>
      <c r="H21" s="470">
        <f>'[1]NOTE 13'!H21</f>
        <v>0</v>
      </c>
    </row>
    <row r="22" spans="2:8" ht="24" customHeight="1">
      <c r="B22" s="1794">
        <f>'[1]NOTE 13'!B22:C22</f>
        <v>0</v>
      </c>
      <c r="C22" s="1786"/>
      <c r="D22" s="470">
        <f>'[1]NOTE 13'!D22</f>
        <v>0</v>
      </c>
      <c r="E22" s="470">
        <f>'[1]NOTE 13'!E22</f>
        <v>0</v>
      </c>
      <c r="F22" s="470">
        <f>'[1]NOTE 13'!F22</f>
        <v>0</v>
      </c>
      <c r="G22" s="470">
        <f>'[1]NOTE 13'!G22</f>
        <v>0</v>
      </c>
      <c r="H22" s="470">
        <f>'[1]NOTE 13'!H22</f>
        <v>0</v>
      </c>
    </row>
    <row r="23" spans="2:8" ht="24" customHeight="1">
      <c r="B23" s="1794">
        <f>'[1]NOTE 13'!B23:C23</f>
        <v>0</v>
      </c>
      <c r="C23" s="1786"/>
      <c r="D23" s="470">
        <f>'[1]NOTE 13'!D23</f>
        <v>0</v>
      </c>
      <c r="E23" s="470">
        <f>'[1]NOTE 13'!E23</f>
        <v>0</v>
      </c>
      <c r="F23" s="470">
        <f>'[1]NOTE 13'!F23</f>
        <v>0</v>
      </c>
      <c r="G23" s="470">
        <f>'[1]NOTE 13'!G23</f>
        <v>0</v>
      </c>
      <c r="H23" s="470">
        <f>'[1]NOTE 13'!H23</f>
        <v>0</v>
      </c>
    </row>
    <row r="24" spans="2:8" ht="24" customHeight="1">
      <c r="B24" s="1794">
        <f>'[1]NOTE 13'!B24:C24</f>
        <v>0</v>
      </c>
      <c r="C24" s="1786"/>
      <c r="D24" s="470">
        <f>'[1]NOTE 13'!D24</f>
        <v>0</v>
      </c>
      <c r="E24" s="470">
        <f>'[1]NOTE 13'!E24</f>
        <v>0</v>
      </c>
      <c r="F24" s="470">
        <f>'[1]NOTE 13'!F24</f>
        <v>0</v>
      </c>
      <c r="G24" s="470">
        <f>'[1]NOTE 13'!G24</f>
        <v>0</v>
      </c>
      <c r="H24" s="470">
        <f>'[1]NOTE 13'!H24</f>
        <v>0</v>
      </c>
    </row>
    <row r="25" spans="2:8" ht="24" customHeight="1">
      <c r="B25" s="1794">
        <f>'[1]NOTE 13'!B25:C25</f>
        <v>0</v>
      </c>
      <c r="C25" s="1786"/>
      <c r="D25" s="470">
        <f>'[1]NOTE 13'!D25</f>
        <v>0</v>
      </c>
      <c r="E25" s="470">
        <f>'[1]NOTE 13'!E25</f>
        <v>0</v>
      </c>
      <c r="F25" s="470">
        <f>'[1]NOTE 13'!F25</f>
        <v>0</v>
      </c>
      <c r="G25" s="470">
        <f>'[1]NOTE 13'!G25</f>
        <v>0</v>
      </c>
      <c r="H25" s="470">
        <f>'[1]NOTE 13'!H25</f>
        <v>0</v>
      </c>
    </row>
    <row r="26" spans="2:8" ht="24" customHeight="1">
      <c r="B26" s="1794">
        <f>'[1]NOTE 13'!B26:C26</f>
        <v>0</v>
      </c>
      <c r="C26" s="1786"/>
      <c r="D26" s="470">
        <f>'[1]NOTE 13'!D26</f>
        <v>0</v>
      </c>
      <c r="E26" s="470">
        <f>'[1]NOTE 13'!E26</f>
        <v>0</v>
      </c>
      <c r="F26" s="470">
        <f>'[1]NOTE 13'!F26</f>
        <v>0</v>
      </c>
      <c r="G26" s="470">
        <f>'[1]NOTE 13'!G26</f>
        <v>0</v>
      </c>
      <c r="H26" s="470">
        <f>'[1]NOTE 13'!H26</f>
        <v>0</v>
      </c>
    </row>
    <row r="27" spans="2:8" ht="24" customHeight="1">
      <c r="B27" s="1794">
        <f>'[1]NOTE 13'!B27:C27</f>
        <v>0</v>
      </c>
      <c r="C27" s="1786"/>
      <c r="D27" s="470">
        <f>'[1]NOTE 13'!D27</f>
        <v>0</v>
      </c>
      <c r="E27" s="470">
        <f>'[1]NOTE 13'!E27</f>
        <v>0</v>
      </c>
      <c r="F27" s="470">
        <f>'[1]NOTE 13'!F27</f>
        <v>0</v>
      </c>
      <c r="G27" s="470">
        <f>'[1]NOTE 13'!G27</f>
        <v>0</v>
      </c>
      <c r="H27" s="470">
        <f>'[1]NOTE 13'!H27</f>
        <v>0</v>
      </c>
    </row>
    <row r="28" spans="2:8" ht="24" customHeight="1">
      <c r="B28" s="1794">
        <f>'[1]NOTE 13'!B28:C28</f>
        <v>0</v>
      </c>
      <c r="C28" s="1786"/>
      <c r="D28" s="470">
        <f>'[1]NOTE 13'!D28</f>
        <v>0</v>
      </c>
      <c r="E28" s="470">
        <f>'[1]NOTE 13'!E28</f>
        <v>0</v>
      </c>
      <c r="F28" s="470">
        <f>'[1]NOTE 13'!F28</f>
        <v>0</v>
      </c>
      <c r="G28" s="470">
        <f>'[1]NOTE 13'!G28</f>
        <v>0</v>
      </c>
      <c r="H28" s="470">
        <f>'[1]NOTE 13'!H28</f>
        <v>0</v>
      </c>
    </row>
    <row r="29" spans="2:8">
      <c r="B29" s="137"/>
      <c r="C29" s="101"/>
      <c r="D29" s="1883"/>
      <c r="E29" s="1884"/>
      <c r="F29" s="1887"/>
      <c r="G29" s="1889">
        <f>+-'[1]CLASSE 1'!I56</f>
        <v>0</v>
      </c>
      <c r="H29" s="1891"/>
    </row>
    <row r="30" spans="2:8">
      <c r="B30" s="134" t="str">
        <f>IF([1]ACCUEIL!B1=1,"Contributors; capital not called","Apporteurs; capital non appelé")</f>
        <v>Apporteurs; capital non appelé</v>
      </c>
      <c r="C30" s="104"/>
      <c r="D30" s="1885"/>
      <c r="E30" s="1886"/>
      <c r="F30" s="1888"/>
      <c r="G30" s="1890"/>
      <c r="H30" s="1892"/>
    </row>
    <row r="31" spans="2:8">
      <c r="B31" s="1893" t="s">
        <v>25</v>
      </c>
      <c r="C31" s="1893"/>
      <c r="D31" s="1894"/>
      <c r="E31" s="1894"/>
      <c r="F31" s="648">
        <f>SUM(F12:F30)</f>
        <v>0</v>
      </c>
      <c r="G31" s="648">
        <f>SUM(G12:G30)</f>
        <v>0</v>
      </c>
      <c r="H31" s="648"/>
    </row>
    <row r="32" spans="2:8">
      <c r="B32" s="649"/>
      <c r="C32" s="649"/>
      <c r="D32" s="649"/>
      <c r="E32" s="649"/>
      <c r="F32" s="81"/>
      <c r="G32" s="81"/>
      <c r="H32" s="81"/>
    </row>
    <row r="33" spans="2:8">
      <c r="B33" s="558" t="str">
        <f>'NOTE 12'!B59</f>
        <v>COMMENTAIRE</v>
      </c>
      <c r="C33" s="1660">
        <f>'[1]NOTE 13'!C33:H33</f>
        <v>0</v>
      </c>
      <c r="D33" s="1660"/>
      <c r="E33" s="1660"/>
      <c r="F33" s="1660"/>
      <c r="G33" s="1660"/>
      <c r="H33" s="1660"/>
    </row>
    <row r="34" spans="2:8">
      <c r="B34" s="560"/>
      <c r="C34" s="1660">
        <f>'[1]NOTE 13'!C34:H34</f>
        <v>0</v>
      </c>
      <c r="D34" s="1660"/>
      <c r="E34" s="1660"/>
      <c r="F34" s="1660"/>
      <c r="G34" s="1660"/>
      <c r="H34" s="1660"/>
    </row>
    <row r="35" spans="2:8">
      <c r="B35" s="560"/>
      <c r="C35" s="1660">
        <f>'[1]NOTE 13'!C35:H35</f>
        <v>0</v>
      </c>
      <c r="D35" s="1660"/>
      <c r="E35" s="1660"/>
      <c r="F35" s="1660"/>
      <c r="G35" s="1660"/>
      <c r="H35" s="1660"/>
    </row>
    <row r="36" spans="2:8">
      <c r="B36" s="560"/>
      <c r="C36" s="1660">
        <f>'[1]NOTE 13'!C36:H36</f>
        <v>0</v>
      </c>
      <c r="D36" s="1660"/>
      <c r="E36" s="1660"/>
      <c r="F36" s="1660"/>
      <c r="G36" s="1660"/>
      <c r="H36" s="1660"/>
    </row>
    <row r="37" spans="2:8">
      <c r="B37" s="560"/>
      <c r="C37" s="1660">
        <f>'[1]NOTE 13'!C37:H37</f>
        <v>0</v>
      </c>
      <c r="D37" s="1660"/>
      <c r="E37" s="1660"/>
      <c r="F37" s="1660"/>
      <c r="G37" s="1660"/>
      <c r="H37" s="1660"/>
    </row>
    <row r="38" spans="2:8">
      <c r="B38" s="81"/>
      <c r="C38" s="1660">
        <f>'[1]NOTE 13'!C38:H38</f>
        <v>0</v>
      </c>
      <c r="D38" s="1660"/>
      <c r="E38" s="1660"/>
      <c r="F38" s="1660"/>
      <c r="G38" s="1660"/>
      <c r="H38" s="1660"/>
    </row>
    <row r="39" spans="2:8">
      <c r="B39" s="81"/>
      <c r="C39" s="1660">
        <f>'[1]NOTE 13'!C39:H39</f>
        <v>0</v>
      </c>
      <c r="D39" s="1660"/>
      <c r="E39" s="1660"/>
      <c r="F39" s="1660"/>
      <c r="G39" s="1660"/>
      <c r="H39" s="1660"/>
    </row>
    <row r="40" spans="2:8">
      <c r="B40" s="81"/>
      <c r="C40" s="1660">
        <f>'[1]NOTE 13'!C40:H40</f>
        <v>0</v>
      </c>
      <c r="D40" s="1660"/>
      <c r="E40" s="1660"/>
      <c r="F40" s="1660"/>
      <c r="G40" s="1660"/>
      <c r="H40" s="1660"/>
    </row>
    <row r="41" spans="2:8">
      <c r="B41" s="81"/>
      <c r="C41" s="1660">
        <f>'[1]NOTE 13'!C41:H41</f>
        <v>0</v>
      </c>
      <c r="D41" s="1660"/>
      <c r="E41" s="1660"/>
      <c r="F41" s="1660"/>
      <c r="G41" s="1660"/>
      <c r="H41" s="1660"/>
    </row>
    <row r="42" spans="2:8">
      <c r="B42" s="81"/>
      <c r="C42" s="1660">
        <f>'[1]NOTE 13'!C42:H42</f>
        <v>0</v>
      </c>
      <c r="D42" s="1660"/>
      <c r="E42" s="1660"/>
      <c r="F42" s="1660"/>
      <c r="G42" s="1660"/>
      <c r="H42" s="1660"/>
    </row>
  </sheetData>
  <sheetProtection insertRows="0" selectLockedCells="1"/>
  <mergeCells count="37">
    <mergeCell ref="C42:H42"/>
    <mergeCell ref="C36:H36"/>
    <mergeCell ref="C37:H37"/>
    <mergeCell ref="C38:H38"/>
    <mergeCell ref="C39:H39"/>
    <mergeCell ref="C40:H40"/>
    <mergeCell ref="C41:H41"/>
    <mergeCell ref="C35:H35"/>
    <mergeCell ref="B25:C25"/>
    <mergeCell ref="B26:C26"/>
    <mergeCell ref="B27:C27"/>
    <mergeCell ref="B28:C28"/>
    <mergeCell ref="D29:E30"/>
    <mergeCell ref="F29:F30"/>
    <mergeCell ref="G29:G30"/>
    <mergeCell ref="H29:H30"/>
    <mergeCell ref="B31:E31"/>
    <mergeCell ref="C33:H33"/>
    <mergeCell ref="C34:H34"/>
    <mergeCell ref="B24:C24"/>
    <mergeCell ref="B13:C13"/>
    <mergeCell ref="B14:C14"/>
    <mergeCell ref="B15:C15"/>
    <mergeCell ref="B16:C16"/>
    <mergeCell ref="B17:C17"/>
    <mergeCell ref="B18:C18"/>
    <mergeCell ref="B19:C19"/>
    <mergeCell ref="B20:C20"/>
    <mergeCell ref="B21:C21"/>
    <mergeCell ref="B22:C22"/>
    <mergeCell ref="B23:C23"/>
    <mergeCell ref="B12:C12"/>
    <mergeCell ref="B1:H1"/>
    <mergeCell ref="G2:H3"/>
    <mergeCell ref="D7:E7"/>
    <mergeCell ref="B9:H9"/>
    <mergeCell ref="B11:C11"/>
  </mergeCells>
  <conditionalFormatting sqref="E5:F5 D6 G6">
    <cfRule type="expression" dxfId="26" priority="1">
      <formula>#REF!=1</formula>
    </cfRule>
  </conditionalFormatting>
  <printOptions horizontalCentered="1"/>
  <pageMargins left="0.78740157480314965" right="0" top="0.59055118110236227" bottom="0.19685039370078741" header="0.31496062992125984" footer="0.31496062992125984"/>
  <pageSetup paperSize="9" scale="75" orientation="portrait" r:id="rId1"/>
  <headerFooter>
    <oddHeader>&amp;C&amp;"-,Gras"&amp;14Page &amp;P / &amp;N</oddHead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Feuil36">
    <pageSetUpPr fitToPage="1"/>
  </sheetPr>
  <dimension ref="B1:G39"/>
  <sheetViews>
    <sheetView showZeros="0" topLeftCell="A14" zoomScaleNormal="100" zoomScaleSheetLayoutView="100" workbookViewId="0">
      <selection activeCell="U12" sqref="U12"/>
    </sheetView>
  </sheetViews>
  <sheetFormatPr baseColWidth="10" defaultColWidth="11.42578125" defaultRowHeight="15"/>
  <cols>
    <col min="1" max="1" width="5.85546875" style="2" customWidth="1"/>
    <col min="2" max="2" width="24.7109375" style="2" customWidth="1"/>
    <col min="3" max="3" width="18.85546875" style="2" customWidth="1"/>
    <col min="4" max="4" width="27.42578125" style="2" bestFit="1" customWidth="1"/>
    <col min="5" max="5" width="21.140625" style="2" customWidth="1"/>
    <col min="6" max="6" width="22.42578125" style="2" bestFit="1" customWidth="1"/>
    <col min="7" max="7" width="19.140625" style="2" customWidth="1"/>
    <col min="8" max="16384" width="11.42578125" style="2"/>
  </cols>
  <sheetData>
    <row r="1" spans="2:7" ht="6.75" customHeight="1"/>
    <row r="2" spans="2:7" ht="5.25" customHeight="1"/>
    <row r="3" spans="2:7" ht="3.75" customHeight="1">
      <c r="B3" s="1649"/>
      <c r="C3" s="1649"/>
      <c r="D3" s="1649"/>
      <c r="E3" s="1649"/>
      <c r="F3" s="1649"/>
      <c r="G3" s="1649"/>
    </row>
    <row r="4" spans="2:7">
      <c r="B4" s="144"/>
      <c r="C4" s="144"/>
      <c r="D4" s="144"/>
      <c r="E4" s="144"/>
      <c r="F4" s="1650" t="str">
        <f>IF([1]ACCUEIL!B1=1,"NOTE 14
NORMAL SYSTEM","NOTE 14
SYSTEME NORMAL")</f>
        <v>NOTE 14
SYSTEME NORMAL</v>
      </c>
      <c r="G4" s="1651"/>
    </row>
    <row r="5" spans="2:7">
      <c r="B5" s="43"/>
      <c r="C5" s="43"/>
      <c r="D5" s="43"/>
      <c r="E5" s="43"/>
      <c r="F5" s="1652"/>
      <c r="G5" s="1653"/>
    </row>
    <row r="6" spans="2:7">
      <c r="B6" s="43" t="str">
        <f>'NOTE 12'!B4</f>
        <v>Désignation entité:</v>
      </c>
      <c r="C6" s="650" t="str">
        <f>'NOTE 12'!C4</f>
        <v/>
      </c>
      <c r="D6" s="650"/>
      <c r="E6" s="651"/>
      <c r="F6" s="652"/>
      <c r="G6" s="652"/>
    </row>
    <row r="7" spans="2:7">
      <c r="B7" s="43" t="str">
        <f>'NOTE 12'!B5</f>
        <v>Sigle usuel :</v>
      </c>
      <c r="C7" s="512" t="str">
        <f>'NOTE 13'!C5</f>
        <v/>
      </c>
      <c r="D7" s="653"/>
      <c r="E7" s="654"/>
      <c r="F7" s="655"/>
      <c r="G7" s="655"/>
    </row>
    <row r="8" spans="2:7">
      <c r="B8" s="43" t="str">
        <f>'NOTE 12'!B6</f>
        <v>Adresse:</v>
      </c>
      <c r="C8" s="650">
        <f>'NOTE 13'!C6</f>
        <v>0</v>
      </c>
      <c r="D8" s="656"/>
      <c r="E8" s="509"/>
      <c r="F8" s="317" t="str">
        <f>'NOTE 13'!G6</f>
        <v>BP:</v>
      </c>
      <c r="G8" s="512" t="str">
        <f>'NOTE 13'!H6</f>
        <v/>
      </c>
    </row>
    <row r="9" spans="2:7">
      <c r="B9" s="43" t="str">
        <f>'NOTE 12'!B7</f>
        <v>Numéro d'identification:</v>
      </c>
      <c r="C9" s="512" t="str">
        <f>'NOTE 12'!C7</f>
        <v/>
      </c>
      <c r="D9" s="657" t="str">
        <f>'NOTE 13'!D7:E7</f>
        <v xml:space="preserve">   Exercice clos le 31 - 12- </v>
      </c>
      <c r="E9" s="319">
        <f>'NOTE 12'!F7</f>
        <v>2025</v>
      </c>
      <c r="F9" s="318" t="str">
        <f>'NOTE 13'!G7</f>
        <v xml:space="preserve">    Durée (en mois):</v>
      </c>
      <c r="G9" s="319">
        <f>'NOTE 12'!H7</f>
        <v>12</v>
      </c>
    </row>
    <row r="10" spans="2:7">
      <c r="B10" s="144"/>
      <c r="C10" s="144"/>
      <c r="D10" s="144"/>
      <c r="E10" s="658"/>
      <c r="F10" s="144"/>
      <c r="G10" s="658"/>
    </row>
    <row r="11" spans="2:7" ht="28.5" customHeight="1">
      <c r="B11" s="1861" t="str">
        <f>IF([1]ACCUEIL!B1=1,"NOTE 14 PREMIUMS AND RESERVES","NOTE 14 PRIMES ET RESERVES")</f>
        <v>NOTE 14 PRIMES ET RESERVES</v>
      </c>
      <c r="C11" s="1861"/>
      <c r="D11" s="1861"/>
      <c r="E11" s="1861"/>
      <c r="F11" s="1861"/>
      <c r="G11" s="1861"/>
    </row>
    <row r="12" spans="2:7" ht="25.5">
      <c r="B12" s="1795" t="str">
        <f>'NOTE 11'!B10:D10</f>
        <v xml:space="preserve">      RUBRIQUES</v>
      </c>
      <c r="C12" s="1793"/>
      <c r="D12" s="1796"/>
      <c r="E12" s="515" t="str">
        <f>'NOTE 11'!E10</f>
        <v>Année 2025</v>
      </c>
      <c r="F12" s="515" t="str">
        <f>'NOTE 11'!F10</f>
        <v>Année 2024</v>
      </c>
      <c r="G12" s="515" t="str">
        <f>IF([1]ACCUEIL!B1=1,"Change in absolute value","Variation en valeur absolue")</f>
        <v>Variation en valeur absolue</v>
      </c>
    </row>
    <row r="13" spans="2:7" ht="24" customHeight="1">
      <c r="B13" s="567" t="str">
        <f>IF([1]ACCUEIL!B1=1,"Issuance premiums","Primes d'émission")</f>
        <v>Primes d'émission</v>
      </c>
      <c r="C13" s="659"/>
      <c r="D13" s="583"/>
      <c r="E13" s="584">
        <f>'[1]CLASSE 1'!J39</f>
        <v>0</v>
      </c>
      <c r="F13" s="584">
        <f>'[1]CLASSE 1'!F39</f>
        <v>0</v>
      </c>
      <c r="G13" s="660">
        <f>E13-F13</f>
        <v>0</v>
      </c>
    </row>
    <row r="14" spans="2:7" ht="24" customHeight="1">
      <c r="B14" s="567" t="str">
        <f>IF([1]ACCUEIL!B1=1,"Contribution premium","Prime d'apport")</f>
        <v>Prime d'apport</v>
      </c>
      <c r="C14" s="659"/>
      <c r="D14" s="583"/>
      <c r="E14" s="584">
        <f>'[1]CLASSE 1'!J41</f>
        <v>0</v>
      </c>
      <c r="F14" s="584">
        <f>'[1]CLASSE 1'!F41</f>
        <v>0</v>
      </c>
      <c r="G14" s="660">
        <f t="shared" ref="G14:G26" si="0">E14-F14</f>
        <v>0</v>
      </c>
    </row>
    <row r="15" spans="2:7" ht="24" customHeight="1">
      <c r="B15" s="567" t="str">
        <f>IF([1]ACCUEIL!B1=1,"Merger premium","Prime de fusion")</f>
        <v>Prime de fusion</v>
      </c>
      <c r="C15" s="659"/>
      <c r="D15" s="583"/>
      <c r="E15" s="584">
        <f>'[1]CLASSE 1'!J43</f>
        <v>0</v>
      </c>
      <c r="F15" s="584">
        <f>'[1]CLASSE 1'!F43</f>
        <v>0</v>
      </c>
      <c r="G15" s="660">
        <f t="shared" si="0"/>
        <v>0</v>
      </c>
    </row>
    <row r="16" spans="2:7" ht="24" customHeight="1">
      <c r="B16" s="567" t="str">
        <f>IF([1]ACCUEIL!B1=1,"Conversion premium","Prime de conversion")</f>
        <v>Prime de conversion</v>
      </c>
      <c r="C16" s="659"/>
      <c r="D16" s="583"/>
      <c r="E16" s="584">
        <f>'[1]CLASSE 1'!J45</f>
        <v>0</v>
      </c>
      <c r="F16" s="584">
        <f>'[1]CLASSE 1'!F45</f>
        <v>0</v>
      </c>
      <c r="G16" s="660">
        <f t="shared" si="0"/>
        <v>0</v>
      </c>
    </row>
    <row r="17" spans="2:7" ht="24" customHeight="1">
      <c r="B17" s="567" t="str">
        <f>IF([1]ACCUEIL!B1=1,"Other premiums","Autres primes")</f>
        <v>Autres primes</v>
      </c>
      <c r="C17" s="659"/>
      <c r="D17" s="583"/>
      <c r="E17" s="584">
        <f>'[1]CLASSE 1'!J47</f>
        <v>0</v>
      </c>
      <c r="F17" s="584">
        <f>'[1]CLASSE 1'!F47</f>
        <v>0</v>
      </c>
      <c r="G17" s="660">
        <f t="shared" si="0"/>
        <v>0</v>
      </c>
    </row>
    <row r="18" spans="2:7" ht="24" customHeight="1">
      <c r="B18" s="62" t="str">
        <f>IF([1]ACCUEIL!B1=1,"TOTAL PREMIUMS","TOTAL PRIMES")</f>
        <v>TOTAL PRIMES</v>
      </c>
      <c r="C18" s="66"/>
      <c r="D18" s="585"/>
      <c r="E18" s="586">
        <f>SUM(E13:E17)</f>
        <v>0</v>
      </c>
      <c r="F18" s="586">
        <f>SUM(F13:F17)</f>
        <v>0</v>
      </c>
      <c r="G18" s="660">
        <f t="shared" si="0"/>
        <v>0</v>
      </c>
    </row>
    <row r="19" spans="2:7" ht="24" customHeight="1">
      <c r="B19" s="567" t="str">
        <f>IF([1]ACCUEIL!B1=1,"Legal reservations","Réserves légales ")</f>
        <v xml:space="preserve">Réserves légales </v>
      </c>
      <c r="C19" s="659"/>
      <c r="D19" s="583"/>
      <c r="E19" s="584">
        <f>'[1]CLASSE 1'!J57</f>
        <v>0</v>
      </c>
      <c r="F19" s="584">
        <f>'[1]CLASSE 1'!F57</f>
        <v>0</v>
      </c>
      <c r="G19" s="660">
        <f t="shared" si="0"/>
        <v>0</v>
      </c>
    </row>
    <row r="20" spans="2:7" ht="24" customHeight="1">
      <c r="B20" s="567" t="str">
        <f>IF([1]ACCUEIL!B1=1,"Statutory reservations","Réserves statutaires")</f>
        <v>Réserves statutaires</v>
      </c>
      <c r="C20" s="659"/>
      <c r="D20" s="583"/>
      <c r="E20" s="584">
        <f>'[1]CLASSE 1'!J58</f>
        <v>0</v>
      </c>
      <c r="F20" s="584">
        <f>'[1]CLASSE 1'!F58</f>
        <v>0</v>
      </c>
      <c r="G20" s="660">
        <f t="shared" si="0"/>
        <v>0</v>
      </c>
    </row>
    <row r="21" spans="2:7" ht="24" customHeight="1">
      <c r="B21" s="567" t="str">
        <f>IF([1]ACCUEIL!B1=1,"Long-term net capital reserves","Réserves de plus-values nettes à long terme")</f>
        <v>Réserves de plus-values nettes à long terme</v>
      </c>
      <c r="C21" s="659"/>
      <c r="D21" s="583"/>
      <c r="E21" s="584">
        <f>'[1]CLASSE 1'!J60</f>
        <v>0</v>
      </c>
      <c r="F21" s="584">
        <f>'[1]CLASSE 1'!F60</f>
        <v>0</v>
      </c>
      <c r="G21" s="660">
        <f t="shared" si="0"/>
        <v>0</v>
      </c>
    </row>
    <row r="22" spans="2:7" ht="24" customHeight="1">
      <c r="B22" s="567" t="str">
        <f>IF([1]ACCUEIL!B1=1,"Free share allocation reserves for salaried staff and managers","Réserves d'attribution gratuite d'actions au personnel salarié et aux dirigeants")</f>
        <v>Réserves d'attribution gratuite d'actions au personnel salarié et aux dirigeants</v>
      </c>
      <c r="C22" s="659"/>
      <c r="D22" s="583"/>
      <c r="E22" s="584">
        <f>'[1]CLASSE 1'!J62</f>
        <v>0</v>
      </c>
      <c r="F22" s="584">
        <f>'[1]CLASSE 1'!F62</f>
        <v>0</v>
      </c>
      <c r="G22" s="660">
        <f t="shared" si="0"/>
        <v>0</v>
      </c>
    </row>
    <row r="23" spans="2:7" ht="24" customHeight="1">
      <c r="B23" s="567" t="str">
        <f>IF([1]ACCUEIL!B1=1,"Other regulated reserves","Autres réserves réglementées")</f>
        <v>Autres réserves réglementées</v>
      </c>
      <c r="C23" s="659"/>
      <c r="D23" s="583"/>
      <c r="E23" s="584">
        <f>'[1]CLASSE 1'!J64+'[1]CLASSE 1'!J66</f>
        <v>0</v>
      </c>
      <c r="F23" s="584">
        <f>'[1]CLASSE 1'!F64+'[1]CLASSE 1'!F66</f>
        <v>0</v>
      </c>
      <c r="G23" s="660">
        <f t="shared" si="0"/>
        <v>0</v>
      </c>
    </row>
    <row r="24" spans="2:7" ht="24" customHeight="1">
      <c r="B24" s="62" t="str">
        <f>IF([1]ACCUEIL!B1=1,"TOTAL RESERVES NOT AVAILABLE","TOTAL RESERVES INDISPONIBLES")</f>
        <v>TOTAL RESERVES INDISPONIBLES</v>
      </c>
      <c r="C24" s="66"/>
      <c r="D24" s="585"/>
      <c r="E24" s="586">
        <f>SUM(E19:E23)</f>
        <v>0</v>
      </c>
      <c r="F24" s="586">
        <f>SUM(F19:F23)</f>
        <v>0</v>
      </c>
      <c r="G24" s="660">
        <f t="shared" si="0"/>
        <v>0</v>
      </c>
    </row>
    <row r="25" spans="2:7" ht="24" customHeight="1">
      <c r="B25" s="62" t="str">
        <f>IF([1]ACCUEIL!B1=1,"Free reserves","Réserves libres")</f>
        <v>Réserves libres</v>
      </c>
      <c r="C25" s="66"/>
      <c r="D25" s="585"/>
      <c r="E25" s="586">
        <f>'[1]CLASSE 1'!J74</f>
        <v>0</v>
      </c>
      <c r="F25" s="586">
        <f>'[1]CLASSE 1'!F74</f>
        <v>0</v>
      </c>
      <c r="G25" s="660">
        <f t="shared" si="0"/>
        <v>0</v>
      </c>
    </row>
    <row r="26" spans="2:7" ht="24" customHeight="1">
      <c r="B26" s="62" t="str">
        <f>IF([1]ACCUEIL!B1=1,"Carry over","Report à nouveau")</f>
        <v>Report à nouveau</v>
      </c>
      <c r="C26" s="66"/>
      <c r="D26" s="585"/>
      <c r="E26" s="661">
        <f>'[1]CLASSE 1'!K76</f>
        <v>0</v>
      </c>
      <c r="F26" s="661">
        <f>'[1]CLASSE 1'!F75-'[1]CLASSE 1'!E81</f>
        <v>0</v>
      </c>
      <c r="G26" s="661">
        <f t="shared" si="0"/>
        <v>0</v>
      </c>
    </row>
    <row r="27" spans="2:7">
      <c r="B27" s="81"/>
      <c r="C27" s="662"/>
      <c r="D27" s="533"/>
      <c r="E27" s="533"/>
      <c r="F27" s="533"/>
      <c r="G27" s="533"/>
    </row>
    <row r="28" spans="2:7" ht="20.45" customHeight="1">
      <c r="B28" s="663" t="str">
        <f>'NOTE 13'!B33</f>
        <v>COMMENTAIRE</v>
      </c>
      <c r="C28" s="1660">
        <f>'[1]NOTE 14'!C28:G28</f>
        <v>0</v>
      </c>
      <c r="D28" s="1660"/>
      <c r="E28" s="1660"/>
      <c r="F28" s="1660"/>
      <c r="G28" s="1660"/>
    </row>
    <row r="29" spans="2:7" ht="20.45" customHeight="1">
      <c r="B29" s="664"/>
      <c r="C29" s="1660">
        <f>'[1]NOTE 14'!C29:G29</f>
        <v>0</v>
      </c>
      <c r="D29" s="1660"/>
      <c r="E29" s="1660"/>
      <c r="F29" s="1660"/>
      <c r="G29" s="1660"/>
    </row>
    <row r="30" spans="2:7" ht="20.45" customHeight="1">
      <c r="B30" s="664"/>
      <c r="C30" s="1660">
        <f>'[1]NOTE 14'!C30:G30</f>
        <v>0</v>
      </c>
      <c r="D30" s="1660"/>
      <c r="E30" s="1660"/>
      <c r="F30" s="1660"/>
      <c r="G30" s="1660"/>
    </row>
    <row r="31" spans="2:7" ht="20.45" customHeight="1">
      <c r="B31" s="664"/>
      <c r="C31" s="1660">
        <f>'[1]NOTE 14'!C31:G31</f>
        <v>0</v>
      </c>
      <c r="D31" s="1660"/>
      <c r="E31" s="1660"/>
      <c r="F31" s="1660"/>
      <c r="G31" s="1660"/>
    </row>
    <row r="32" spans="2:7" ht="20.45" customHeight="1">
      <c r="B32" s="664"/>
      <c r="C32" s="1660">
        <f>'[1]NOTE 14'!C32:G32</f>
        <v>0</v>
      </c>
      <c r="D32" s="1660"/>
      <c r="E32" s="1660"/>
      <c r="F32" s="1660"/>
      <c r="G32" s="1660"/>
    </row>
    <row r="33" spans="2:7" ht="20.45" customHeight="1">
      <c r="B33" s="81"/>
      <c r="C33" s="1660">
        <f>'[1]NOTE 14'!C33:G33</f>
        <v>0</v>
      </c>
      <c r="D33" s="1660"/>
      <c r="E33" s="1660"/>
      <c r="F33" s="1660"/>
      <c r="G33" s="1660"/>
    </row>
    <row r="34" spans="2:7" ht="20.45" customHeight="1">
      <c r="C34" s="1660">
        <f>'[1]NOTE 14'!C34:G34</f>
        <v>0</v>
      </c>
      <c r="D34" s="1660"/>
      <c r="E34" s="1660"/>
      <c r="F34" s="1660"/>
      <c r="G34" s="1660"/>
    </row>
    <row r="35" spans="2:7" ht="20.45" customHeight="1">
      <c r="C35" s="1660">
        <f>'[1]NOTE 14'!C35:G35</f>
        <v>0</v>
      </c>
      <c r="D35" s="1660"/>
      <c r="E35" s="1660"/>
      <c r="F35" s="1660"/>
      <c r="G35" s="1660"/>
    </row>
    <row r="36" spans="2:7" ht="20.45" customHeight="1">
      <c r="C36" s="1660">
        <f>'[1]NOTE 14'!C36:G36</f>
        <v>0</v>
      </c>
      <c r="D36" s="1660"/>
      <c r="E36" s="1660"/>
      <c r="F36" s="1660"/>
      <c r="G36" s="1660"/>
    </row>
    <row r="37" spans="2:7" ht="20.45" customHeight="1">
      <c r="C37" s="1660">
        <f>'[1]NOTE 14'!C37:G37</f>
        <v>0</v>
      </c>
      <c r="D37" s="1660"/>
      <c r="E37" s="1660"/>
      <c r="F37" s="1660"/>
      <c r="G37" s="1660"/>
    </row>
    <row r="38" spans="2:7" ht="20.45" customHeight="1">
      <c r="C38" s="1660">
        <f>'[1]NOTE 14'!C38:G38</f>
        <v>0</v>
      </c>
      <c r="D38" s="1660"/>
      <c r="E38" s="1660"/>
      <c r="F38" s="1660"/>
      <c r="G38" s="1660"/>
    </row>
    <row r="39" spans="2:7">
      <c r="C39" s="1660">
        <f>'[1]NOTE 14'!C39:G39</f>
        <v>0</v>
      </c>
      <c r="D39" s="1660"/>
      <c r="E39" s="1660"/>
      <c r="F39" s="1660"/>
      <c r="G39" s="1660"/>
    </row>
  </sheetData>
  <sheetProtection selectLockedCells="1"/>
  <mergeCells count="16">
    <mergeCell ref="C36:G36"/>
    <mergeCell ref="C37:G37"/>
    <mergeCell ref="C38:G38"/>
    <mergeCell ref="C39:G39"/>
    <mergeCell ref="C30:G30"/>
    <mergeCell ref="C31:G31"/>
    <mergeCell ref="C32:G32"/>
    <mergeCell ref="C33:G33"/>
    <mergeCell ref="C34:G34"/>
    <mergeCell ref="C35:G35"/>
    <mergeCell ref="C29:G29"/>
    <mergeCell ref="B3:G3"/>
    <mergeCell ref="F4:G5"/>
    <mergeCell ref="B11:G11"/>
    <mergeCell ref="B12:D12"/>
    <mergeCell ref="C28:G28"/>
  </mergeCells>
  <conditionalFormatting sqref="F7:G7 F8 D8">
    <cfRule type="expression" dxfId="25" priority="1">
      <formula>#REF!=1</formula>
    </cfRule>
  </conditionalFormatting>
  <printOptions horizontalCentered="1"/>
  <pageMargins left="0.78740157480314965" right="0" top="0.59055118110236227" bottom="0.19685039370078741" header="0.31496062992125984" footer="0.31496062992125984"/>
  <pageSetup paperSize="9" scale="69" fitToHeight="0" orientation="portrait" r:id="rId1"/>
  <headerFooter>
    <oddHeader>&amp;C&amp;"-,Gras"&amp;14Page &amp;P / &amp;N</oddHead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Feuil37">
    <pageSetUpPr fitToPage="1"/>
  </sheetPr>
  <dimension ref="B1:N42"/>
  <sheetViews>
    <sheetView showGridLines="0" showZeros="0" topLeftCell="A4" zoomScale="80" zoomScaleNormal="80" zoomScaleSheetLayoutView="100" workbookViewId="0">
      <selection activeCell="D12" sqref="D12"/>
    </sheetView>
  </sheetViews>
  <sheetFormatPr baseColWidth="10" defaultColWidth="11.42578125" defaultRowHeight="15"/>
  <cols>
    <col min="1" max="1" width="7.140625" style="220" customWidth="1"/>
    <col min="2" max="2" width="24.5703125" style="220" customWidth="1"/>
    <col min="3" max="3" width="52.140625" style="220" customWidth="1"/>
    <col min="4" max="4" width="7.28515625" style="220" customWidth="1"/>
    <col min="5" max="5" width="21.28515625" style="220" customWidth="1"/>
    <col min="6" max="6" width="19.28515625" style="220" customWidth="1"/>
    <col min="7" max="7" width="24.85546875" style="220" customWidth="1"/>
    <col min="8" max="8" width="14" style="702" customWidth="1"/>
    <col min="9" max="9" width="22.42578125" style="220" bestFit="1" customWidth="1"/>
    <col min="10" max="10" width="14" style="220" customWidth="1"/>
    <col min="11" max="11" width="10.28515625" style="220" hidden="1" customWidth="1"/>
    <col min="12" max="12" width="8.140625" style="220" hidden="1" customWidth="1"/>
    <col min="13" max="13" width="5.5703125" style="220" hidden="1" customWidth="1"/>
    <col min="14" max="14" width="11" style="220" hidden="1" customWidth="1"/>
    <col min="15" max="16384" width="11.42578125" style="220"/>
  </cols>
  <sheetData>
    <row r="1" spans="2:14">
      <c r="B1" s="1895"/>
      <c r="C1" s="1895"/>
      <c r="D1" s="1895"/>
      <c r="E1" s="1895"/>
      <c r="F1" s="1895"/>
      <c r="G1" s="1895"/>
      <c r="H1" s="1895"/>
      <c r="I1" s="1895"/>
      <c r="J1" s="1895"/>
    </row>
    <row r="2" spans="2:14">
      <c r="B2" s="474"/>
      <c r="C2" s="474"/>
      <c r="D2" s="474"/>
      <c r="E2" s="474"/>
      <c r="F2" s="474"/>
      <c r="G2" s="474"/>
      <c r="H2" s="665"/>
      <c r="I2" s="1650" t="str">
        <f>IF([1]ACCUEIL!B1=1,"NOTE 15 A
NORMAL SYSTEM","NOTE 15 A
SYSTEME NORMAL")</f>
        <v>NOTE 15 A
SYSTEME NORMAL</v>
      </c>
      <c r="J2" s="1651"/>
    </row>
    <row r="3" spans="2:14">
      <c r="B3" s="474"/>
      <c r="C3" s="474"/>
      <c r="D3" s="474"/>
      <c r="E3" s="475"/>
      <c r="F3" s="474"/>
      <c r="G3" s="474"/>
      <c r="H3" s="665"/>
      <c r="I3" s="1652"/>
      <c r="J3" s="1653"/>
    </row>
    <row r="4" spans="2:14">
      <c r="B4" s="476" t="str">
        <f>'NOTE 14'!B6</f>
        <v>Désignation entité:</v>
      </c>
      <c r="C4" s="666" t="str">
        <f>'NOTE 14'!C6</f>
        <v/>
      </c>
      <c r="D4" s="476"/>
      <c r="E4" s="476"/>
      <c r="F4" s="476"/>
      <c r="G4" s="476"/>
      <c r="H4" s="667"/>
      <c r="I4" s="668"/>
      <c r="J4" s="669"/>
    </row>
    <row r="5" spans="2:14">
      <c r="B5" s="476" t="str">
        <f>'NOTE 14'!B7</f>
        <v>Sigle usuel :</v>
      </c>
      <c r="C5" s="670" t="str">
        <f>'NOTE 14'!C7</f>
        <v/>
      </c>
      <c r="D5" s="671"/>
      <c r="E5" s="672"/>
      <c r="F5" s="672"/>
      <c r="G5" s="673"/>
      <c r="H5" s="674"/>
      <c r="I5" s="675"/>
      <c r="J5" s="676"/>
    </row>
    <row r="6" spans="2:14">
      <c r="B6" s="476" t="str">
        <f>'NOTE 14'!B8</f>
        <v>Adresse:</v>
      </c>
      <c r="C6" s="677">
        <f>'NOTE 14'!C8</f>
        <v>0</v>
      </c>
      <c r="D6" s="678"/>
      <c r="E6" s="679"/>
      <c r="F6" s="680"/>
      <c r="G6" s="671"/>
      <c r="H6" s="681"/>
      <c r="I6" s="408" t="str">
        <f>'NOTE 14'!F8</f>
        <v>BP:</v>
      </c>
      <c r="J6" s="682" t="str">
        <f>'NOTE 14'!G8</f>
        <v/>
      </c>
    </row>
    <row r="7" spans="2:14">
      <c r="B7" s="476" t="str">
        <f>'NOTE 14'!B9</f>
        <v>Numéro d'identification:</v>
      </c>
      <c r="C7" s="683" t="str">
        <f>'NOTE 14'!C9</f>
        <v/>
      </c>
      <c r="D7" s="476"/>
      <c r="E7" s="684"/>
      <c r="F7" s="685" t="s">
        <v>268</v>
      </c>
      <c r="G7" s="408" t="str">
        <f>'NOTE 14'!D9</f>
        <v xml:space="preserve">   Exercice clos le 31 - 12- </v>
      </c>
      <c r="H7" s="686">
        <f>'NOTE 14'!E9</f>
        <v>2025</v>
      </c>
      <c r="I7" s="408" t="str">
        <f>'NOTE 14'!F9</f>
        <v xml:space="preserve">    Durée (en mois):</v>
      </c>
      <c r="J7" s="666">
        <f>'NOTE 14'!G9</f>
        <v>12</v>
      </c>
    </row>
    <row r="8" spans="2:14">
      <c r="B8" s="476"/>
      <c r="C8" s="687"/>
      <c r="D8" s="688"/>
      <c r="E8" s="474"/>
      <c r="F8" s="476"/>
      <c r="G8" s="476"/>
      <c r="H8" s="689"/>
      <c r="I8" s="474"/>
      <c r="J8" s="474"/>
    </row>
    <row r="9" spans="2:14" ht="27" customHeight="1">
      <c r="B9" s="1896" t="str">
        <f>IF([1]ACCUEIL!B1=1,"NOTE 15 A TOTAL GRANTS AND REGULATED PROVISIONS"," NOTE 15 A TOTAL SUBVENTIONS ET PROVISIONS REGLEMENTEES")</f>
        <v xml:space="preserve"> NOTE 15 A TOTAL SUBVENTIONS ET PROVISIONS REGLEMENTEES</v>
      </c>
      <c r="C9" s="1896"/>
      <c r="D9" s="1896"/>
      <c r="E9" s="1896"/>
      <c r="F9" s="1896"/>
      <c r="G9" s="1896"/>
      <c r="H9" s="1896"/>
      <c r="I9" s="1896"/>
      <c r="J9" s="1896"/>
    </row>
    <row r="10" spans="2:14">
      <c r="B10" s="1875" t="str">
        <f>'NOTE 14'!B12:D12</f>
        <v xml:space="preserve">      RUBRIQUES</v>
      </c>
      <c r="C10" s="1897"/>
      <c r="D10" s="1900" t="s">
        <v>59</v>
      </c>
      <c r="E10" s="1900" t="str">
        <f>'NOTE 14'!E12</f>
        <v>Année 2025</v>
      </c>
      <c r="F10" s="1900" t="str">
        <f>'NOTE 14'!F12</f>
        <v>Année 2024</v>
      </c>
      <c r="G10" s="1902" t="str">
        <f>IF([1]ACCUEIL!B1=1,"VARIATION IN ABSOLUTE VALUE","VARIATION EN VALEUR ABSOLUE")</f>
        <v>VARIATION EN VALEUR ABSOLUE</v>
      </c>
      <c r="H10" s="1904" t="str">
        <f>'NOTE 11'!G10</f>
        <v xml:space="preserve">Variation en % </v>
      </c>
      <c r="I10" s="1906" t="str">
        <f>IF([1]ACCUEIL!B1=1,"TAX SYSTEM","REGIME FISCAL")</f>
        <v>REGIME FISCAL</v>
      </c>
      <c r="J10" s="1907" t="str">
        <f>IF([1]ACCUEIL!B1=1,"DEADLINES","ECHEANCES")</f>
        <v>ECHEANCES</v>
      </c>
    </row>
    <row r="11" spans="2:14" ht="29.25" customHeight="1">
      <c r="B11" s="1898"/>
      <c r="C11" s="1899"/>
      <c r="D11" s="1901"/>
      <c r="E11" s="1901"/>
      <c r="F11" s="1901"/>
      <c r="G11" s="1903"/>
      <c r="H11" s="1905"/>
      <c r="I11" s="1906"/>
      <c r="J11" s="1907"/>
    </row>
    <row r="12" spans="2:14" s="580" customFormat="1" ht="24" customHeight="1">
      <c r="B12" s="486" t="str">
        <f>IF([1]ACCUEIL!B1=1,"State","Etat")</f>
        <v>Etat</v>
      </c>
      <c r="C12" s="436"/>
      <c r="D12" s="690">
        <f>'[1]NOTE 15 A'!D12</f>
        <v>0</v>
      </c>
      <c r="E12" s="484">
        <f>+'[1]CLASSE 1'!J107</f>
        <v>0</v>
      </c>
      <c r="F12" s="484">
        <f>+'[1]CLASSE 1'!F107</f>
        <v>0</v>
      </c>
      <c r="G12" s="691">
        <f>E12-F12</f>
        <v>0</v>
      </c>
      <c r="H12" s="570">
        <f>IF(K12=0,0,N12)</f>
        <v>0</v>
      </c>
      <c r="I12" s="645">
        <f>'[1]NOTE 15 A'!I12</f>
        <v>0</v>
      </c>
      <c r="J12" s="645">
        <f>'[1]NOTE 15 A'!J12</f>
        <v>0</v>
      </c>
      <c r="K12" s="580">
        <f>E12-F12</f>
        <v>0</v>
      </c>
      <c r="L12" s="692">
        <f>IF(F12=0,1,IF(F12&lt;0,(E12-F12)/-F12,(E12-F12)/F12))</f>
        <v>1</v>
      </c>
      <c r="M12" s="692">
        <f>IF(K12=E12,IF(E12&lt;0,-1,0))</f>
        <v>0</v>
      </c>
      <c r="N12" s="692">
        <f>IF(M12=-1,-1,L12)</f>
        <v>1</v>
      </c>
    </row>
    <row r="13" spans="2:14" s="580" customFormat="1" ht="24" customHeight="1">
      <c r="B13" s="486" t="str">
        <f>IF([1]ACCUEIL!B1=1,"Regions","Régions")</f>
        <v>Régions</v>
      </c>
      <c r="C13" s="436"/>
      <c r="D13" s="690">
        <f>'[1]NOTE 15 A'!D13</f>
        <v>0</v>
      </c>
      <c r="E13" s="484">
        <f>+'[1]CLASSE 1'!J109</f>
        <v>0</v>
      </c>
      <c r="F13" s="484">
        <f>'[1]CLASSE 1'!F109</f>
        <v>0</v>
      </c>
      <c r="G13" s="691">
        <f t="shared" ref="G13:G29" si="0">E13-F13</f>
        <v>0</v>
      </c>
      <c r="H13" s="570">
        <f t="shared" ref="H13:H29" si="1">IF(K13=0,0,N13)</f>
        <v>0</v>
      </c>
      <c r="I13" s="645">
        <f>'[1]NOTE 15 A'!I13</f>
        <v>0</v>
      </c>
      <c r="J13" s="645">
        <f>'[1]NOTE 15 A'!J13</f>
        <v>0</v>
      </c>
      <c r="K13" s="580">
        <f t="shared" ref="K13:K29" si="2">E13-F13</f>
        <v>0</v>
      </c>
      <c r="L13" s="692">
        <f t="shared" ref="L13:L29" si="3">IF(F13=0,1,IF(F13&lt;0,(E13-F13)/-F13,(E13-F13)/F13))</f>
        <v>1</v>
      </c>
      <c r="M13" s="692">
        <f t="shared" ref="M13:M29" si="4">IF(K13=E13,IF(E13&lt;0,-1,0))</f>
        <v>0</v>
      </c>
      <c r="N13" s="692">
        <f t="shared" ref="N13:N29" si="5">IF(M13=-1,-1,L13)</f>
        <v>1</v>
      </c>
    </row>
    <row r="14" spans="2:14" s="580" customFormat="1" ht="24" customHeight="1">
      <c r="B14" s="486" t="str">
        <f>IF([1]ACCUEIL!B1=1,"Department","Département ")</f>
        <v xml:space="preserve">Département </v>
      </c>
      <c r="C14" s="436"/>
      <c r="D14" s="690">
        <f>'[1]NOTE 15 A'!D14</f>
        <v>0</v>
      </c>
      <c r="E14" s="484">
        <f>+'[1]CLASSE 1'!J111</f>
        <v>0</v>
      </c>
      <c r="F14" s="484">
        <f>'[1]CLASSE 1'!F111</f>
        <v>0</v>
      </c>
      <c r="G14" s="691">
        <f t="shared" si="0"/>
        <v>0</v>
      </c>
      <c r="H14" s="570">
        <f>IF(K14=0,0,N14)</f>
        <v>0</v>
      </c>
      <c r="I14" s="645">
        <f>'[1]NOTE 15 A'!I14</f>
        <v>0</v>
      </c>
      <c r="J14" s="645">
        <f>'[1]NOTE 15 A'!J14</f>
        <v>0</v>
      </c>
      <c r="K14" s="693">
        <f>E14-F14</f>
        <v>0</v>
      </c>
      <c r="L14" s="694">
        <f>IF(F14=0,1,IF(F14&lt;0,(E14-F14)/-F14,(E14-F14)/F14))</f>
        <v>1</v>
      </c>
      <c r="M14" s="694">
        <f>IF(K14=E14,IF(E14&lt;0,-1,0))</f>
        <v>0</v>
      </c>
      <c r="N14" s="694">
        <f t="shared" si="5"/>
        <v>1</v>
      </c>
    </row>
    <row r="15" spans="2:14" s="580" customFormat="1" ht="24" customHeight="1">
      <c r="B15" s="486" t="str">
        <f>IF([1]ACCUEIL!B1=1,"Municipalities and decentralized public authorities","Communes et collectivités publiques décentralisées")</f>
        <v>Communes et collectivités publiques décentralisées</v>
      </c>
      <c r="C15" s="436"/>
      <c r="D15" s="690">
        <f>'[1]NOTE 15 A'!D15</f>
        <v>0</v>
      </c>
      <c r="E15" s="484">
        <f>+'[1]CLASSE 1'!J113</f>
        <v>0</v>
      </c>
      <c r="F15" s="484">
        <f>'[1]CLASSE 1'!F113</f>
        <v>0</v>
      </c>
      <c r="G15" s="691">
        <f t="shared" si="0"/>
        <v>0</v>
      </c>
      <c r="H15" s="570">
        <f t="shared" si="1"/>
        <v>0</v>
      </c>
      <c r="I15" s="645">
        <f>'[1]NOTE 15 A'!I15</f>
        <v>0</v>
      </c>
      <c r="J15" s="645">
        <f>'[1]NOTE 15 A'!J15</f>
        <v>0</v>
      </c>
      <c r="K15" s="693">
        <f t="shared" si="2"/>
        <v>0</v>
      </c>
      <c r="L15" s="694">
        <f t="shared" si="3"/>
        <v>1</v>
      </c>
      <c r="M15" s="694">
        <f t="shared" si="4"/>
        <v>0</v>
      </c>
      <c r="N15" s="694">
        <f t="shared" si="5"/>
        <v>1</v>
      </c>
    </row>
    <row r="16" spans="2:14" s="580" customFormat="1" ht="24" customHeight="1">
      <c r="B16" s="486" t="str">
        <f>IF([1]ACCUEIL!B1=1,"Public or mixed entities","Entité publiques ou mixtes")</f>
        <v>Entité publiques ou mixtes</v>
      </c>
      <c r="C16" s="436"/>
      <c r="D16" s="690">
        <f>'[1]NOTE 15 A'!D16</f>
        <v>0</v>
      </c>
      <c r="E16" s="484">
        <f>+'[1]CLASSE 1'!J115</f>
        <v>0</v>
      </c>
      <c r="F16" s="484">
        <f>'[1]CLASSE 1'!F115</f>
        <v>0</v>
      </c>
      <c r="G16" s="691">
        <f t="shared" si="0"/>
        <v>0</v>
      </c>
      <c r="H16" s="570">
        <f t="shared" si="1"/>
        <v>0</v>
      </c>
      <c r="I16" s="645">
        <f>'[1]NOTE 15 A'!I16</f>
        <v>0</v>
      </c>
      <c r="J16" s="645">
        <f>'[1]NOTE 15 A'!J16</f>
        <v>0</v>
      </c>
      <c r="K16" s="580">
        <f t="shared" si="2"/>
        <v>0</v>
      </c>
      <c r="L16" s="692">
        <f t="shared" si="3"/>
        <v>1</v>
      </c>
      <c r="M16" s="692">
        <f t="shared" si="4"/>
        <v>0</v>
      </c>
      <c r="N16" s="692">
        <f t="shared" si="5"/>
        <v>1</v>
      </c>
    </row>
    <row r="17" spans="2:14" s="580" customFormat="1" ht="24" customHeight="1">
      <c r="B17" s="486" t="str">
        <f>IF([1]ACCUEIL!B1=1,"Entities and private organization","Entités et organisme prives")</f>
        <v>Entités et organisme prives</v>
      </c>
      <c r="C17" s="436"/>
      <c r="D17" s="690">
        <f>'[1]NOTE 15 A'!D17</f>
        <v>0</v>
      </c>
      <c r="E17" s="484">
        <f>+'[1]CLASSE 1'!J117</f>
        <v>0</v>
      </c>
      <c r="F17" s="484">
        <f>'[1]CLASSE 1'!F117</f>
        <v>0</v>
      </c>
      <c r="G17" s="691">
        <f t="shared" si="0"/>
        <v>0</v>
      </c>
      <c r="H17" s="570">
        <f t="shared" si="1"/>
        <v>0</v>
      </c>
      <c r="I17" s="645">
        <f>'[1]NOTE 15 A'!I17</f>
        <v>0</v>
      </c>
      <c r="J17" s="645">
        <f>'[1]NOTE 15 A'!J17</f>
        <v>0</v>
      </c>
      <c r="K17" s="580">
        <f t="shared" si="2"/>
        <v>0</v>
      </c>
      <c r="L17" s="692">
        <f t="shared" si="3"/>
        <v>1</v>
      </c>
      <c r="M17" s="692">
        <f t="shared" si="4"/>
        <v>0</v>
      </c>
      <c r="N17" s="692">
        <f t="shared" si="5"/>
        <v>1</v>
      </c>
    </row>
    <row r="18" spans="2:14" s="580" customFormat="1" ht="24" customHeight="1">
      <c r="B18" s="486" t="str">
        <f>IF([1]ACCUEIL!B1=1,"International organizations","Organismes internationaux")</f>
        <v>Organismes internationaux</v>
      </c>
      <c r="C18" s="436"/>
      <c r="D18" s="690">
        <f>'[1]NOTE 15 A'!D18</f>
        <v>0</v>
      </c>
      <c r="E18" s="484">
        <f>+'[1]CLASSE 1'!J119</f>
        <v>0</v>
      </c>
      <c r="F18" s="484">
        <f>'[1]CLASSE 1'!F119</f>
        <v>0</v>
      </c>
      <c r="G18" s="691">
        <f t="shared" si="0"/>
        <v>0</v>
      </c>
      <c r="H18" s="570">
        <f t="shared" si="1"/>
        <v>0</v>
      </c>
      <c r="I18" s="645">
        <f>'[1]NOTE 15 A'!I18</f>
        <v>0</v>
      </c>
      <c r="J18" s="645">
        <f>'[1]NOTE 15 A'!J18</f>
        <v>0</v>
      </c>
      <c r="K18" s="580">
        <f t="shared" si="2"/>
        <v>0</v>
      </c>
      <c r="L18" s="692">
        <f t="shared" si="3"/>
        <v>1</v>
      </c>
      <c r="M18" s="692">
        <f t="shared" si="4"/>
        <v>0</v>
      </c>
      <c r="N18" s="692">
        <f t="shared" si="5"/>
        <v>1</v>
      </c>
    </row>
    <row r="19" spans="2:14" s="580" customFormat="1" ht="24" customHeight="1">
      <c r="B19" s="486" t="str">
        <f>IF([1]ACCUEIL!B1=1,"Other","Autres")</f>
        <v>Autres</v>
      </c>
      <c r="C19" s="436"/>
      <c r="D19" s="690">
        <f>'[1]NOTE 15 A'!D19</f>
        <v>0</v>
      </c>
      <c r="E19" s="484">
        <f>+'[1]CLASSE 1'!J121+'[1]CLASSE 1'!J124</f>
        <v>0</v>
      </c>
      <c r="F19" s="484">
        <f>'[1]BALANCE REGROUPE'!J119+'[1]BALANCE REGROUPE'!J122</f>
        <v>0</v>
      </c>
      <c r="G19" s="691">
        <f t="shared" si="0"/>
        <v>0</v>
      </c>
      <c r="H19" s="570">
        <f t="shared" si="1"/>
        <v>0</v>
      </c>
      <c r="I19" s="645">
        <f>'[1]NOTE 15 A'!I19</f>
        <v>0</v>
      </c>
      <c r="J19" s="645">
        <f>'[1]NOTE 15 A'!J19</f>
        <v>0</v>
      </c>
      <c r="K19" s="580">
        <f t="shared" si="2"/>
        <v>0</v>
      </c>
      <c r="L19" s="692">
        <f t="shared" si="3"/>
        <v>1</v>
      </c>
      <c r="M19" s="692">
        <f t="shared" si="4"/>
        <v>0</v>
      </c>
      <c r="N19" s="692">
        <f t="shared" si="5"/>
        <v>1</v>
      </c>
    </row>
    <row r="20" spans="2:14" s="580" customFormat="1" ht="24" customHeight="1">
      <c r="B20" s="442" t="str">
        <f>IF([1]ACCUEIL!B1=1,"Total grants","Total subventions")</f>
        <v>Total subventions</v>
      </c>
      <c r="C20" s="438"/>
      <c r="D20" s="690">
        <f>'[1]NOTE 15 A'!D20</f>
        <v>0</v>
      </c>
      <c r="E20" s="483">
        <f>SUM(E12:E19)</f>
        <v>0</v>
      </c>
      <c r="F20" s="483">
        <f>SUM(F12:F19)</f>
        <v>0</v>
      </c>
      <c r="G20" s="691">
        <f t="shared" si="0"/>
        <v>0</v>
      </c>
      <c r="H20" s="570">
        <f t="shared" si="1"/>
        <v>0</v>
      </c>
      <c r="I20" s="645">
        <f>'[1]NOTE 15 A'!I20</f>
        <v>0</v>
      </c>
      <c r="J20" s="645">
        <f>'[1]NOTE 15 A'!J20</f>
        <v>0</v>
      </c>
      <c r="K20" s="580">
        <f t="shared" si="2"/>
        <v>0</v>
      </c>
      <c r="L20" s="692">
        <f t="shared" si="3"/>
        <v>1</v>
      </c>
      <c r="M20" s="692">
        <f t="shared" si="4"/>
        <v>0</v>
      </c>
      <c r="N20" s="692">
        <f t="shared" si="5"/>
        <v>1</v>
      </c>
    </row>
    <row r="21" spans="2:14" s="580" customFormat="1" ht="24" customHeight="1">
      <c r="B21" s="486" t="str">
        <f>IF([1]ACCUEIL!B1=1,"Accelerated depreciation","Amortissements dérogatoires")</f>
        <v>Amortissements dérogatoires</v>
      </c>
      <c r="C21" s="436"/>
      <c r="D21" s="690">
        <f>'[1]NOTE 15 A'!D21</f>
        <v>0</v>
      </c>
      <c r="E21" s="484">
        <f>'[1]CLASSE 1'!J125</f>
        <v>0</v>
      </c>
      <c r="F21" s="484">
        <f>'[1]CLASSE 1'!F125</f>
        <v>0</v>
      </c>
      <c r="G21" s="691">
        <f t="shared" si="0"/>
        <v>0</v>
      </c>
      <c r="H21" s="570">
        <f t="shared" si="1"/>
        <v>0</v>
      </c>
      <c r="I21" s="645">
        <f>'[1]NOTE 15 A'!I21</f>
        <v>0</v>
      </c>
      <c r="J21" s="645">
        <f>'[1]NOTE 15 A'!J21</f>
        <v>0</v>
      </c>
      <c r="K21" s="580">
        <f t="shared" si="2"/>
        <v>0</v>
      </c>
      <c r="L21" s="692">
        <f t="shared" si="3"/>
        <v>1</v>
      </c>
      <c r="M21" s="692">
        <f t="shared" si="4"/>
        <v>0</v>
      </c>
      <c r="N21" s="692">
        <f t="shared" si="5"/>
        <v>1</v>
      </c>
    </row>
    <row r="22" spans="2:14" s="580" customFormat="1" ht="24" customHeight="1">
      <c r="B22" s="486" t="str">
        <f>IF([1]ACCUEIL!B1=1,"Capital gain from disposal to be reinvested","Plus-value de cession à réinvestir")</f>
        <v>Plus-value de cession à réinvestir</v>
      </c>
      <c r="C22" s="436"/>
      <c r="D22" s="690">
        <f>'[1]NOTE 15 A'!D22</f>
        <v>0</v>
      </c>
      <c r="E22" s="484">
        <f>'[1]CLASSE 1'!J126</f>
        <v>0</v>
      </c>
      <c r="F22" s="484">
        <f>'[1]CLASSE 1'!F126</f>
        <v>0</v>
      </c>
      <c r="G22" s="691">
        <f t="shared" si="0"/>
        <v>0</v>
      </c>
      <c r="H22" s="570">
        <f t="shared" si="1"/>
        <v>0</v>
      </c>
      <c r="I22" s="645">
        <f>'[1]NOTE 15 A'!I22</f>
        <v>0</v>
      </c>
      <c r="J22" s="645">
        <f>'[1]NOTE 15 A'!J22</f>
        <v>0</v>
      </c>
      <c r="K22" s="580">
        <f t="shared" si="2"/>
        <v>0</v>
      </c>
      <c r="L22" s="692">
        <f t="shared" si="3"/>
        <v>1</v>
      </c>
      <c r="M22" s="692">
        <f t="shared" si="4"/>
        <v>0</v>
      </c>
      <c r="N22" s="692">
        <f t="shared" si="5"/>
        <v>1</v>
      </c>
    </row>
    <row r="23" spans="2:14" s="580" customFormat="1" ht="24" customHeight="1">
      <c r="B23" s="486" t="str">
        <f>IF([1]ACCUEIL!B1=1,"Special revaluation allowance","Provision spéciale de réévaluation")</f>
        <v>Provision spéciale de réévaluation</v>
      </c>
      <c r="C23" s="436"/>
      <c r="D23" s="696" t="str">
        <f>'[1]NOTE 15 A'!D23</f>
        <v>3E</v>
      </c>
      <c r="E23" s="484">
        <f>'[1]CLASSE 1'!J133</f>
        <v>0</v>
      </c>
      <c r="F23" s="484">
        <f>'[1]CLASSE 1'!F133</f>
        <v>0</v>
      </c>
      <c r="G23" s="691">
        <f t="shared" si="0"/>
        <v>0</v>
      </c>
      <c r="H23" s="570">
        <f t="shared" si="1"/>
        <v>0</v>
      </c>
      <c r="I23" s="645">
        <f>'[1]NOTE 15 A'!I23</f>
        <v>0</v>
      </c>
      <c r="J23" s="645">
        <f>'[1]NOTE 15 A'!J23</f>
        <v>0</v>
      </c>
      <c r="K23" s="580">
        <f t="shared" si="2"/>
        <v>0</v>
      </c>
      <c r="L23" s="692">
        <f t="shared" si="3"/>
        <v>1</v>
      </c>
      <c r="M23" s="692">
        <f t="shared" si="4"/>
        <v>0</v>
      </c>
      <c r="N23" s="692">
        <f t="shared" si="5"/>
        <v>1</v>
      </c>
    </row>
    <row r="24" spans="2:14" s="580" customFormat="1" ht="24" customHeight="1">
      <c r="B24" s="486" t="str">
        <f>IF([1]ACCUEIL!B1=1,"Regulated provisions relating to fixed assets","Provisions réglementées relatives aux immobilisations")</f>
        <v>Provisions réglementées relatives aux immobilisations</v>
      </c>
      <c r="C24" s="436"/>
      <c r="D24" s="690">
        <f>'[1]NOTE 15 A'!D24</f>
        <v>0</v>
      </c>
      <c r="E24" s="484">
        <f>'[1]CLASSE 1'!J135</f>
        <v>0</v>
      </c>
      <c r="F24" s="484">
        <f>'[1]CLASSE 1'!F135</f>
        <v>0</v>
      </c>
      <c r="G24" s="691">
        <f t="shared" si="0"/>
        <v>0</v>
      </c>
      <c r="H24" s="570">
        <f t="shared" si="1"/>
        <v>0</v>
      </c>
      <c r="I24" s="645">
        <f>'[1]NOTE 15 A'!I24</f>
        <v>0</v>
      </c>
      <c r="J24" s="645">
        <f>'[1]NOTE 15 A'!J24</f>
        <v>0</v>
      </c>
      <c r="K24" s="580">
        <f t="shared" si="2"/>
        <v>0</v>
      </c>
      <c r="L24" s="692">
        <f t="shared" si="3"/>
        <v>1</v>
      </c>
      <c r="M24" s="692">
        <f t="shared" si="4"/>
        <v>0</v>
      </c>
      <c r="N24" s="692">
        <f t="shared" si="5"/>
        <v>1</v>
      </c>
    </row>
    <row r="25" spans="2:14" s="580" customFormat="1" ht="24" customHeight="1">
      <c r="B25" s="486" t="str">
        <f>IF([1]ACCUEIL!B1=1,"Regulated provisions relating to stocks","Provisions réglementées relatives aux stocks")</f>
        <v>Provisions réglementées relatives aux stocks</v>
      </c>
      <c r="C25" s="436"/>
      <c r="D25" s="690">
        <f>'[1]NOTE 15 A'!D25</f>
        <v>0</v>
      </c>
      <c r="E25" s="484">
        <f>'[1]CLASSE 1'!J143</f>
        <v>0</v>
      </c>
      <c r="F25" s="484">
        <f>'[1]CLASSE 1'!F143</f>
        <v>0</v>
      </c>
      <c r="G25" s="691">
        <f t="shared" si="0"/>
        <v>0</v>
      </c>
      <c r="H25" s="570">
        <f t="shared" si="1"/>
        <v>0</v>
      </c>
      <c r="I25" s="645">
        <f>'[1]NOTE 15 A'!I25</f>
        <v>0</v>
      </c>
      <c r="J25" s="645">
        <f>'[1]NOTE 15 A'!J25</f>
        <v>0</v>
      </c>
      <c r="K25" s="580">
        <f t="shared" si="2"/>
        <v>0</v>
      </c>
      <c r="L25" s="692">
        <f t="shared" si="3"/>
        <v>1</v>
      </c>
      <c r="M25" s="692">
        <f t="shared" si="4"/>
        <v>0</v>
      </c>
      <c r="N25" s="692">
        <f t="shared" si="5"/>
        <v>1</v>
      </c>
    </row>
    <row r="26" spans="2:14" s="580" customFormat="1" ht="24" customHeight="1">
      <c r="B26" s="486" t="str">
        <f>IF([1]ACCUEIL!B1=1,"Provision for investment","Provision pour investissement")</f>
        <v>Provision pour investissement</v>
      </c>
      <c r="C26" s="436"/>
      <c r="D26" s="690">
        <f>'[1]NOTE 15 A'!D26</f>
        <v>0</v>
      </c>
      <c r="E26" s="484">
        <f>'[1]CLASSE 1'!J144</f>
        <v>0</v>
      </c>
      <c r="F26" s="484">
        <f>'[1]CLASSE 1'!F144</f>
        <v>0</v>
      </c>
      <c r="G26" s="691">
        <f t="shared" si="0"/>
        <v>0</v>
      </c>
      <c r="H26" s="570">
        <f t="shared" si="1"/>
        <v>0</v>
      </c>
      <c r="I26" s="645">
        <f>'[1]NOTE 15 A'!I26</f>
        <v>0</v>
      </c>
      <c r="J26" s="645">
        <f>'[1]NOTE 15 A'!J26</f>
        <v>0</v>
      </c>
      <c r="K26" s="580">
        <f t="shared" si="2"/>
        <v>0</v>
      </c>
      <c r="L26" s="692">
        <f t="shared" si="3"/>
        <v>1</v>
      </c>
      <c r="M26" s="692">
        <f t="shared" si="4"/>
        <v>0</v>
      </c>
      <c r="N26" s="692">
        <f t="shared" si="5"/>
        <v>1</v>
      </c>
    </row>
    <row r="27" spans="2:14" s="580" customFormat="1" ht="24" customHeight="1">
      <c r="B27" s="486" t="str">
        <f>IF([1]ACCUEIL!B1=1,"Other provisions and regulated funds","Autres provision et fonds réglementées")</f>
        <v>Autres provision et fonds réglementées</v>
      </c>
      <c r="C27" s="436"/>
      <c r="D27" s="690">
        <f>'[1]NOTE 15 A'!D27</f>
        <v>0</v>
      </c>
      <c r="E27" s="484">
        <f>'[1]CLASSE 1'!J145+'[1]CLASSE 1'!J132</f>
        <v>0</v>
      </c>
      <c r="F27" s="484">
        <f>'[1]CLASSE 1'!F145+'[1]CLASSE 1'!F132</f>
        <v>0</v>
      </c>
      <c r="G27" s="691">
        <f t="shared" si="0"/>
        <v>0</v>
      </c>
      <c r="H27" s="570">
        <f t="shared" si="1"/>
        <v>0</v>
      </c>
      <c r="I27" s="645">
        <f>'[1]NOTE 15 A'!I27</f>
        <v>0</v>
      </c>
      <c r="J27" s="645">
        <f>'[1]NOTE 15 A'!J27</f>
        <v>0</v>
      </c>
      <c r="K27" s="580">
        <f t="shared" si="2"/>
        <v>0</v>
      </c>
      <c r="L27" s="692">
        <f t="shared" si="3"/>
        <v>1</v>
      </c>
      <c r="M27" s="692">
        <f t="shared" si="4"/>
        <v>0</v>
      </c>
      <c r="N27" s="692">
        <f t="shared" si="5"/>
        <v>1</v>
      </c>
    </row>
    <row r="28" spans="2:14" s="698" customFormat="1" ht="24" customHeight="1">
      <c r="B28" s="442" t="str">
        <f>IF([1]ACCUEIL!B1=1,"Total Regulated Provisions","Total provisions Réglementées")</f>
        <v>Total provisions Réglementées</v>
      </c>
      <c r="C28" s="438"/>
      <c r="D28" s="690">
        <f>'[1]NOTE 15 A'!D28</f>
        <v>0</v>
      </c>
      <c r="E28" s="483">
        <f>SUM(E21:E27)</f>
        <v>0</v>
      </c>
      <c r="F28" s="483">
        <f>SUM(F21:F27)</f>
        <v>0</v>
      </c>
      <c r="G28" s="661">
        <f t="shared" si="0"/>
        <v>0</v>
      </c>
      <c r="H28" s="697">
        <f t="shared" si="1"/>
        <v>0</v>
      </c>
      <c r="I28" s="645">
        <f>'[1]NOTE 15 A'!I28</f>
        <v>0</v>
      </c>
      <c r="J28" s="645">
        <f>'[1]NOTE 15 A'!J28</f>
        <v>0</v>
      </c>
      <c r="K28" s="698">
        <f t="shared" si="2"/>
        <v>0</v>
      </c>
      <c r="L28" s="699">
        <f t="shared" si="3"/>
        <v>1</v>
      </c>
      <c r="M28" s="699">
        <f t="shared" si="4"/>
        <v>0</v>
      </c>
      <c r="N28" s="699">
        <f t="shared" si="5"/>
        <v>1</v>
      </c>
    </row>
    <row r="29" spans="2:14" s="698" customFormat="1" ht="24" customHeight="1">
      <c r="B29" s="442" t="str">
        <f>IF([1]ACCUEIL!B1=1,"TOTAL REGULATED GRANT AND PROVISION","TOTAL SUBVENTION ET PROVISION REGLEMENTEES")</f>
        <v>TOTAL SUBVENTION ET PROVISION REGLEMENTEES</v>
      </c>
      <c r="C29" s="438"/>
      <c r="D29" s="690">
        <f>'[1]NOTE 15 A'!D29</f>
        <v>0</v>
      </c>
      <c r="E29" s="483">
        <f>E20+E28</f>
        <v>0</v>
      </c>
      <c r="F29" s="483">
        <f>F20+F28</f>
        <v>0</v>
      </c>
      <c r="G29" s="661">
        <f t="shared" si="0"/>
        <v>0</v>
      </c>
      <c r="H29" s="697">
        <f t="shared" si="1"/>
        <v>0</v>
      </c>
      <c r="I29" s="645">
        <f>'[1]NOTE 15 A'!I29</f>
        <v>0</v>
      </c>
      <c r="J29" s="645">
        <f>'[1]NOTE 15 A'!J29</f>
        <v>0</v>
      </c>
      <c r="K29" s="698">
        <f t="shared" si="2"/>
        <v>0</v>
      </c>
      <c r="L29" s="699">
        <f t="shared" si="3"/>
        <v>1</v>
      </c>
      <c r="M29" s="699">
        <f t="shared" si="4"/>
        <v>0</v>
      </c>
      <c r="N29" s="699">
        <f t="shared" si="5"/>
        <v>1</v>
      </c>
    </row>
    <row r="30" spans="2:14">
      <c r="B30" s="487"/>
      <c r="C30" s="487"/>
      <c r="D30" s="487"/>
      <c r="E30" s="487"/>
      <c r="F30" s="487"/>
      <c r="G30" s="487"/>
      <c r="H30" s="700"/>
      <c r="I30" s="487"/>
      <c r="J30" s="487"/>
    </row>
    <row r="31" spans="2:14">
      <c r="B31" s="701" t="str">
        <f>'NOTE 14'!B28</f>
        <v>COMMENTAIRE</v>
      </c>
      <c r="C31" s="1660">
        <f>'[1]NOTE 15 A'!C31:J31</f>
        <v>0</v>
      </c>
      <c r="D31" s="1660"/>
      <c r="E31" s="1660"/>
      <c r="F31" s="1660"/>
      <c r="G31" s="1660"/>
      <c r="H31" s="1660"/>
      <c r="I31" s="1660"/>
      <c r="J31" s="1660"/>
    </row>
    <row r="32" spans="2:14">
      <c r="B32" s="487"/>
      <c r="C32" s="1660">
        <f>'[1]NOTE 15 A'!C32:J32</f>
        <v>0</v>
      </c>
      <c r="D32" s="1660"/>
      <c r="E32" s="1660"/>
      <c r="F32" s="1660"/>
      <c r="G32" s="1660"/>
      <c r="H32" s="1660"/>
      <c r="I32" s="1660"/>
      <c r="J32" s="1660"/>
    </row>
    <row r="33" spans="2:10">
      <c r="B33" s="487"/>
      <c r="C33" s="1660">
        <f>'[1]NOTE 15 A'!C33:J33</f>
        <v>0</v>
      </c>
      <c r="D33" s="1660"/>
      <c r="E33" s="1660"/>
      <c r="F33" s="1660"/>
      <c r="G33" s="1660"/>
      <c r="H33" s="1660"/>
      <c r="I33" s="1660"/>
      <c r="J33" s="1660"/>
    </row>
    <row r="34" spans="2:10">
      <c r="B34" s="487"/>
      <c r="C34" s="1660">
        <f>'[1]NOTE 15 A'!C34:J34</f>
        <v>0</v>
      </c>
      <c r="D34" s="1660"/>
      <c r="E34" s="1660"/>
      <c r="F34" s="1660"/>
      <c r="G34" s="1660"/>
      <c r="H34" s="1660"/>
      <c r="I34" s="1660"/>
      <c r="J34" s="1660"/>
    </row>
    <row r="35" spans="2:10">
      <c r="B35" s="487"/>
      <c r="C35" s="1660">
        <f>'[1]NOTE 15 A'!C35:J35</f>
        <v>0</v>
      </c>
      <c r="D35" s="1660"/>
      <c r="E35" s="1660"/>
      <c r="F35" s="1660"/>
      <c r="G35" s="1660"/>
      <c r="H35" s="1660"/>
      <c r="I35" s="1660"/>
      <c r="J35" s="1660"/>
    </row>
    <row r="36" spans="2:10">
      <c r="C36" s="1660">
        <f>'[1]NOTE 15 A'!C36:J36</f>
        <v>0</v>
      </c>
      <c r="D36" s="1660"/>
      <c r="E36" s="1660"/>
      <c r="F36" s="1660"/>
      <c r="G36" s="1660"/>
      <c r="H36" s="1660"/>
      <c r="I36" s="1660"/>
      <c r="J36" s="1660"/>
    </row>
    <row r="37" spans="2:10">
      <c r="C37" s="1660">
        <f>'[1]NOTE 15 A'!C37:J37</f>
        <v>0</v>
      </c>
      <c r="D37" s="1660"/>
      <c r="E37" s="1660"/>
      <c r="F37" s="1660"/>
      <c r="G37" s="1660"/>
      <c r="H37" s="1660"/>
      <c r="I37" s="1660"/>
      <c r="J37" s="1660"/>
    </row>
    <row r="38" spans="2:10">
      <c r="C38" s="1660">
        <f>'[1]NOTE 15 A'!C38:J38</f>
        <v>0</v>
      </c>
      <c r="D38" s="1660"/>
      <c r="E38" s="1660"/>
      <c r="F38" s="1660"/>
      <c r="G38" s="1660"/>
      <c r="H38" s="1660"/>
      <c r="I38" s="1660"/>
      <c r="J38" s="1660"/>
    </row>
    <row r="39" spans="2:10">
      <c r="C39" s="1660">
        <f>'[1]NOTE 15 A'!C39:J39</f>
        <v>0</v>
      </c>
      <c r="D39" s="1660"/>
      <c r="E39" s="1660"/>
      <c r="F39" s="1660"/>
      <c r="G39" s="1660"/>
      <c r="H39" s="1660"/>
      <c r="I39" s="1660"/>
      <c r="J39" s="1660"/>
    </row>
    <row r="40" spans="2:10">
      <c r="C40" s="1660">
        <f>'[1]NOTE 15 A'!C40:J40</f>
        <v>0</v>
      </c>
      <c r="D40" s="1660"/>
      <c r="E40" s="1660"/>
      <c r="F40" s="1660"/>
      <c r="G40" s="1660"/>
      <c r="H40" s="1660"/>
      <c r="I40" s="1660"/>
      <c r="J40" s="1660"/>
    </row>
    <row r="41" spans="2:10">
      <c r="C41" s="1660">
        <f>'[1]NOTE 15 A'!C41:J41</f>
        <v>0</v>
      </c>
      <c r="D41" s="1660"/>
      <c r="E41" s="1660"/>
      <c r="F41" s="1660"/>
      <c r="G41" s="1660"/>
      <c r="H41" s="1660"/>
      <c r="I41" s="1660"/>
      <c r="J41" s="1660"/>
    </row>
    <row r="42" spans="2:10">
      <c r="C42" s="1660">
        <f>'[1]NOTE 15 A'!C42:J42</f>
        <v>0</v>
      </c>
      <c r="D42" s="1660"/>
      <c r="E42" s="1660"/>
      <c r="F42" s="1660"/>
      <c r="G42" s="1660"/>
      <c r="H42" s="1660"/>
      <c r="I42" s="1660"/>
      <c r="J42" s="1660"/>
    </row>
  </sheetData>
  <sheetProtection selectLockedCells="1"/>
  <mergeCells count="23">
    <mergeCell ref="C32:J32"/>
    <mergeCell ref="C33:J33"/>
    <mergeCell ref="C34:J34"/>
    <mergeCell ref="C35:J35"/>
    <mergeCell ref="C36:J36"/>
    <mergeCell ref="C39:J39"/>
    <mergeCell ref="C40:J40"/>
    <mergeCell ref="C41:J41"/>
    <mergeCell ref="C42:J42"/>
    <mergeCell ref="C37:J37"/>
    <mergeCell ref="C38:J38"/>
    <mergeCell ref="C31:J31"/>
    <mergeCell ref="B1:J1"/>
    <mergeCell ref="I2:J3"/>
    <mergeCell ref="B9:J9"/>
    <mergeCell ref="B10:C11"/>
    <mergeCell ref="D10:D11"/>
    <mergeCell ref="E10:E11"/>
    <mergeCell ref="F10:F11"/>
    <mergeCell ref="G10:G11"/>
    <mergeCell ref="H10:H11"/>
    <mergeCell ref="I10:I11"/>
    <mergeCell ref="J10:J11"/>
  </mergeCells>
  <conditionalFormatting sqref="C6:D6 E5:F5 C5 I6:I7">
    <cfRule type="expression" dxfId="24" priority="2">
      <formula>#REF!=1</formula>
    </cfRule>
  </conditionalFormatting>
  <conditionalFormatting sqref="G7">
    <cfRule type="expression" dxfId="23" priority="1">
      <formula>#REF!=1</formula>
    </cfRule>
  </conditionalFormatting>
  <printOptions horizontalCentered="1"/>
  <pageMargins left="0.78740157480314965" right="0" top="0.59055118110236227" bottom="0.19685039370078741" header="0.31496062992125984" footer="0.31496062992125984"/>
  <pageSetup paperSize="9" scale="67" orientation="landscape" r:id="rId1"/>
  <headerFooter>
    <oddHeader>&amp;C&amp;"-,Gras"&amp;14Page &amp;P / &amp;N</oddHead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Feuil38">
    <pageSetUpPr fitToPage="1"/>
  </sheetPr>
  <dimension ref="B1:P30"/>
  <sheetViews>
    <sheetView showZeros="0" topLeftCell="A10" zoomScaleNormal="100" zoomScaleSheetLayoutView="100" workbookViewId="0">
      <selection activeCell="D7" sqref="D7"/>
    </sheetView>
  </sheetViews>
  <sheetFormatPr baseColWidth="10" defaultColWidth="11.42578125" defaultRowHeight="15"/>
  <cols>
    <col min="1" max="1" width="8" style="2" customWidth="1"/>
    <col min="2" max="2" width="25" style="2" customWidth="1"/>
    <col min="3" max="3" width="14.5703125" style="2" customWidth="1"/>
    <col min="4" max="4" width="3" style="2" customWidth="1"/>
    <col min="5" max="5" width="6.42578125" style="2" bestFit="1" customWidth="1"/>
    <col min="6" max="6" width="23.140625" style="2" customWidth="1"/>
    <col min="7" max="7" width="23.5703125" style="2" customWidth="1"/>
    <col min="8" max="8" width="19.28515625" style="2" customWidth="1"/>
    <col min="9" max="9" width="22.42578125" style="2" bestFit="1" customWidth="1"/>
    <col min="10" max="10" width="13.5703125" style="2" customWidth="1"/>
    <col min="11" max="14" width="0" style="2" hidden="1" customWidth="1"/>
    <col min="15" max="16384" width="11.42578125" style="2"/>
  </cols>
  <sheetData>
    <row r="1" spans="2:14">
      <c r="B1" s="1649"/>
      <c r="C1" s="1649"/>
      <c r="D1" s="1649"/>
      <c r="E1" s="1649"/>
      <c r="F1" s="1649"/>
      <c r="G1" s="1649"/>
      <c r="H1" s="1649"/>
      <c r="I1" s="1649"/>
      <c r="J1" s="1649"/>
    </row>
    <row r="2" spans="2:14">
      <c r="B2" s="144"/>
      <c r="C2" s="144"/>
      <c r="D2" s="144"/>
      <c r="E2" s="144"/>
      <c r="F2" s="144"/>
      <c r="G2" s="144"/>
      <c r="H2" s="144"/>
      <c r="I2" s="1650" t="str">
        <f>IF([1]ACCUEIL!B1=1,"NOTE 15 B
NORMAL SYSTEM","NOTE 15 B
SYSTEME NORMAL")</f>
        <v>NOTE 15 B
SYSTEME NORMAL</v>
      </c>
      <c r="J2" s="1651"/>
    </row>
    <row r="3" spans="2:14">
      <c r="B3" s="43"/>
      <c r="C3" s="43"/>
      <c r="D3" s="43"/>
      <c r="E3" s="43"/>
      <c r="F3" s="43"/>
      <c r="G3" s="43"/>
      <c r="H3" s="43"/>
      <c r="I3" s="1652"/>
      <c r="J3" s="1653"/>
    </row>
    <row r="4" spans="2:14">
      <c r="B4" s="476" t="str">
        <f>'NOTE 15 A'!B4</f>
        <v>Désignation entité:</v>
      </c>
      <c r="C4" s="43" t="str">
        <f>'NOTE 14'!C6</f>
        <v/>
      </c>
      <c r="D4" s="43"/>
      <c r="E4" s="43"/>
      <c r="F4" s="651"/>
      <c r="G4" s="651"/>
      <c r="H4" s="651"/>
      <c r="I4" s="651"/>
      <c r="J4" s="651"/>
    </row>
    <row r="5" spans="2:14">
      <c r="B5" s="476" t="str">
        <f>'NOTE 15 A'!B5</f>
        <v>Sigle usuel :</v>
      </c>
      <c r="C5" s="430" t="str">
        <f>'NOTE 15 A'!C5</f>
        <v/>
      </c>
      <c r="D5" s="175"/>
      <c r="E5" s="507"/>
      <c r="F5" s="655"/>
      <c r="G5" s="512"/>
      <c r="H5" s="512"/>
      <c r="I5" s="703"/>
      <c r="J5" s="703"/>
    </row>
    <row r="6" spans="2:14">
      <c r="B6" s="476" t="str">
        <f>'NOTE 15 A'!B6</f>
        <v>Adresse:</v>
      </c>
      <c r="C6" s="43">
        <f>'NOTE 15 A'!C6</f>
        <v>0</v>
      </c>
      <c r="D6" s="656"/>
      <c r="E6" s="651"/>
      <c r="F6" s="651"/>
      <c r="G6" s="653"/>
      <c r="H6" s="653"/>
      <c r="I6" s="704" t="str">
        <f>'NOTE 15 A'!I6</f>
        <v>BP:</v>
      </c>
      <c r="J6" s="512" t="str">
        <f>'NOTE 15 A'!J6</f>
        <v/>
      </c>
    </row>
    <row r="7" spans="2:14">
      <c r="B7" s="476" t="str">
        <f>'NOTE 15 A'!B7</f>
        <v>Numéro d'identification:</v>
      </c>
      <c r="C7" s="512" t="str">
        <f>'NOTE 14'!C9</f>
        <v/>
      </c>
      <c r="D7" s="703"/>
      <c r="E7" s="703"/>
      <c r="F7" s="703"/>
      <c r="G7" s="481" t="str">
        <f>'NOTE 15 A'!G7</f>
        <v xml:space="preserve">   Exercice clos le 31 - 12- </v>
      </c>
      <c r="H7" s="650">
        <f>'NOTE 14'!E9</f>
        <v>2025</v>
      </c>
      <c r="I7" s="481" t="str">
        <f>'NOTE 15 A'!I7</f>
        <v xml:space="preserve">    Durée (en mois):</v>
      </c>
      <c r="J7" s="319">
        <f>'NOTE 14'!G9</f>
        <v>12</v>
      </c>
    </row>
    <row r="8" spans="2:14">
      <c r="B8" s="43"/>
      <c r="C8" s="705"/>
      <c r="D8" s="43"/>
      <c r="E8" s="43"/>
      <c r="F8" s="43"/>
      <c r="G8" s="43"/>
      <c r="H8" s="43"/>
      <c r="I8" s="43"/>
      <c r="J8" s="705"/>
    </row>
    <row r="9" spans="2:14" ht="27.75" customHeight="1">
      <c r="B9" s="1861" t="str">
        <f>IF([1]ACCUEIL!B1=1,"NOTE 15 B OTHER OWN FUNDS","NOTE 15 B AUTRES FONDS PROPRES")</f>
        <v>NOTE 15 B AUTRES FONDS PROPRES</v>
      </c>
      <c r="C9" s="1861"/>
      <c r="D9" s="1861"/>
      <c r="E9" s="1861"/>
      <c r="F9" s="1861"/>
      <c r="G9" s="1861"/>
      <c r="H9" s="1861"/>
      <c r="I9" s="1861"/>
      <c r="J9" s="1861"/>
    </row>
    <row r="10" spans="2:14" ht="27.75" customHeight="1">
      <c r="B10" s="1908" t="str">
        <f>'NOTE 15 A'!B10:C11</f>
        <v xml:space="preserve">      RUBRIQUES</v>
      </c>
      <c r="C10" s="1909"/>
      <c r="D10" s="1909"/>
      <c r="E10" s="706" t="s">
        <v>59</v>
      </c>
      <c r="F10" s="516" t="str">
        <f>'NOTE 15 A'!E10:E11</f>
        <v>Année 2025</v>
      </c>
      <c r="G10" s="516" t="str">
        <f>'NOTE 15 A'!F10:F11</f>
        <v>Année 2024</v>
      </c>
      <c r="H10" s="516" t="str">
        <f>'NOTE 15 A'!G10:G11</f>
        <v>VARIATION EN VALEUR ABSOLUE</v>
      </c>
      <c r="I10" s="707" t="str">
        <f>'NOTE 15 A'!H10:H11</f>
        <v xml:space="preserve">Variation en % </v>
      </c>
      <c r="J10" s="516" t="str">
        <f>'NOTE 15 A'!J10:J11</f>
        <v>ECHEANCES</v>
      </c>
    </row>
    <row r="11" spans="2:14" s="522" customFormat="1" ht="24" customHeight="1">
      <c r="B11" s="567" t="str">
        <f>IF([1]ACCUEIL!B1=1,"Participating securities","Titres participatifs")</f>
        <v>Titres participatifs</v>
      </c>
      <c r="C11" s="568"/>
      <c r="D11" s="620"/>
      <c r="E11" s="645">
        <f>'[1]NOTE 15 B'!E11</f>
        <v>0</v>
      </c>
      <c r="F11" s="645">
        <f>'[1]NOTE 15 B'!F11</f>
        <v>0</v>
      </c>
      <c r="G11" s="645">
        <f>'[1]NOTE 15 B'!G11</f>
        <v>0</v>
      </c>
      <c r="H11" s="708">
        <f t="shared" ref="H11:H16" si="0">F11-G11</f>
        <v>0</v>
      </c>
      <c r="I11" s="709">
        <f t="shared" ref="I11:I16" si="1">IF(K11=0,0,N11)</f>
        <v>0</v>
      </c>
      <c r="J11" s="645">
        <f>'[1]NOTE 15 B'!J11</f>
        <v>0</v>
      </c>
      <c r="K11" s="522">
        <f t="shared" ref="K11:K16" si="2">F11-G11</f>
        <v>0</v>
      </c>
      <c r="L11" s="522">
        <f t="shared" ref="L11:L16" si="3">IF(G11=0,1,IF(G11&lt;0,(F11-G11)/-G11,(F11-G11)/G11))</f>
        <v>1</v>
      </c>
      <c r="M11" s="522">
        <f t="shared" ref="M11:M16" si="4">IF(K11=F11,IF(F11&lt;0,-1,0))</f>
        <v>0</v>
      </c>
      <c r="N11" s="522">
        <f t="shared" ref="N11:N16" si="5">IF(M11=-1,-1,L11)</f>
        <v>1</v>
      </c>
    </row>
    <row r="12" spans="2:14" s="522" customFormat="1" ht="24" customHeight="1">
      <c r="B12" s="567" t="str">
        <f>IF([1]ACCUEIL!B1=1,"Conditional advances","Avances conditionnées")</f>
        <v>Avances conditionnées</v>
      </c>
      <c r="C12" s="568"/>
      <c r="D12" s="620"/>
      <c r="E12" s="645">
        <f>'[1]NOTE 15 B'!E12</f>
        <v>0</v>
      </c>
      <c r="F12" s="645">
        <f>'[1]NOTE 15 B'!F12</f>
        <v>0</v>
      </c>
      <c r="G12" s="645">
        <f>'[1]NOTE 15 B'!G12</f>
        <v>0</v>
      </c>
      <c r="H12" s="708">
        <f t="shared" si="0"/>
        <v>0</v>
      </c>
      <c r="I12" s="709">
        <f t="shared" si="1"/>
        <v>0</v>
      </c>
      <c r="J12" s="645">
        <f>'[1]NOTE 15 B'!J12</f>
        <v>0</v>
      </c>
      <c r="K12" s="522">
        <f t="shared" si="2"/>
        <v>0</v>
      </c>
      <c r="L12" s="522">
        <f t="shared" si="3"/>
        <v>1</v>
      </c>
      <c r="M12" s="522">
        <f t="shared" si="4"/>
        <v>0</v>
      </c>
      <c r="N12" s="522">
        <f t="shared" si="5"/>
        <v>1</v>
      </c>
    </row>
    <row r="13" spans="2:14" s="522" customFormat="1" ht="24" customHeight="1">
      <c r="B13" s="710" t="str">
        <f>IF([1]ACCUEIL!B1=1,"Indefinite Subordinated Notes (I.S.N)","Titres Subordonnés à Durée Indéterminée (T.S.D.I)")</f>
        <v>Titres Subordonnés à Durée Indéterminée (T.S.D.I)</v>
      </c>
      <c r="C13" s="711"/>
      <c r="D13" s="712"/>
      <c r="E13" s="645">
        <f>'[1]NOTE 15 B'!E13</f>
        <v>0</v>
      </c>
      <c r="F13" s="645">
        <f>'[1]NOTE 15 B'!F13</f>
        <v>0</v>
      </c>
      <c r="G13" s="645">
        <f>'[1]NOTE 15 B'!G13</f>
        <v>0</v>
      </c>
      <c r="H13" s="708">
        <f t="shared" si="0"/>
        <v>0</v>
      </c>
      <c r="I13" s="709">
        <f t="shared" si="1"/>
        <v>0</v>
      </c>
      <c r="J13" s="645">
        <f>'[1]NOTE 15 B'!J13</f>
        <v>0</v>
      </c>
      <c r="K13" s="522">
        <f t="shared" si="2"/>
        <v>0</v>
      </c>
      <c r="L13" s="522">
        <f t="shared" si="3"/>
        <v>1</v>
      </c>
      <c r="M13" s="522">
        <f t="shared" si="4"/>
        <v>0</v>
      </c>
      <c r="N13" s="522">
        <f t="shared" si="5"/>
        <v>1</v>
      </c>
    </row>
    <row r="14" spans="2:14" s="522" customFormat="1" ht="24" customHeight="1">
      <c r="B14" s="710" t="str">
        <f>IF([1]ACCUEIL!B1=1,"Bond Redeemable in Action (B.R.A)","Obligation  Remboursable en Action (O.R.A)")</f>
        <v>Obligation  Remboursable en Action (O.R.A)</v>
      </c>
      <c r="C14" s="711"/>
      <c r="D14" s="712"/>
      <c r="E14" s="645">
        <f>'[1]NOTE 15 B'!E14</f>
        <v>0</v>
      </c>
      <c r="F14" s="645">
        <f>'[1]NOTE 15 B'!F14</f>
        <v>0</v>
      </c>
      <c r="G14" s="645">
        <f>'[1]NOTE 15 B'!G14</f>
        <v>0</v>
      </c>
      <c r="H14" s="708">
        <f t="shared" si="0"/>
        <v>0</v>
      </c>
      <c r="I14" s="709">
        <f t="shared" si="1"/>
        <v>0</v>
      </c>
      <c r="J14" s="645">
        <f>'[1]NOTE 15 B'!J14</f>
        <v>0</v>
      </c>
      <c r="K14" s="522">
        <f t="shared" si="2"/>
        <v>0</v>
      </c>
      <c r="L14" s="522">
        <f t="shared" si="3"/>
        <v>1</v>
      </c>
      <c r="M14" s="522">
        <f t="shared" si="4"/>
        <v>0</v>
      </c>
      <c r="N14" s="522">
        <f t="shared" si="5"/>
        <v>1</v>
      </c>
    </row>
    <row r="15" spans="2:14" s="522" customFormat="1" ht="24" customHeight="1">
      <c r="B15" s="567" t="str">
        <f>IF([1]ACCUEIL!B1=1,"Other","Autres ")</f>
        <v xml:space="preserve">Autres </v>
      </c>
      <c r="C15" s="568"/>
      <c r="D15" s="620"/>
      <c r="E15" s="645" t="str">
        <f>'[1]NOTE 15 B'!E15</f>
        <v xml:space="preserve"> </v>
      </c>
      <c r="F15" s="645">
        <f>'[1]NOTE 15 B'!F15</f>
        <v>0</v>
      </c>
      <c r="G15" s="645">
        <f>'[1]NOTE 15 B'!G15</f>
        <v>0</v>
      </c>
      <c r="H15" s="708">
        <f t="shared" si="0"/>
        <v>0</v>
      </c>
      <c r="I15" s="709">
        <f t="shared" si="1"/>
        <v>0</v>
      </c>
      <c r="J15" s="645">
        <f>'[1]NOTE 15 B'!J15</f>
        <v>0</v>
      </c>
      <c r="K15" s="522">
        <f t="shared" si="2"/>
        <v>0</v>
      </c>
      <c r="L15" s="522">
        <f t="shared" si="3"/>
        <v>1</v>
      </c>
      <c r="M15" s="522">
        <f t="shared" si="4"/>
        <v>0</v>
      </c>
      <c r="N15" s="522">
        <f t="shared" si="5"/>
        <v>1</v>
      </c>
    </row>
    <row r="16" spans="2:14" s="522" customFormat="1" ht="24" customHeight="1">
      <c r="B16" s="62" t="str">
        <f>IF([1]ACCUEIL!B1=1,"TOTAL OTHER OWN FUNDS","TOTAL AUTRES FONDS PROPRES")</f>
        <v>TOTAL AUTRES FONDS PROPRES</v>
      </c>
      <c r="C16" s="573"/>
      <c r="D16" s="621"/>
      <c r="E16" s="645">
        <f>'[1]NOTE 15 B'!E16</f>
        <v>0</v>
      </c>
      <c r="F16" s="645">
        <f>'[1]NOTE 15 B'!F16</f>
        <v>0</v>
      </c>
      <c r="G16" s="645">
        <f>'[1]NOTE 15 B'!G16</f>
        <v>0</v>
      </c>
      <c r="H16" s="713">
        <f t="shared" si="0"/>
        <v>0</v>
      </c>
      <c r="I16" s="714">
        <f t="shared" si="1"/>
        <v>0</v>
      </c>
      <c r="J16" s="645">
        <f>'[1]NOTE 15 B'!J16</f>
        <v>0</v>
      </c>
      <c r="K16" s="522">
        <f t="shared" si="2"/>
        <v>0</v>
      </c>
      <c r="L16" s="522">
        <f t="shared" si="3"/>
        <v>1</v>
      </c>
      <c r="M16" s="522">
        <f t="shared" si="4"/>
        <v>0</v>
      </c>
      <c r="N16" s="522">
        <f t="shared" si="5"/>
        <v>1</v>
      </c>
    </row>
    <row r="17" spans="2:16">
      <c r="B17" s="81"/>
      <c r="C17" s="81"/>
      <c r="D17" s="81"/>
      <c r="E17" s="81"/>
      <c r="F17" s="81"/>
      <c r="G17" s="81"/>
      <c r="H17" s="81"/>
      <c r="I17" s="81"/>
      <c r="J17" s="81"/>
    </row>
    <row r="18" spans="2:16">
      <c r="B18" s="1910" t="str">
        <f>IF([1]ACCUEIL!B1=1,"(1) If applicable, a section 'Other equity' (Amount of equity securities issued, conditional advances, etc.) on a separate line is inserted in the sections ","(1)   Le cas échéant, une rubrique 'Autres fonds propres' (Montant des émissions de titres participatifs, avances conditionnées,…) sur une ligne séparée est intercalée en les")</f>
        <v>(1)   Le cas échéant, une rubrique 'Autres fonds propres' (Montant des émissions de titres participatifs, avances conditionnées,…) sur une ligne séparée est intercalée en les</v>
      </c>
      <c r="C18" s="1910"/>
      <c r="D18" s="1910"/>
      <c r="E18" s="1910"/>
      <c r="F18" s="1910"/>
      <c r="G18" s="1910"/>
      <c r="H18" s="1910"/>
      <c r="I18" s="1910"/>
      <c r="J18" s="1910"/>
      <c r="K18" s="715"/>
      <c r="L18" s="715"/>
      <c r="M18" s="715"/>
      <c r="N18" s="715"/>
      <c r="O18" s="715"/>
      <c r="P18" s="715"/>
    </row>
    <row r="19" spans="2:16">
      <c r="B19" s="1910" t="str">
        <f>IF([1]ACCUEIL!B1=1,"'TOTAL EQUITY AND RELATED RESOURCES' and 'Borrowings and financial debts' if the amount of other equity is significant."," rubriques 'TOTAL CAPITAUX PROPRES ET RESSOURCES ASSIMILEES' et 'Emprunts et dettes financiers' si le montant des autres fonds propres est significatif.")</f>
        <v xml:space="preserve"> rubriques 'TOTAL CAPITAUX PROPRES ET RESSOURCES ASSIMILEES' et 'Emprunts et dettes financiers' si le montant des autres fonds propres est significatif.</v>
      </c>
      <c r="C19" s="1910"/>
      <c r="D19" s="1910"/>
      <c r="E19" s="1910"/>
      <c r="F19" s="1910"/>
      <c r="G19" s="1910"/>
      <c r="H19" s="1910"/>
      <c r="I19" s="1910"/>
      <c r="J19" s="1910"/>
      <c r="K19" s="715"/>
      <c r="L19" s="715"/>
      <c r="M19" s="715"/>
      <c r="N19" s="715"/>
      <c r="O19" s="715"/>
      <c r="P19" s="715"/>
    </row>
    <row r="20" spans="2:16">
      <c r="B20" s="558" t="str">
        <f>'NOTE 15 A'!B31</f>
        <v>COMMENTAIRE</v>
      </c>
      <c r="C20" s="1660">
        <f>'[1]NOTE 15 B'!C20:J20</f>
        <v>0</v>
      </c>
      <c r="D20" s="1660"/>
      <c r="E20" s="1660"/>
      <c r="F20" s="1660"/>
      <c r="G20" s="1660"/>
      <c r="H20" s="1660"/>
      <c r="I20" s="1660"/>
      <c r="J20" s="1660"/>
    </row>
    <row r="21" spans="2:16">
      <c r="B21" s="560"/>
      <c r="C21" s="1660">
        <f>'[1]NOTE 15 B'!C21:J21</f>
        <v>0</v>
      </c>
      <c r="D21" s="1660"/>
      <c r="E21" s="1660"/>
      <c r="F21" s="1660"/>
      <c r="G21" s="1660"/>
      <c r="H21" s="1660"/>
      <c r="I21" s="1660"/>
      <c r="J21" s="1660"/>
    </row>
    <row r="22" spans="2:16">
      <c r="B22" s="560"/>
      <c r="C22" s="1660">
        <f>'[1]NOTE 15 B'!C22:J22</f>
        <v>0</v>
      </c>
      <c r="D22" s="1660"/>
      <c r="E22" s="1660"/>
      <c r="F22" s="1660"/>
      <c r="G22" s="1660"/>
      <c r="H22" s="1660"/>
      <c r="I22" s="1660"/>
      <c r="J22" s="1660"/>
    </row>
    <row r="23" spans="2:16">
      <c r="B23" s="560"/>
      <c r="C23" s="1660">
        <f>'[1]NOTE 15 B'!C23:J23</f>
        <v>0</v>
      </c>
      <c r="D23" s="1660"/>
      <c r="E23" s="1660"/>
      <c r="F23" s="1660"/>
      <c r="G23" s="1660"/>
      <c r="H23" s="1660"/>
      <c r="I23" s="1660"/>
      <c r="J23" s="1660"/>
    </row>
    <row r="24" spans="2:16">
      <c r="B24" s="81"/>
      <c r="C24" s="1660">
        <f>'[1]NOTE 15 B'!C24:J24</f>
        <v>0</v>
      </c>
      <c r="D24" s="1660"/>
      <c r="E24" s="1660"/>
      <c r="F24" s="1660"/>
      <c r="G24" s="1660"/>
      <c r="H24" s="1660"/>
      <c r="I24" s="1660"/>
      <c r="J24" s="1660"/>
    </row>
    <row r="25" spans="2:16">
      <c r="B25" s="81"/>
      <c r="C25" s="1660">
        <f>'[1]NOTE 15 B'!C25:J25</f>
        <v>0</v>
      </c>
      <c r="D25" s="1660"/>
      <c r="E25" s="1660"/>
      <c r="F25" s="1660"/>
      <c r="G25" s="1660"/>
      <c r="H25" s="1660"/>
      <c r="I25" s="1660"/>
      <c r="J25" s="1660"/>
    </row>
    <row r="26" spans="2:16">
      <c r="C26" s="1660">
        <f>'[1]NOTE 15 B'!C26:J26</f>
        <v>0</v>
      </c>
      <c r="D26" s="1660"/>
      <c r="E26" s="1660"/>
      <c r="F26" s="1660"/>
      <c r="G26" s="1660"/>
      <c r="H26" s="1660"/>
      <c r="I26" s="1660"/>
      <c r="J26" s="1660"/>
    </row>
    <row r="27" spans="2:16">
      <c r="C27" s="1660">
        <f>'[1]NOTE 15 B'!C27:J27</f>
        <v>0</v>
      </c>
      <c r="D27" s="1660"/>
      <c r="E27" s="1660"/>
      <c r="F27" s="1660"/>
      <c r="G27" s="1660"/>
      <c r="H27" s="1660"/>
      <c r="I27" s="1660"/>
      <c r="J27" s="1660"/>
    </row>
    <row r="28" spans="2:16">
      <c r="C28" s="1660">
        <f>'[1]NOTE 15 B'!C28:J28</f>
        <v>0</v>
      </c>
      <c r="D28" s="1660"/>
      <c r="E28" s="1660"/>
      <c r="F28" s="1660"/>
      <c r="G28" s="1660"/>
      <c r="H28" s="1660"/>
      <c r="I28" s="1660"/>
      <c r="J28" s="1660"/>
    </row>
    <row r="29" spans="2:16">
      <c r="C29" s="1660">
        <f>'[1]NOTE 15 B'!C29:J29</f>
        <v>0</v>
      </c>
      <c r="D29" s="1660"/>
      <c r="E29" s="1660"/>
      <c r="F29" s="1660"/>
      <c r="G29" s="1660"/>
      <c r="H29" s="1660"/>
      <c r="I29" s="1660"/>
      <c r="J29" s="1660"/>
    </row>
    <row r="30" spans="2:16">
      <c r="C30" s="1660">
        <f>'[1]NOTE 15 B'!C30:J30</f>
        <v>0</v>
      </c>
      <c r="D30" s="1660"/>
      <c r="E30" s="1660"/>
      <c r="F30" s="1660"/>
      <c r="G30" s="1660"/>
      <c r="H30" s="1660"/>
      <c r="I30" s="1660"/>
      <c r="J30" s="1660"/>
    </row>
  </sheetData>
  <sheetProtection selectLockedCells="1"/>
  <mergeCells count="17">
    <mergeCell ref="C26:J26"/>
    <mergeCell ref="C27:J27"/>
    <mergeCell ref="C28:J28"/>
    <mergeCell ref="C29:J29"/>
    <mergeCell ref="C30:J30"/>
    <mergeCell ref="C25:J25"/>
    <mergeCell ref="B1:J1"/>
    <mergeCell ref="I2:J3"/>
    <mergeCell ref="B9:J9"/>
    <mergeCell ref="B10:D10"/>
    <mergeCell ref="B18:J18"/>
    <mergeCell ref="B19:J19"/>
    <mergeCell ref="C20:J20"/>
    <mergeCell ref="C21:J21"/>
    <mergeCell ref="C22:J22"/>
    <mergeCell ref="C23:J23"/>
    <mergeCell ref="C24:J24"/>
  </mergeCells>
  <conditionalFormatting sqref="I6 E5:F5 D6">
    <cfRule type="expression" dxfId="22" priority="1">
      <formula>#REF!=1</formula>
    </cfRule>
  </conditionalFormatting>
  <printOptions horizontalCentered="1"/>
  <pageMargins left="0.78740157480314965" right="0" top="0.59055118110236227" bottom="0.19685039370078741" header="0.31496062992125984" footer="0.31496062992125984"/>
  <pageSetup paperSize="9" scale="90" orientation="landscape" r:id="rId1"/>
  <headerFooter>
    <oddHeader>&amp;C&amp;"-,Gras"&amp;14Page &amp;P / &amp;N</oddHead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Feuil42">
    <pageSetUpPr fitToPage="1"/>
  </sheetPr>
  <dimension ref="B1:N53"/>
  <sheetViews>
    <sheetView showGridLines="0" showZeros="0" zoomScale="70" zoomScaleNormal="70" zoomScaleSheetLayoutView="100" workbookViewId="0">
      <selection activeCell="B12" sqref="B12"/>
    </sheetView>
  </sheetViews>
  <sheetFormatPr baseColWidth="10" defaultColWidth="11.42578125" defaultRowHeight="15.75"/>
  <cols>
    <col min="1" max="1" width="7.85546875" style="9" customWidth="1"/>
    <col min="2" max="2" width="24.42578125" style="9" customWidth="1"/>
    <col min="3" max="3" width="54.28515625" style="9" customWidth="1"/>
    <col min="4" max="4" width="23.7109375" style="9" customWidth="1"/>
    <col min="5" max="5" width="23.140625" style="9" customWidth="1"/>
    <col min="6" max="6" width="22.140625" style="9" customWidth="1"/>
    <col min="7" max="7" width="10.140625" style="9" customWidth="1"/>
    <col min="8" max="8" width="23.140625" style="9" customWidth="1"/>
    <col min="9" max="9" width="23.42578125" style="9" customWidth="1"/>
    <col min="10" max="10" width="17.5703125" style="9" customWidth="1"/>
    <col min="11" max="11" width="3.85546875" style="9" hidden="1" customWidth="1"/>
    <col min="12" max="12" width="4.42578125" style="9" hidden="1" customWidth="1"/>
    <col min="13" max="13" width="3.7109375" style="9" hidden="1" customWidth="1"/>
    <col min="14" max="14" width="5.28515625" style="9" hidden="1" customWidth="1"/>
    <col min="15" max="16384" width="11.42578125" style="9"/>
  </cols>
  <sheetData>
    <row r="1" spans="2:14">
      <c r="B1" s="1450"/>
      <c r="C1" s="1450"/>
      <c r="D1" s="1450"/>
      <c r="E1" s="1450"/>
      <c r="F1" s="1450"/>
      <c r="G1" s="1450"/>
      <c r="H1" s="1450"/>
      <c r="I1" s="1450"/>
      <c r="J1" s="1450"/>
    </row>
    <row r="2" spans="2:14">
      <c r="B2" s="118"/>
      <c r="C2" s="118"/>
      <c r="D2" s="118"/>
      <c r="E2" s="118"/>
      <c r="F2" s="118"/>
      <c r="G2" s="118"/>
      <c r="H2" s="118"/>
      <c r="I2" s="1724" t="str">
        <f>IF([1]ACCUEIL!B1=1,"NOTE 16 A
NORMAL SYSTEM","NOTE 16 A
SYSTEME NORMAL")</f>
        <v>NOTE 16 A
SYSTEME NORMAL</v>
      </c>
      <c r="J2" s="1725"/>
    </row>
    <row r="3" spans="2:14">
      <c r="B3" s="118"/>
      <c r="C3" s="118"/>
      <c r="D3" s="118"/>
      <c r="E3" s="118"/>
      <c r="F3" s="1099"/>
      <c r="G3" s="118"/>
      <c r="H3" s="118"/>
      <c r="I3" s="1726"/>
      <c r="J3" s="1727"/>
    </row>
    <row r="4" spans="2:14">
      <c r="B4" s="1100" t="str">
        <f>'NOTE 15 B'!B4</f>
        <v>Désignation entité:</v>
      </c>
      <c r="C4" s="127" t="str">
        <f>'NOTE 15 B'!C4</f>
        <v/>
      </c>
      <c r="D4" s="115"/>
      <c r="E4" s="115"/>
      <c r="F4" s="115"/>
      <c r="G4" s="115"/>
      <c r="H4" s="115"/>
      <c r="I4" s="115"/>
      <c r="J4" s="115"/>
    </row>
    <row r="5" spans="2:14">
      <c r="B5" s="1100" t="str">
        <f>'NOTE 15 B'!B5</f>
        <v>Sigle usuel :</v>
      </c>
      <c r="C5" s="121" t="str">
        <f>'NOTE 15 B'!C5</f>
        <v/>
      </c>
      <c r="D5" s="1101"/>
      <c r="E5" s="1102"/>
      <c r="F5" s="1102"/>
      <c r="G5" s="120"/>
      <c r="H5" s="121"/>
      <c r="I5" s="1103"/>
      <c r="J5" s="1104"/>
    </row>
    <row r="6" spans="2:14">
      <c r="B6" s="1100" t="str">
        <f>'NOTE 15 B'!B6</f>
        <v>Adresse:</v>
      </c>
      <c r="C6" s="1105">
        <f>'NOTE 15 B'!C6</f>
        <v>0</v>
      </c>
      <c r="D6" s="119"/>
      <c r="E6" s="1101"/>
      <c r="F6" s="1101"/>
      <c r="G6" s="120"/>
      <c r="H6" s="1101"/>
      <c r="I6" s="1106" t="str">
        <f>'NOTE 15 B'!I6</f>
        <v>BP:</v>
      </c>
      <c r="J6" s="1105" t="str">
        <f>'NOTE 15 B'!J6</f>
        <v/>
      </c>
    </row>
    <row r="7" spans="2:14">
      <c r="B7" s="1100" t="str">
        <f>'NOTE 15 B'!B7</f>
        <v>Numéro d'identification:</v>
      </c>
      <c r="C7" s="1103" t="str">
        <f>'NOTE 15 B'!C7</f>
        <v/>
      </c>
      <c r="D7" s="1107"/>
      <c r="E7" s="115"/>
      <c r="F7" s="1911" t="str">
        <f>'NOTE 15 B'!G7</f>
        <v xml:space="preserve">   Exercice clos le 31 - 12- </v>
      </c>
      <c r="G7" s="1912"/>
      <c r="H7" s="1105">
        <f>'NOTE 14'!E9</f>
        <v>2025</v>
      </c>
      <c r="I7" s="1108" t="str">
        <f>'NOTE 15 B'!I7</f>
        <v xml:space="preserve">    Durée (en mois):</v>
      </c>
      <c r="J7" s="1103">
        <f>'NOTE 14'!G9</f>
        <v>12</v>
      </c>
    </row>
    <row r="8" spans="2:14">
      <c r="B8" s="118"/>
      <c r="C8" s="118"/>
      <c r="D8" s="118"/>
      <c r="E8" s="1109"/>
      <c r="F8" s="118"/>
      <c r="G8" s="118"/>
      <c r="H8" s="118"/>
      <c r="I8" s="118"/>
      <c r="J8" s="118"/>
    </row>
    <row r="9" spans="2:14" ht="30.75" customHeight="1">
      <c r="B9" s="1807" t="str">
        <f>IF([1]ACCUEIL!B1=1,"NOTE 16 A FINANCIAL DEBT AND RELATED RESOURCES","NOTE 16 A DETTES FINANCIERES ET RESSOURCES ASSIMILLEES")</f>
        <v>NOTE 16 A DETTES FINANCIERES ET RESSOURCES ASSIMILLEES</v>
      </c>
      <c r="C9" s="1807"/>
      <c r="D9" s="1807"/>
      <c r="E9" s="1807"/>
      <c r="F9" s="1807"/>
      <c r="G9" s="1807"/>
      <c r="H9" s="1807"/>
      <c r="I9" s="1807"/>
      <c r="J9" s="1807"/>
    </row>
    <row r="10" spans="2:14" ht="36.6" customHeight="1">
      <c r="B10" s="1913" t="str">
        <f>'NOTE 15 B'!B10:D10</f>
        <v xml:space="preserve">      RUBRIQUES</v>
      </c>
      <c r="C10" s="1914"/>
      <c r="D10" s="1917" t="str">
        <f>'NOTE 15 B'!F10</f>
        <v>Année 2025</v>
      </c>
      <c r="E10" s="1917" t="str">
        <f>'NOTE 15 B'!G10</f>
        <v>Année 2024</v>
      </c>
      <c r="F10" s="1919" t="str">
        <f>'NOTE 15 B'!H10</f>
        <v>VARIATION EN VALEUR ABSOLUE</v>
      </c>
      <c r="G10" s="1921" t="str">
        <f>'NOTE 15 B'!I10</f>
        <v xml:space="preserve">Variation en % </v>
      </c>
      <c r="H10" s="1920" t="str">
        <f>'NOTE 8'!G10</f>
        <v>Créances à un an ou plus</v>
      </c>
      <c r="I10" s="1920" t="str">
        <f>'NOTE 8'!H10</f>
        <v>Créances à plus d'un an et à deux ans au plus</v>
      </c>
      <c r="J10" s="1920" t="str">
        <f>'NOTE 8'!I10</f>
        <v>Créances à plus de deux ans</v>
      </c>
    </row>
    <row r="11" spans="2:14" ht="36.6" customHeight="1">
      <c r="B11" s="1915"/>
      <c r="C11" s="1916"/>
      <c r="D11" s="1918"/>
      <c r="E11" s="1918"/>
      <c r="F11" s="1920"/>
      <c r="G11" s="1920"/>
      <c r="H11" s="1920"/>
      <c r="I11" s="1920"/>
      <c r="J11" s="1920"/>
    </row>
    <row r="12" spans="2:14" s="559" customFormat="1" ht="19.149999999999999" customHeight="1">
      <c r="B12" s="1110" t="str">
        <f>IF([1]ACCUEIL!B1=1,"Bond loans","Emprunts obligataires")</f>
        <v>Emprunts obligataires</v>
      </c>
      <c r="C12" s="1111"/>
      <c r="D12" s="216">
        <f>'[1]CLASSE 1'!J155</f>
        <v>0</v>
      </c>
      <c r="E12" s="216">
        <f>'[1]CLASSE 1'!F155</f>
        <v>0</v>
      </c>
      <c r="F12" s="1112">
        <f>D12-E12</f>
        <v>0</v>
      </c>
      <c r="G12" s="1113">
        <f>IF(K12=0,0,N12)</f>
        <v>0</v>
      </c>
      <c r="H12" s="1114">
        <f>'[1]NOTE 16 A'!H12</f>
        <v>0</v>
      </c>
      <c r="I12" s="1114">
        <f>'[1]NOTE 16 A'!I12</f>
        <v>0</v>
      </c>
      <c r="J12" s="1114">
        <f>'[1]NOTE 16 A'!J12</f>
        <v>0</v>
      </c>
      <c r="K12" s="559">
        <f>D12-E12</f>
        <v>0</v>
      </c>
      <c r="L12" s="559">
        <f>IF(E12=0,1,IF(E12&lt;0,(D12-E12)/-E12,(D12-E12)/E12))</f>
        <v>1</v>
      </c>
      <c r="M12" s="559">
        <f>IF(K12=D12,IF(D12&lt;0,-1,0))</f>
        <v>0</v>
      </c>
      <c r="N12" s="559">
        <f>IF(M12=-1,-1,L12)</f>
        <v>1</v>
      </c>
    </row>
    <row r="13" spans="2:14" s="559" customFormat="1" ht="19.149999999999999" customHeight="1">
      <c r="B13" s="1110" t="str">
        <f>IF([1]ACCUEIL!B1=1,"Loans and debts from credit institutions","Emprunts et dettes aupres des etablissements de credit")</f>
        <v>Emprunts et dettes aupres des etablissements de credit</v>
      </c>
      <c r="C13" s="1111"/>
      <c r="D13" s="216">
        <f>'[1]CLASSE 1'!J156</f>
        <v>0</v>
      </c>
      <c r="E13" s="216">
        <f>'[1]CLASSE 1'!F156</f>
        <v>0</v>
      </c>
      <c r="F13" s="1112">
        <f t="shared" ref="F13:F27" si="0">D13-E13</f>
        <v>0</v>
      </c>
      <c r="G13" s="1113">
        <f t="shared" ref="G13:G41" si="1">IF(K13=0,0,N13)</f>
        <v>0</v>
      </c>
      <c r="H13" s="1114">
        <f>'[1]NOTE 16 A'!H13</f>
        <v>0</v>
      </c>
      <c r="I13" s="1114">
        <f>'[1]NOTE 16 A'!I13</f>
        <v>0</v>
      </c>
      <c r="J13" s="1114">
        <f>'[1]NOTE 16 A'!J13</f>
        <v>0</v>
      </c>
      <c r="K13" s="559">
        <f t="shared" ref="K13:K42" si="2">D13-E13</f>
        <v>0</v>
      </c>
      <c r="L13" s="559">
        <f t="shared" ref="L13:L42" si="3">IF(E13=0,1,IF(E13&lt;0,(D13-E13)/-E13,(D13-E13)/E13))</f>
        <v>1</v>
      </c>
      <c r="M13" s="559">
        <f t="shared" ref="M13:M42" si="4">IF(K13=D13,IF(D13&lt;0,-1,0))</f>
        <v>0</v>
      </c>
      <c r="N13" s="559">
        <f t="shared" ref="N13:N42" si="5">IF(M13=-1,-1,L13)</f>
        <v>1</v>
      </c>
    </row>
    <row r="14" spans="2:14" s="559" customFormat="1" ht="19.149999999999999" customHeight="1">
      <c r="B14" s="1110" t="str">
        <f>IF([1]ACCUEIL!B1=1,"Advances received from the State","Avances reçues de l'Etat")</f>
        <v>Avances reçues de l'Etat</v>
      </c>
      <c r="C14" s="1111"/>
      <c r="D14" s="216">
        <f>'[1]CLASSE 1'!J157</f>
        <v>0</v>
      </c>
      <c r="E14" s="216">
        <f>'[1]CLASSE 1'!F157</f>
        <v>0</v>
      </c>
      <c r="F14" s="1112">
        <f t="shared" si="0"/>
        <v>0</v>
      </c>
      <c r="G14" s="1113">
        <f t="shared" si="1"/>
        <v>0</v>
      </c>
      <c r="H14" s="1114">
        <f>'[1]NOTE 16 A'!H14</f>
        <v>0</v>
      </c>
      <c r="I14" s="1114">
        <f>'[1]NOTE 16 A'!I14</f>
        <v>0</v>
      </c>
      <c r="J14" s="1114">
        <f>'[1]NOTE 16 A'!J14</f>
        <v>0</v>
      </c>
      <c r="K14" s="559">
        <f t="shared" si="2"/>
        <v>0</v>
      </c>
      <c r="L14" s="559">
        <f t="shared" si="3"/>
        <v>1</v>
      </c>
      <c r="M14" s="559">
        <f t="shared" si="4"/>
        <v>0</v>
      </c>
      <c r="N14" s="559">
        <f t="shared" si="5"/>
        <v>1</v>
      </c>
    </row>
    <row r="15" spans="2:14" s="559" customFormat="1" ht="19.149999999999999" customHeight="1">
      <c r="B15" s="1110" t="str">
        <f>IF([1]ACCUEIL!B1=1,"Advances received and blocked current accounts","Avances reçues et comptes courants bloqués")</f>
        <v>Avances reçues et comptes courants bloqués</v>
      </c>
      <c r="C15" s="1111"/>
      <c r="D15" s="216">
        <f>'[1]CLASSE 1'!J158</f>
        <v>0</v>
      </c>
      <c r="E15" s="216">
        <f>'[1]BALANCE REGROUPE'!J156</f>
        <v>0</v>
      </c>
      <c r="F15" s="1112">
        <f t="shared" si="0"/>
        <v>0</v>
      </c>
      <c r="G15" s="1113">
        <f t="shared" si="1"/>
        <v>0</v>
      </c>
      <c r="H15" s="1114">
        <f>'[1]NOTE 16 A'!H15</f>
        <v>0</v>
      </c>
      <c r="I15" s="1114">
        <f>'[1]NOTE 16 A'!I15</f>
        <v>0</v>
      </c>
      <c r="J15" s="1114">
        <f>'[1]NOTE 16 A'!J15</f>
        <v>0</v>
      </c>
      <c r="K15" s="559">
        <f t="shared" si="2"/>
        <v>0</v>
      </c>
      <c r="L15" s="559">
        <f t="shared" si="3"/>
        <v>1</v>
      </c>
      <c r="M15" s="559">
        <f t="shared" si="4"/>
        <v>0</v>
      </c>
      <c r="N15" s="559">
        <f t="shared" si="5"/>
        <v>1</v>
      </c>
    </row>
    <row r="16" spans="2:14" s="559" customFormat="1" ht="19.149999999999999" customHeight="1">
      <c r="B16" s="1110" t="str">
        <f>IF([1]ACCUEIL!B1=1,"Deposits and guarantees received","Dépots et cautionnements reçu")</f>
        <v>Dépots et cautionnements reçu</v>
      </c>
      <c r="C16" s="1111"/>
      <c r="D16" s="216">
        <f>'[1]CLASSE 1'!J164</f>
        <v>0</v>
      </c>
      <c r="E16" s="216">
        <f>'[1]CLASSE 1'!F164</f>
        <v>0</v>
      </c>
      <c r="F16" s="1112">
        <f t="shared" si="0"/>
        <v>0</v>
      </c>
      <c r="G16" s="1113">
        <f t="shared" si="1"/>
        <v>0</v>
      </c>
      <c r="H16" s="1114">
        <f>'[1]NOTE 16 A'!H16</f>
        <v>0</v>
      </c>
      <c r="I16" s="1114">
        <f>'[1]NOTE 16 A'!I16</f>
        <v>0</v>
      </c>
      <c r="J16" s="1114">
        <f>'[1]NOTE 16 A'!J16</f>
        <v>0</v>
      </c>
      <c r="K16" s="559">
        <f t="shared" si="2"/>
        <v>0</v>
      </c>
      <c r="L16" s="559">
        <f t="shared" si="3"/>
        <v>1</v>
      </c>
      <c r="M16" s="559">
        <f t="shared" si="4"/>
        <v>0</v>
      </c>
      <c r="N16" s="559">
        <f t="shared" si="5"/>
        <v>1</v>
      </c>
    </row>
    <row r="17" spans="2:14" s="559" customFormat="1" ht="19.149999999999999" customHeight="1">
      <c r="B17" s="1110" t="str">
        <f>IF([1]ACCUEIL!B1=1,"Interest accrued","Interet courus")</f>
        <v>Interet courus</v>
      </c>
      <c r="C17" s="1111"/>
      <c r="D17" s="216">
        <f>'[1]CLASSE 1'!J180</f>
        <v>0</v>
      </c>
      <c r="E17" s="216">
        <f>'[1]CLASSE 1'!F180</f>
        <v>0</v>
      </c>
      <c r="F17" s="1112">
        <f t="shared" si="0"/>
        <v>0</v>
      </c>
      <c r="G17" s="1113">
        <f t="shared" si="1"/>
        <v>0</v>
      </c>
      <c r="H17" s="1114">
        <f>'[1]NOTE 16 A'!H17</f>
        <v>0</v>
      </c>
      <c r="I17" s="1114">
        <f>'[1]NOTE 16 A'!I17</f>
        <v>0</v>
      </c>
      <c r="J17" s="1114">
        <f>'[1]NOTE 16 A'!J17</f>
        <v>0</v>
      </c>
      <c r="K17" s="559">
        <f t="shared" si="2"/>
        <v>0</v>
      </c>
      <c r="L17" s="559">
        <f t="shared" si="3"/>
        <v>1</v>
      </c>
      <c r="M17" s="559">
        <f t="shared" si="4"/>
        <v>0</v>
      </c>
      <c r="N17" s="559">
        <f t="shared" si="5"/>
        <v>1</v>
      </c>
    </row>
    <row r="18" spans="2:14" s="559" customFormat="1" ht="19.149999999999999" customHeight="1">
      <c r="B18" s="1110" t="str">
        <f>IF([1]ACCUEIL!B1=1,"Advances with specific conditions","Avances assorties de conditions particulières")</f>
        <v>Avances assorties de conditions particulières</v>
      </c>
      <c r="C18" s="1111"/>
      <c r="D18" s="216">
        <f>'[1]CLASSE 1'!J190</f>
        <v>0</v>
      </c>
      <c r="E18" s="216">
        <f>'[1]CLASSE 1'!F190</f>
        <v>0</v>
      </c>
      <c r="F18" s="1112">
        <f t="shared" si="0"/>
        <v>0</v>
      </c>
      <c r="G18" s="1113">
        <f t="shared" si="1"/>
        <v>0</v>
      </c>
      <c r="H18" s="1114">
        <f>'[1]NOTE 16 A'!H18</f>
        <v>0</v>
      </c>
      <c r="I18" s="1114">
        <f>'[1]NOTE 16 A'!I18</f>
        <v>0</v>
      </c>
      <c r="J18" s="1114">
        <f>'[1]NOTE 16 A'!J18</f>
        <v>0</v>
      </c>
      <c r="K18" s="559">
        <f t="shared" si="2"/>
        <v>0</v>
      </c>
      <c r="L18" s="559">
        <f t="shared" si="3"/>
        <v>1</v>
      </c>
      <c r="M18" s="559">
        <f t="shared" si="4"/>
        <v>0</v>
      </c>
      <c r="N18" s="559">
        <f t="shared" si="5"/>
        <v>1</v>
      </c>
    </row>
    <row r="19" spans="2:14" s="559" customFormat="1" ht="19.149999999999999" customHeight="1">
      <c r="B19" s="1110" t="str">
        <f>IF([1]ACCUEIL!B1=1,"Other loans and debts","Autres emprunts et  dettes")</f>
        <v>Autres emprunts et  dettes</v>
      </c>
      <c r="C19" s="1111"/>
      <c r="D19" s="216">
        <f>'[1]CLASSE 1'!J204</f>
        <v>0</v>
      </c>
      <c r="E19" s="216">
        <f>'[1]CLASSE 1'!F204</f>
        <v>0</v>
      </c>
      <c r="F19" s="1112">
        <f t="shared" si="0"/>
        <v>0</v>
      </c>
      <c r="G19" s="1113">
        <f t="shared" si="1"/>
        <v>0</v>
      </c>
      <c r="H19" s="1114">
        <f>'[1]NOTE 16 A'!H19</f>
        <v>0</v>
      </c>
      <c r="I19" s="1114">
        <f>'[1]NOTE 16 A'!I19</f>
        <v>0</v>
      </c>
      <c r="J19" s="1114">
        <f>'[1]NOTE 16 A'!J19</f>
        <v>0</v>
      </c>
      <c r="K19" s="559">
        <f t="shared" si="2"/>
        <v>0</v>
      </c>
      <c r="L19" s="559">
        <f t="shared" si="3"/>
        <v>1</v>
      </c>
      <c r="M19" s="559">
        <f t="shared" si="4"/>
        <v>0</v>
      </c>
      <c r="N19" s="559">
        <f t="shared" si="5"/>
        <v>1</v>
      </c>
    </row>
    <row r="20" spans="2:14" s="559" customFormat="1" ht="19.149999999999999" customHeight="1">
      <c r="B20" s="1110" t="str">
        <f>IF([1]ACCUEIL!B1=1,"Debts linked to shareholdings","Dettes liées à des participations")</f>
        <v>Dettes liées à des participations</v>
      </c>
      <c r="C20" s="1111"/>
      <c r="D20" s="216">
        <f>'[1]CLASSE 1'!J224+'[1]CLASSE 1'!J225+'[1]CLASSE 1'!J226</f>
        <v>0</v>
      </c>
      <c r="E20" s="216">
        <f>'[1]CLASSE 1'!F224+'[1]CLASSE 1'!F225+'[1]CLASSE 1'!F226</f>
        <v>0</v>
      </c>
      <c r="F20" s="1112">
        <f t="shared" si="0"/>
        <v>0</v>
      </c>
      <c r="G20" s="1113">
        <f t="shared" si="1"/>
        <v>0</v>
      </c>
      <c r="H20" s="1114">
        <f>'[1]NOTE 16 A'!H20</f>
        <v>0</v>
      </c>
      <c r="I20" s="1114">
        <f>'[1]NOTE 16 A'!I20</f>
        <v>0</v>
      </c>
      <c r="J20" s="1114">
        <f>'[1]NOTE 16 A'!J20</f>
        <v>0</v>
      </c>
      <c r="K20" s="559">
        <f t="shared" si="2"/>
        <v>0</v>
      </c>
      <c r="L20" s="559">
        <f t="shared" si="3"/>
        <v>1</v>
      </c>
      <c r="M20" s="559">
        <f t="shared" si="4"/>
        <v>0</v>
      </c>
      <c r="N20" s="559">
        <f t="shared" si="5"/>
        <v>1</v>
      </c>
    </row>
    <row r="21" spans="2:14" s="559" customFormat="1" ht="19.149999999999999" customHeight="1">
      <c r="B21" s="1110" t="str">
        <f>IF([1]ACCUEIL!B1=1,"Permanent blocked accounts of establishments and branches","Comptes permanents bloqués des établissements et succursales")</f>
        <v>Comptes permanents bloqués des établissements et succursales</v>
      </c>
      <c r="C21" s="1111"/>
      <c r="D21" s="216">
        <f>'[1]CLASSE 1'!J227</f>
        <v>0</v>
      </c>
      <c r="E21" s="216">
        <f>'[1]CLASSE 1'!F227</f>
        <v>0</v>
      </c>
      <c r="F21" s="1112">
        <f t="shared" si="0"/>
        <v>0</v>
      </c>
      <c r="G21" s="1113">
        <f t="shared" si="1"/>
        <v>0</v>
      </c>
      <c r="H21" s="1114">
        <f>'[1]NOTE 16 A'!H21</f>
        <v>0</v>
      </c>
      <c r="I21" s="1114">
        <f>'[1]NOTE 16 A'!I21</f>
        <v>0</v>
      </c>
      <c r="J21" s="1114">
        <f>'[1]NOTE 16 A'!J21</f>
        <v>0</v>
      </c>
      <c r="K21" s="559">
        <f t="shared" si="2"/>
        <v>0</v>
      </c>
      <c r="L21" s="559">
        <f t="shared" si="3"/>
        <v>1</v>
      </c>
      <c r="M21" s="559">
        <f t="shared" si="4"/>
        <v>0</v>
      </c>
      <c r="N21" s="559">
        <f t="shared" si="5"/>
        <v>1</v>
      </c>
    </row>
    <row r="22" spans="2:14" s="1119" customFormat="1" ht="19.149999999999999" customHeight="1">
      <c r="B22" s="1115" t="str">
        <f>IF([1]ACCUEIL!B1=1,"TOTAL BORROWINGS AND FINANCIAL DEBTS","TOTAL EMPRUNTS ET DETTES FINANCIERES")</f>
        <v>TOTAL EMPRUNTS ET DETTES FINANCIERES</v>
      </c>
      <c r="C22" s="1116"/>
      <c r="D22" s="210">
        <f>SUM(D12:D21)</f>
        <v>0</v>
      </c>
      <c r="E22" s="210">
        <f>SUM(E12:E21)</f>
        <v>0</v>
      </c>
      <c r="F22" s="1117">
        <f t="shared" si="0"/>
        <v>0</v>
      </c>
      <c r="G22" s="1118">
        <f>IF(K22=0,0,N22)</f>
        <v>0</v>
      </c>
      <c r="H22" s="1114">
        <f>'[1]NOTE 16 A'!H22</f>
        <v>0</v>
      </c>
      <c r="I22" s="1114">
        <f>'[1]NOTE 16 A'!I22</f>
        <v>0</v>
      </c>
      <c r="J22" s="1114">
        <f>'[1]NOTE 16 A'!J22</f>
        <v>0</v>
      </c>
      <c r="K22" s="1119">
        <f t="shared" si="2"/>
        <v>0</v>
      </c>
      <c r="L22" s="1119">
        <f t="shared" si="3"/>
        <v>1</v>
      </c>
      <c r="M22" s="1119">
        <f t="shared" si="4"/>
        <v>0</v>
      </c>
      <c r="N22" s="1119">
        <f t="shared" si="5"/>
        <v>1</v>
      </c>
    </row>
    <row r="23" spans="2:14" s="559" customFormat="1" ht="19.149999999999999" customHeight="1">
      <c r="B23" s="1110" t="str">
        <f>IF([1]ACCUEIL!B1=1,"Real estate lease","Crédit bail immobilier")</f>
        <v>Crédit bail immobilier</v>
      </c>
      <c r="C23" s="1111"/>
      <c r="D23" s="216">
        <f>'[1]CLASSE 1'!J205</f>
        <v>0</v>
      </c>
      <c r="E23" s="216">
        <f>'[1]CLASSE 1'!F205</f>
        <v>0</v>
      </c>
      <c r="F23" s="1112">
        <f>D23-E23</f>
        <v>0</v>
      </c>
      <c r="G23" s="1113">
        <f t="shared" si="1"/>
        <v>0</v>
      </c>
      <c r="H23" s="1114">
        <f>'[1]NOTE 16 A'!H23</f>
        <v>0</v>
      </c>
      <c r="I23" s="1114">
        <f>'[1]NOTE 16 A'!I23</f>
        <v>0</v>
      </c>
      <c r="J23" s="1114">
        <f>'[1]NOTE 16 A'!J23</f>
        <v>0</v>
      </c>
      <c r="K23" s="559">
        <f t="shared" si="2"/>
        <v>0</v>
      </c>
      <c r="L23" s="559">
        <f t="shared" si="3"/>
        <v>1</v>
      </c>
      <c r="M23" s="559">
        <f t="shared" si="4"/>
        <v>0</v>
      </c>
      <c r="N23" s="559">
        <f t="shared" si="5"/>
        <v>1</v>
      </c>
    </row>
    <row r="24" spans="2:14" s="559" customFormat="1" ht="19.149999999999999" customHeight="1">
      <c r="B24" s="1110" t="str">
        <f>IF([1]ACCUEIL!B1=1,"Furniture lease","Crédit bail mobilier")</f>
        <v>Crédit bail mobilier</v>
      </c>
      <c r="C24" s="1111"/>
      <c r="D24" s="216">
        <f>'[1]CLASSE 1'!J206</f>
        <v>0</v>
      </c>
      <c r="E24" s="216">
        <f>'[1]CLASSE 1'!F206</f>
        <v>0</v>
      </c>
      <c r="F24" s="1112">
        <f t="shared" si="0"/>
        <v>0</v>
      </c>
      <c r="G24" s="1113">
        <f t="shared" si="1"/>
        <v>0</v>
      </c>
      <c r="H24" s="1114">
        <f>'[1]NOTE 16 A'!H24</f>
        <v>0</v>
      </c>
      <c r="I24" s="1114">
        <f>'[1]NOTE 16 A'!I24</f>
        <v>0</v>
      </c>
      <c r="J24" s="1114">
        <f>'[1]NOTE 16 A'!J24</f>
        <v>0</v>
      </c>
      <c r="K24" s="559">
        <f t="shared" si="2"/>
        <v>0</v>
      </c>
      <c r="L24" s="559">
        <f t="shared" si="3"/>
        <v>1</v>
      </c>
      <c r="M24" s="559">
        <f t="shared" si="4"/>
        <v>0</v>
      </c>
      <c r="N24" s="559">
        <f t="shared" si="5"/>
        <v>1</v>
      </c>
    </row>
    <row r="25" spans="2:14" s="559" customFormat="1" ht="19.149999999999999" customHeight="1">
      <c r="B25" s="1110" t="str">
        <f>IF([1]ACCUEIL!B1=1,"Rent sale","Location vente")</f>
        <v>Location vente</v>
      </c>
      <c r="C25" s="1111"/>
      <c r="D25" s="216">
        <f>'[1]CLASSE 1'!J207</f>
        <v>0</v>
      </c>
      <c r="E25" s="216">
        <f>'[1]CLASSE 1'!F207</f>
        <v>0</v>
      </c>
      <c r="F25" s="1112">
        <f t="shared" si="0"/>
        <v>0</v>
      </c>
      <c r="G25" s="1113">
        <f t="shared" si="1"/>
        <v>0</v>
      </c>
      <c r="H25" s="1114">
        <f>'[1]NOTE 16 A'!H25</f>
        <v>0</v>
      </c>
      <c r="I25" s="1114">
        <f>'[1]NOTE 16 A'!I25</f>
        <v>0</v>
      </c>
      <c r="J25" s="1114">
        <f>'[1]NOTE 16 A'!J25</f>
        <v>0</v>
      </c>
      <c r="K25" s="559">
        <f t="shared" si="2"/>
        <v>0</v>
      </c>
      <c r="L25" s="559">
        <f t="shared" si="3"/>
        <v>1</v>
      </c>
      <c r="M25" s="559">
        <f t="shared" si="4"/>
        <v>0</v>
      </c>
      <c r="N25" s="559">
        <f t="shared" si="5"/>
        <v>1</v>
      </c>
    </row>
    <row r="26" spans="2:14" s="559" customFormat="1" ht="19.149999999999999" customHeight="1">
      <c r="B26" s="1110" t="str">
        <f>IF([1]ACCUEIL!B1=1,"Interest accrued","Intérêts courus")</f>
        <v>Intérêts courus</v>
      </c>
      <c r="C26" s="1111"/>
      <c r="D26" s="216">
        <f>'[1]CLASSE 1'!J217</f>
        <v>0</v>
      </c>
      <c r="E26" s="216">
        <f>'[1]CLASSE 1'!F217</f>
        <v>0</v>
      </c>
      <c r="F26" s="1112">
        <f t="shared" si="0"/>
        <v>0</v>
      </c>
      <c r="G26" s="1113">
        <f t="shared" si="1"/>
        <v>0</v>
      </c>
      <c r="H26" s="1114">
        <f>'[1]NOTE 16 A'!H26</f>
        <v>0</v>
      </c>
      <c r="I26" s="1114">
        <f>'[1]NOTE 16 A'!I26</f>
        <v>0</v>
      </c>
      <c r="J26" s="1114">
        <f>'[1]NOTE 16 A'!J26</f>
        <v>0</v>
      </c>
      <c r="K26" s="559">
        <f t="shared" si="2"/>
        <v>0</v>
      </c>
      <c r="L26" s="559">
        <f t="shared" si="3"/>
        <v>1</v>
      </c>
      <c r="M26" s="559">
        <f t="shared" si="4"/>
        <v>0</v>
      </c>
      <c r="N26" s="559">
        <f t="shared" si="5"/>
        <v>1</v>
      </c>
    </row>
    <row r="27" spans="2:14" s="559" customFormat="1" ht="19.149999999999999" customHeight="1">
      <c r="B27" s="1110" t="str">
        <f>IF([1]ACCUEIL!B1=1,"Other acquisition lease debts","Autres dettes de location acquisition")</f>
        <v>Autres dettes de location acquisition</v>
      </c>
      <c r="C27" s="1111"/>
      <c r="D27" s="216">
        <f>'[1]CLASSE 1'!J218</f>
        <v>0</v>
      </c>
      <c r="E27" s="216">
        <f>'[1]CLASSE 1'!F218</f>
        <v>0</v>
      </c>
      <c r="F27" s="1112">
        <f t="shared" si="0"/>
        <v>0</v>
      </c>
      <c r="G27" s="1113">
        <f t="shared" si="1"/>
        <v>0</v>
      </c>
      <c r="H27" s="1114">
        <f>'[1]NOTE 16 A'!H27</f>
        <v>0</v>
      </c>
      <c r="I27" s="1114">
        <f>'[1]NOTE 16 A'!I27</f>
        <v>0</v>
      </c>
      <c r="J27" s="1114">
        <f>'[1]NOTE 16 A'!J27</f>
        <v>0</v>
      </c>
      <c r="K27" s="559">
        <f t="shared" si="2"/>
        <v>0</v>
      </c>
      <c r="L27" s="559">
        <f t="shared" si="3"/>
        <v>1</v>
      </c>
      <c r="M27" s="559">
        <f t="shared" si="4"/>
        <v>0</v>
      </c>
      <c r="N27" s="559">
        <f t="shared" si="5"/>
        <v>1</v>
      </c>
    </row>
    <row r="28" spans="2:14" s="559" customFormat="1" ht="19.149999999999999" customHeight="1">
      <c r="B28" s="1115" t="str">
        <f>IF([1]ACCUEIL!B1=1,"TOTAL ACQUISITION RENTAL DEBTS","TOTAL DETTES DE LOCATION ACQUISITION")</f>
        <v>TOTAL DETTES DE LOCATION ACQUISITION</v>
      </c>
      <c r="C28" s="1116"/>
      <c r="D28" s="210">
        <f>SUM(D23:D27)</f>
        <v>0</v>
      </c>
      <c r="E28" s="210">
        <f>SUM(E23:E27)</f>
        <v>0</v>
      </c>
      <c r="F28" s="1117">
        <f>D28-E28</f>
        <v>0</v>
      </c>
      <c r="G28" s="1118">
        <f t="shared" si="1"/>
        <v>0</v>
      </c>
      <c r="H28" s="1114">
        <f>'[1]NOTE 16 A'!H28</f>
        <v>0</v>
      </c>
      <c r="I28" s="1114">
        <f>'[1]NOTE 16 A'!I28</f>
        <v>0</v>
      </c>
      <c r="J28" s="1114">
        <f>'[1]NOTE 16 A'!J28</f>
        <v>0</v>
      </c>
      <c r="K28" s="559">
        <f t="shared" si="2"/>
        <v>0</v>
      </c>
      <c r="L28" s="559">
        <f t="shared" si="3"/>
        <v>1</v>
      </c>
      <c r="M28" s="559">
        <f t="shared" si="4"/>
        <v>0</v>
      </c>
      <c r="N28" s="559">
        <f t="shared" si="5"/>
        <v>1</v>
      </c>
    </row>
    <row r="29" spans="2:14" s="559" customFormat="1" ht="19.149999999999999" customHeight="1">
      <c r="B29" s="1110" t="str">
        <f>IF([1]ACCUEIL!B1=1,"Provisions for litigation","Provisions  pour litiges")</f>
        <v>Provisions  pour litiges</v>
      </c>
      <c r="C29" s="1111"/>
      <c r="D29" s="216">
        <f>'[1]CLASSE 1'!J237</f>
        <v>0</v>
      </c>
      <c r="E29" s="216">
        <f>'[1]CLASSE 1'!F237</f>
        <v>0</v>
      </c>
      <c r="F29" s="1112">
        <f>D29-E29</f>
        <v>0</v>
      </c>
      <c r="G29" s="1113">
        <f>IF(K29=0,0,N29)</f>
        <v>0</v>
      </c>
      <c r="H29" s="1114">
        <f>'[1]NOTE 16 A'!H29</f>
        <v>0</v>
      </c>
      <c r="I29" s="1114">
        <f>'[1]NOTE 16 A'!I29</f>
        <v>0</v>
      </c>
      <c r="J29" s="1114">
        <f>'[1]NOTE 16 A'!J29</f>
        <v>0</v>
      </c>
      <c r="K29" s="559">
        <f>D29-E29</f>
        <v>0</v>
      </c>
      <c r="L29" s="559">
        <f t="shared" si="3"/>
        <v>1</v>
      </c>
      <c r="M29" s="559">
        <f t="shared" si="4"/>
        <v>0</v>
      </c>
      <c r="N29" s="559">
        <f t="shared" si="5"/>
        <v>1</v>
      </c>
    </row>
    <row r="30" spans="2:14" s="559" customFormat="1" ht="19.149999999999999" customHeight="1">
      <c r="B30" s="1110" t="str">
        <f>IF([1]ACCUEIL!B1=1,"Provisions for guarantees given to customers","Povisions pour garatie donné aux clients")</f>
        <v>Povisions pour garatie donné aux clients</v>
      </c>
      <c r="C30" s="1111"/>
      <c r="D30" s="216">
        <f>'[1]CLASSE 1'!J238</f>
        <v>0</v>
      </c>
      <c r="E30" s="216">
        <f>'[1]CLASSE 1'!F238</f>
        <v>0</v>
      </c>
      <c r="F30" s="1112">
        <f t="shared" ref="F30:F41" si="6">D30-E30</f>
        <v>0</v>
      </c>
      <c r="G30" s="1113">
        <f t="shared" si="1"/>
        <v>0</v>
      </c>
      <c r="H30" s="1114">
        <f>'[1]NOTE 16 A'!H30</f>
        <v>0</v>
      </c>
      <c r="I30" s="1114">
        <f>'[1]NOTE 16 A'!I30</f>
        <v>0</v>
      </c>
      <c r="J30" s="1114">
        <f>'[1]NOTE 16 A'!J30</f>
        <v>0</v>
      </c>
      <c r="K30" s="559">
        <f t="shared" si="2"/>
        <v>0</v>
      </c>
      <c r="L30" s="559">
        <f t="shared" si="3"/>
        <v>1</v>
      </c>
      <c r="M30" s="559">
        <f t="shared" si="4"/>
        <v>0</v>
      </c>
      <c r="N30" s="559">
        <f t="shared" si="5"/>
        <v>1</v>
      </c>
    </row>
    <row r="31" spans="2:14" s="559" customFormat="1" ht="19.149999999999999" customHeight="1">
      <c r="B31" s="1110" t="str">
        <f>IF([1]ACCUEIL!B1=1,"Provisions for market loss at future completion","Provisions pour perte sur marché à achèvement futur")</f>
        <v>Provisions pour perte sur marché à achèvement futur</v>
      </c>
      <c r="C31" s="1111"/>
      <c r="D31" s="216">
        <f>'[1]CLASSE 1'!J239</f>
        <v>0</v>
      </c>
      <c r="E31" s="216">
        <f>'[1]CLASSE 1'!F239</f>
        <v>0</v>
      </c>
      <c r="F31" s="1112">
        <f t="shared" si="6"/>
        <v>0</v>
      </c>
      <c r="G31" s="1113">
        <f t="shared" si="1"/>
        <v>0</v>
      </c>
      <c r="H31" s="1114">
        <f>'[1]NOTE 16 A'!H31</f>
        <v>0</v>
      </c>
      <c r="I31" s="1114">
        <f>'[1]NOTE 16 A'!I31</f>
        <v>0</v>
      </c>
      <c r="J31" s="1114">
        <f>'[1]NOTE 16 A'!J31</f>
        <v>0</v>
      </c>
      <c r="K31" s="559">
        <f t="shared" si="2"/>
        <v>0</v>
      </c>
      <c r="L31" s="559">
        <f t="shared" si="3"/>
        <v>1</v>
      </c>
      <c r="M31" s="559">
        <f t="shared" si="4"/>
        <v>0</v>
      </c>
      <c r="N31" s="559">
        <f t="shared" si="5"/>
        <v>1</v>
      </c>
    </row>
    <row r="32" spans="2:14" s="559" customFormat="1" ht="19.149999999999999" customHeight="1">
      <c r="B32" s="1110" t="str">
        <f>IF([1]ACCUEIL!B1=1,"Provisions for exchange losses","Provisions pour pertes de change")</f>
        <v>Provisions pour pertes de change</v>
      </c>
      <c r="C32" s="1111"/>
      <c r="D32" s="216">
        <f>'[1]CLASSE 1'!J240</f>
        <v>0</v>
      </c>
      <c r="E32" s="216">
        <f>'[1]CLASSE 1'!F240</f>
        <v>0</v>
      </c>
      <c r="F32" s="1112">
        <f t="shared" si="6"/>
        <v>0</v>
      </c>
      <c r="G32" s="1113">
        <f t="shared" si="1"/>
        <v>0</v>
      </c>
      <c r="H32" s="1114">
        <f>'[1]NOTE 16 A'!H32</f>
        <v>0</v>
      </c>
      <c r="I32" s="1114">
        <f>'[1]NOTE 16 A'!I32</f>
        <v>0</v>
      </c>
      <c r="J32" s="1114">
        <f>'[1]NOTE 16 A'!J32</f>
        <v>0</v>
      </c>
      <c r="K32" s="559">
        <f t="shared" si="2"/>
        <v>0</v>
      </c>
      <c r="L32" s="559">
        <f t="shared" si="3"/>
        <v>1</v>
      </c>
      <c r="M32" s="559">
        <f t="shared" si="4"/>
        <v>0</v>
      </c>
      <c r="N32" s="559">
        <f t="shared" si="5"/>
        <v>1</v>
      </c>
    </row>
    <row r="33" spans="2:14" s="559" customFormat="1" ht="19.149999999999999" customHeight="1">
      <c r="B33" s="1110" t="str">
        <f>IF([1]ACCUEIL!B1=1,"Provisions for taxes","Provisions pour impots")</f>
        <v>Provisions pour impots</v>
      </c>
      <c r="C33" s="1111"/>
      <c r="D33" s="216">
        <f>'[1]CLASSE 1'!J241</f>
        <v>0</v>
      </c>
      <c r="E33" s="216">
        <f>'[1]CLASSE 1'!F241</f>
        <v>0</v>
      </c>
      <c r="F33" s="1112">
        <f t="shared" si="6"/>
        <v>0</v>
      </c>
      <c r="G33" s="1113">
        <f t="shared" si="1"/>
        <v>0</v>
      </c>
      <c r="H33" s="1114">
        <f>'[1]NOTE 16 A'!H33</f>
        <v>0</v>
      </c>
      <c r="I33" s="1114">
        <f>'[1]NOTE 16 A'!I33</f>
        <v>0</v>
      </c>
      <c r="J33" s="1114">
        <f>'[1]NOTE 16 A'!J33</f>
        <v>0</v>
      </c>
      <c r="K33" s="559">
        <f t="shared" si="2"/>
        <v>0</v>
      </c>
      <c r="L33" s="559">
        <f t="shared" si="3"/>
        <v>1</v>
      </c>
      <c r="M33" s="559">
        <f t="shared" si="4"/>
        <v>0</v>
      </c>
      <c r="N33" s="559">
        <f t="shared" si="5"/>
        <v>1</v>
      </c>
    </row>
    <row r="34" spans="2:14" s="559" customFormat="1" ht="19.149999999999999" customHeight="1">
      <c r="B34" s="1110" t="str">
        <f>IF([1]ACCUEIL!B1=1,"Provisions for pensions and similar obligations","Provisions pour pensions et obligations assimilées")</f>
        <v>Provisions pour pensions et obligations assimilées</v>
      </c>
      <c r="C34" s="1111"/>
      <c r="D34" s="216">
        <f>'[1]CLASSE 1'!J243</f>
        <v>0</v>
      </c>
      <c r="E34" s="216">
        <f>'[1]CLASSE 1'!F247</f>
        <v>0</v>
      </c>
      <c r="F34" s="1112">
        <f t="shared" si="6"/>
        <v>0</v>
      </c>
      <c r="G34" s="1113">
        <f t="shared" si="1"/>
        <v>0</v>
      </c>
      <c r="H34" s="1114">
        <f>'[1]NOTE 16 A'!H34</f>
        <v>0</v>
      </c>
      <c r="I34" s="1114">
        <f>'[1]NOTE 16 A'!I34</f>
        <v>0</v>
      </c>
      <c r="J34" s="1114">
        <f>'[1]NOTE 16 A'!J34</f>
        <v>0</v>
      </c>
      <c r="K34" s="559">
        <f t="shared" si="2"/>
        <v>0</v>
      </c>
      <c r="L34" s="559">
        <f t="shared" si="3"/>
        <v>1</v>
      </c>
      <c r="M34" s="559">
        <f t="shared" si="4"/>
        <v>0</v>
      </c>
      <c r="N34" s="559">
        <f t="shared" si="5"/>
        <v>1</v>
      </c>
    </row>
    <row r="35" spans="2:14" s="559" customFormat="1" ht="19.149999999999999" customHeight="1">
      <c r="B35" s="1110" t="str">
        <f>IF([1]ACCUEIL!B1=1,"Pension plan assets","Actif du régime de retraite")</f>
        <v>Actif du régime de retraite</v>
      </c>
      <c r="C35" s="1111"/>
      <c r="D35" s="216">
        <f>'[1]CLASSE 1'!J245</f>
        <v>0</v>
      </c>
      <c r="E35" s="216">
        <f>'[1]CLASSE 1'!F245</f>
        <v>0</v>
      </c>
      <c r="F35" s="1112">
        <f t="shared" si="6"/>
        <v>0</v>
      </c>
      <c r="G35" s="1113">
        <f t="shared" si="1"/>
        <v>0</v>
      </c>
      <c r="H35" s="1114">
        <f>'[1]NOTE 16 A'!H35</f>
        <v>0</v>
      </c>
      <c r="I35" s="1114">
        <f>'[1]NOTE 16 A'!I35</f>
        <v>0</v>
      </c>
      <c r="J35" s="1114">
        <f>'[1]NOTE 16 A'!J35</f>
        <v>0</v>
      </c>
      <c r="K35" s="559">
        <f t="shared" si="2"/>
        <v>0</v>
      </c>
      <c r="L35" s="559">
        <f t="shared" si="3"/>
        <v>1</v>
      </c>
      <c r="M35" s="559">
        <f t="shared" si="4"/>
        <v>0</v>
      </c>
      <c r="N35" s="559">
        <f t="shared" si="5"/>
        <v>1</v>
      </c>
    </row>
    <row r="36" spans="2:14" s="559" customFormat="1" ht="19.149999999999999" customHeight="1">
      <c r="B36" s="1110" t="str">
        <f>IF([1]ACCUEIL!B1=1,"Restructuring provisions","Provisions pour restructuration")</f>
        <v>Provisions pour restructuration</v>
      </c>
      <c r="C36" s="1111"/>
      <c r="D36" s="216">
        <f>'[1]CLASSE 1'!J248</f>
        <v>0</v>
      </c>
      <c r="E36" s="216">
        <f>'[1]CLASSE 1'!F248</f>
        <v>0</v>
      </c>
      <c r="F36" s="1112">
        <f t="shared" si="6"/>
        <v>0</v>
      </c>
      <c r="G36" s="1113">
        <f t="shared" si="1"/>
        <v>0</v>
      </c>
      <c r="H36" s="1114">
        <f>'[1]NOTE 16 A'!H36</f>
        <v>0</v>
      </c>
      <c r="I36" s="1114">
        <f>'[1]NOTE 16 A'!I36</f>
        <v>0</v>
      </c>
      <c r="J36" s="1114">
        <f>'[1]NOTE 16 A'!J36</f>
        <v>0</v>
      </c>
      <c r="K36" s="559">
        <f t="shared" si="2"/>
        <v>0</v>
      </c>
      <c r="L36" s="559">
        <f t="shared" si="3"/>
        <v>1</v>
      </c>
      <c r="M36" s="559">
        <f t="shared" si="4"/>
        <v>0</v>
      </c>
      <c r="N36" s="559">
        <f t="shared" si="5"/>
        <v>1</v>
      </c>
    </row>
    <row r="37" spans="2:14" s="559" customFormat="1" ht="19.149999999999999" customHeight="1">
      <c r="B37" s="1110" t="str">
        <f>IF([1]ACCUEIL!B1=1,"Provisions for fines and penalties","Provisions pour amendes et pénalités")</f>
        <v>Provisions pour amendes et pénalités</v>
      </c>
      <c r="C37" s="1111"/>
      <c r="D37" s="216">
        <f>'[1]CLASSE 1'!J250</f>
        <v>0</v>
      </c>
      <c r="E37" s="216">
        <f>'[1]CLASSE 1'!F250</f>
        <v>0</v>
      </c>
      <c r="F37" s="1112">
        <f t="shared" si="6"/>
        <v>0</v>
      </c>
      <c r="G37" s="1113">
        <f t="shared" si="1"/>
        <v>0</v>
      </c>
      <c r="H37" s="1114">
        <f>'[1]NOTE 16 A'!H37</f>
        <v>0</v>
      </c>
      <c r="I37" s="1114">
        <f>'[1]NOTE 16 A'!I37</f>
        <v>0</v>
      </c>
      <c r="J37" s="1114">
        <f>'[1]NOTE 16 A'!J37</f>
        <v>0</v>
      </c>
      <c r="K37" s="559">
        <f t="shared" si="2"/>
        <v>0</v>
      </c>
      <c r="L37" s="559">
        <f t="shared" si="3"/>
        <v>1</v>
      </c>
      <c r="M37" s="559">
        <f t="shared" si="4"/>
        <v>0</v>
      </c>
      <c r="N37" s="559">
        <f t="shared" si="5"/>
        <v>1</v>
      </c>
    </row>
    <row r="38" spans="2:14" s="559" customFormat="1" ht="19.149999999999999" customHeight="1">
      <c r="B38" s="1110" t="str">
        <f>IF([1]ACCUEIL!B1=1,"Own insurer's provisions","Provisions de propre assureur")</f>
        <v>Provisions de propre assureur</v>
      </c>
      <c r="C38" s="1111"/>
      <c r="D38" s="216">
        <f>'[1]CLASSE 1'!J252</f>
        <v>0</v>
      </c>
      <c r="E38" s="216">
        <f>'[1]CLASSE 1'!F252</f>
        <v>0</v>
      </c>
      <c r="F38" s="1112">
        <f t="shared" si="6"/>
        <v>0</v>
      </c>
      <c r="G38" s="1113">
        <f t="shared" si="1"/>
        <v>0</v>
      </c>
      <c r="H38" s="1114">
        <f>'[1]NOTE 16 A'!H38</f>
        <v>0</v>
      </c>
      <c r="I38" s="1114">
        <f>'[1]NOTE 16 A'!I38</f>
        <v>0</v>
      </c>
      <c r="J38" s="1114">
        <f>'[1]NOTE 16 A'!J38</f>
        <v>0</v>
      </c>
      <c r="K38" s="559">
        <f t="shared" si="2"/>
        <v>0</v>
      </c>
      <c r="L38" s="559">
        <f t="shared" si="3"/>
        <v>1</v>
      </c>
      <c r="M38" s="559">
        <f t="shared" si="4"/>
        <v>0</v>
      </c>
      <c r="N38" s="559">
        <f t="shared" si="5"/>
        <v>1</v>
      </c>
    </row>
    <row r="39" spans="2:14" s="559" customFormat="1" ht="19.149999999999999" customHeight="1">
      <c r="B39" s="1110" t="str">
        <f>IF([1]ACCUEIL!B1=1,"Provisions for dismantling and restoration","Provisions pour démantelement et rémise en état")</f>
        <v>Provisions pour démantelement et rémise en état</v>
      </c>
      <c r="C39" s="1111"/>
      <c r="D39" s="216">
        <f>'[1]CLASSE 1'!J254</f>
        <v>0</v>
      </c>
      <c r="E39" s="216">
        <f>'[1]CLASSE 1'!F254</f>
        <v>0</v>
      </c>
      <c r="F39" s="1112">
        <f>D39-E39</f>
        <v>0</v>
      </c>
      <c r="G39" s="1113">
        <f t="shared" si="1"/>
        <v>0</v>
      </c>
      <c r="H39" s="1114">
        <f>'[1]NOTE 16 A'!H39</f>
        <v>0</v>
      </c>
      <c r="I39" s="1114">
        <f>'[1]NOTE 16 A'!I39</f>
        <v>0</v>
      </c>
      <c r="J39" s="1114">
        <f>'[1]NOTE 16 A'!J39</f>
        <v>0</v>
      </c>
      <c r="K39" s="559">
        <f t="shared" si="2"/>
        <v>0</v>
      </c>
      <c r="L39" s="559">
        <f t="shared" si="3"/>
        <v>1</v>
      </c>
      <c r="M39" s="559">
        <f t="shared" si="4"/>
        <v>0</v>
      </c>
      <c r="N39" s="559">
        <f t="shared" si="5"/>
        <v>1</v>
      </c>
    </row>
    <row r="40" spans="2:14" s="559" customFormat="1" ht="19.149999999999999" customHeight="1">
      <c r="B40" s="1110" t="str">
        <f>IF([1]ACCUEIL!B1=1,"Deduction right provisions","Provisions de droits à déduction")</f>
        <v>Provisions de droits à déduction</v>
      </c>
      <c r="C40" s="1111"/>
      <c r="D40" s="216">
        <f>'[1]CLASSE 1'!J256</f>
        <v>0</v>
      </c>
      <c r="E40" s="216">
        <f>'[1]CLASSE 1'!F256</f>
        <v>0</v>
      </c>
      <c r="F40" s="1112">
        <f t="shared" si="6"/>
        <v>0</v>
      </c>
      <c r="G40" s="1113">
        <f t="shared" si="1"/>
        <v>0</v>
      </c>
      <c r="H40" s="1114">
        <f>'[1]NOTE 16 A'!H40</f>
        <v>0</v>
      </c>
      <c r="I40" s="1114">
        <f>'[1]NOTE 16 A'!I40</f>
        <v>0</v>
      </c>
      <c r="J40" s="1114">
        <f>'[1]NOTE 16 A'!J40</f>
        <v>0</v>
      </c>
      <c r="K40" s="559">
        <f t="shared" si="2"/>
        <v>0</v>
      </c>
      <c r="L40" s="559">
        <f t="shared" si="3"/>
        <v>1</v>
      </c>
      <c r="M40" s="559">
        <f t="shared" si="4"/>
        <v>0</v>
      </c>
      <c r="N40" s="559">
        <f t="shared" si="5"/>
        <v>1</v>
      </c>
    </row>
    <row r="41" spans="2:14" s="559" customFormat="1" ht="19.149999999999999" customHeight="1">
      <c r="B41" s="1110" t="str">
        <f>IF([1]ACCUEIL!B1=1,"Other provisions","Autres provisions")</f>
        <v>Autres provisions</v>
      </c>
      <c r="C41" s="1111"/>
      <c r="D41" s="216">
        <f>'[1]CLASSE 1'!J258</f>
        <v>0</v>
      </c>
      <c r="E41" s="216">
        <f>'[1]CLASSE 1'!F258</f>
        <v>0</v>
      </c>
      <c r="F41" s="1112">
        <f t="shared" si="6"/>
        <v>0</v>
      </c>
      <c r="G41" s="1113">
        <f t="shared" si="1"/>
        <v>0</v>
      </c>
      <c r="H41" s="1114">
        <f>'[1]NOTE 16 A'!H41</f>
        <v>0</v>
      </c>
      <c r="I41" s="1114">
        <f>'[1]NOTE 16 A'!I41</f>
        <v>0</v>
      </c>
      <c r="J41" s="1114">
        <f>'[1]NOTE 16 A'!J41</f>
        <v>0</v>
      </c>
      <c r="K41" s="559">
        <f t="shared" si="2"/>
        <v>0</v>
      </c>
      <c r="L41" s="559">
        <f t="shared" si="3"/>
        <v>1</v>
      </c>
      <c r="M41" s="559">
        <f t="shared" si="4"/>
        <v>0</v>
      </c>
      <c r="N41" s="559">
        <f t="shared" si="5"/>
        <v>1</v>
      </c>
    </row>
    <row r="42" spans="2:14" s="559" customFormat="1" ht="19.149999999999999" customHeight="1">
      <c r="B42" s="1115" t="str">
        <f>IF([1]ACCUEIL!B1=1,"TOTAL PROVISIONS FOR RISKS AND CHARGES","TOTAL PROVISIONS POUR RISQUES ET CHARGES")</f>
        <v>TOTAL PROVISIONS POUR RISQUES ET CHARGES</v>
      </c>
      <c r="C42" s="1116"/>
      <c r="D42" s="210">
        <f>SUM(D29:D41)</f>
        <v>0</v>
      </c>
      <c r="E42" s="210">
        <f>SUM(E29:E41)</f>
        <v>0</v>
      </c>
      <c r="F42" s="1117">
        <f>D42-E42</f>
        <v>0</v>
      </c>
      <c r="G42" s="1118">
        <f>IF(K42=0,0,N42)</f>
        <v>0</v>
      </c>
      <c r="H42" s="1114">
        <f>'[1]NOTE 16 A'!H42</f>
        <v>0</v>
      </c>
      <c r="I42" s="1114">
        <f>'[1]NOTE 16 A'!I42</f>
        <v>0</v>
      </c>
      <c r="J42" s="1114">
        <f>'[1]NOTE 16 A'!J42</f>
        <v>0</v>
      </c>
      <c r="K42" s="559">
        <f t="shared" si="2"/>
        <v>0</v>
      </c>
      <c r="L42" s="559">
        <f t="shared" si="3"/>
        <v>1</v>
      </c>
      <c r="M42" s="559">
        <f t="shared" si="4"/>
        <v>0</v>
      </c>
      <c r="N42" s="559">
        <f t="shared" si="5"/>
        <v>1</v>
      </c>
    </row>
    <row r="43" spans="2:14">
      <c r="B43" s="118"/>
      <c r="C43" s="118"/>
      <c r="D43" s="118"/>
      <c r="E43" s="118"/>
      <c r="F43" s="118"/>
      <c r="G43" s="118"/>
      <c r="H43" s="118"/>
      <c r="I43" s="118"/>
      <c r="J43" s="118"/>
    </row>
    <row r="44" spans="2:14">
      <c r="B44" s="1108" t="str">
        <f>'NOTE 15 B'!B20</f>
        <v>COMMENTAIRE</v>
      </c>
      <c r="C44" s="1733">
        <f>'[1]NOTE 16 A'!C44:J44</f>
        <v>0</v>
      </c>
      <c r="D44" s="1733"/>
      <c r="E44" s="1733"/>
      <c r="F44" s="1733"/>
      <c r="G44" s="1733"/>
      <c r="H44" s="1733"/>
      <c r="I44" s="1733"/>
      <c r="J44" s="1733"/>
    </row>
    <row r="45" spans="2:14">
      <c r="B45" s="118"/>
      <c r="C45" s="1733">
        <f>'[1]NOTE 16 A'!C45:J45</f>
        <v>0</v>
      </c>
      <c r="D45" s="1733"/>
      <c r="E45" s="1733"/>
      <c r="F45" s="1733"/>
      <c r="G45" s="1733"/>
      <c r="H45" s="1733"/>
      <c r="I45" s="1733"/>
      <c r="J45" s="1733"/>
    </row>
    <row r="46" spans="2:14">
      <c r="B46" s="118"/>
      <c r="C46" s="1733">
        <f>'[1]NOTE 16 A'!C46:J46</f>
        <v>0</v>
      </c>
      <c r="D46" s="1733"/>
      <c r="E46" s="1733"/>
      <c r="F46" s="1733"/>
      <c r="G46" s="1733"/>
      <c r="H46" s="1733"/>
      <c r="I46" s="1733"/>
      <c r="J46" s="1733"/>
    </row>
    <row r="47" spans="2:14">
      <c r="B47" s="118"/>
      <c r="C47" s="1733">
        <f>'[1]NOTE 16 A'!C47:J47</f>
        <v>0</v>
      </c>
      <c r="D47" s="1733"/>
      <c r="E47" s="1733"/>
      <c r="F47" s="1733"/>
      <c r="G47" s="1733"/>
      <c r="H47" s="1733"/>
      <c r="I47" s="1733"/>
      <c r="J47" s="1733"/>
    </row>
    <row r="48" spans="2:14">
      <c r="B48" s="118"/>
      <c r="C48" s="1733">
        <f>'[1]NOTE 16 A'!C48:J48</f>
        <v>0</v>
      </c>
      <c r="D48" s="1733"/>
      <c r="E48" s="1733"/>
      <c r="F48" s="1733"/>
      <c r="G48" s="1733"/>
      <c r="H48" s="1733"/>
      <c r="I48" s="1733"/>
      <c r="J48" s="1733"/>
    </row>
    <row r="49" spans="2:10">
      <c r="B49" s="118"/>
      <c r="C49" s="1733">
        <f>'[1]NOTE 16 A'!C49:J49</f>
        <v>0</v>
      </c>
      <c r="D49" s="1733"/>
      <c r="E49" s="1733"/>
      <c r="F49" s="1733"/>
      <c r="G49" s="1733"/>
      <c r="H49" s="1733"/>
      <c r="I49" s="1733"/>
      <c r="J49" s="1733"/>
    </row>
    <row r="50" spans="2:10">
      <c r="B50" s="118"/>
      <c r="C50" s="1733">
        <f>'[1]NOTE 16 A'!C50:J50</f>
        <v>0</v>
      </c>
      <c r="D50" s="1733"/>
      <c r="E50" s="1733"/>
      <c r="F50" s="1733"/>
      <c r="G50" s="1733"/>
      <c r="H50" s="1733"/>
      <c r="I50" s="1733"/>
      <c r="J50" s="1733"/>
    </row>
    <row r="51" spans="2:10">
      <c r="C51" s="1733">
        <f>'[1]NOTE 16 A'!C51:J51</f>
        <v>0</v>
      </c>
      <c r="D51" s="1733"/>
      <c r="E51" s="1733"/>
      <c r="F51" s="1733"/>
      <c r="G51" s="1733"/>
      <c r="H51" s="1733"/>
      <c r="I51" s="1733"/>
      <c r="J51" s="1733"/>
    </row>
    <row r="52" spans="2:10">
      <c r="C52" s="1733">
        <f>'[1]NOTE 16 A'!C52:J52</f>
        <v>0</v>
      </c>
      <c r="D52" s="1733"/>
      <c r="E52" s="1733"/>
      <c r="F52" s="1733"/>
      <c r="G52" s="1733"/>
      <c r="H52" s="1733"/>
      <c r="I52" s="1733"/>
      <c r="J52" s="1733"/>
    </row>
    <row r="53" spans="2:10">
      <c r="C53" s="1733">
        <f>'[1]NOTE 16 A'!C53:J53</f>
        <v>0</v>
      </c>
      <c r="D53" s="1733"/>
      <c r="E53" s="1733"/>
      <c r="F53" s="1733"/>
      <c r="G53" s="1733"/>
      <c r="H53" s="1733"/>
      <c r="I53" s="1733"/>
      <c r="J53" s="1733"/>
    </row>
  </sheetData>
  <sheetProtection selectLockedCells="1"/>
  <mergeCells count="22">
    <mergeCell ref="C53:J53"/>
    <mergeCell ref="I10:I11"/>
    <mergeCell ref="J10:J11"/>
    <mergeCell ref="C44:J44"/>
    <mergeCell ref="C45:J45"/>
    <mergeCell ref="C46:J46"/>
    <mergeCell ref="C47:J47"/>
    <mergeCell ref="C48:J48"/>
    <mergeCell ref="C49:J49"/>
    <mergeCell ref="C50:J50"/>
    <mergeCell ref="C51:J51"/>
    <mergeCell ref="C52:J52"/>
    <mergeCell ref="B1:J1"/>
    <mergeCell ref="I2:J3"/>
    <mergeCell ref="F7:G7"/>
    <mergeCell ref="B9:J9"/>
    <mergeCell ref="B10:C11"/>
    <mergeCell ref="D10:D11"/>
    <mergeCell ref="E10:E11"/>
    <mergeCell ref="F10:F11"/>
    <mergeCell ref="G10:G11"/>
    <mergeCell ref="H10:H11"/>
  </mergeCells>
  <conditionalFormatting sqref="I6 E5:F5 D6">
    <cfRule type="expression" dxfId="21" priority="1">
      <formula>#REF!=1</formula>
    </cfRule>
  </conditionalFormatting>
  <printOptions horizontalCentered="1"/>
  <pageMargins left="0.70866141732283472" right="0" top="0.74803149606299213" bottom="0" header="0.31496062992125984" footer="0.31496062992125984"/>
  <pageSetup paperSize="9" scale="54" orientation="landscape" r:id="rId1"/>
  <headerFooter>
    <oddHeader>&amp;C&amp;"-,Gras"&amp;14Page &amp;P / &amp;N</oddHead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Feuil39">
    <pageSetUpPr fitToPage="1"/>
  </sheetPr>
  <dimension ref="B1:J46"/>
  <sheetViews>
    <sheetView showZeros="0" topLeftCell="A13" zoomScaleNormal="100" zoomScaleSheetLayoutView="100" workbookViewId="0">
      <selection activeCell="C36" sqref="C36:I36"/>
    </sheetView>
  </sheetViews>
  <sheetFormatPr baseColWidth="10" defaultColWidth="11.42578125" defaultRowHeight="15"/>
  <cols>
    <col min="1" max="1" width="6.42578125" style="2" customWidth="1"/>
    <col min="2" max="2" width="24.5703125" style="2" customWidth="1"/>
    <col min="3" max="3" width="19.140625" style="2" customWidth="1"/>
    <col min="4" max="4" width="11.28515625" style="2" customWidth="1"/>
    <col min="5" max="5" width="19.42578125" style="2" customWidth="1"/>
    <col min="6" max="6" width="23.7109375" style="2" customWidth="1"/>
    <col min="7" max="7" width="22.28515625" style="2" customWidth="1"/>
    <col min="8" max="8" width="21.85546875" style="2" bestFit="1" customWidth="1"/>
    <col min="9" max="9" width="14" style="2" customWidth="1"/>
    <col min="10" max="16384" width="11.42578125" style="2"/>
  </cols>
  <sheetData>
    <row r="1" spans="2:10">
      <c r="B1" s="716"/>
      <c r="C1" s="716"/>
      <c r="D1" s="716"/>
      <c r="E1" s="716"/>
      <c r="F1" s="716"/>
      <c r="G1" s="716"/>
      <c r="H1" s="716"/>
    </row>
    <row r="2" spans="2:10">
      <c r="B2" s="144"/>
      <c r="C2" s="144"/>
      <c r="D2" s="144"/>
      <c r="E2" s="144"/>
      <c r="F2" s="144"/>
      <c r="G2" s="144"/>
      <c r="H2" s="1650" t="str">
        <f>IF([1]ACCUEIL!B1=1,"NOTE 16 B
NORMAL SYSTEM","NOTE 16 B
SYSTEME NORMAL")</f>
        <v>NOTE 16 B
SYSTEME NORMAL</v>
      </c>
      <c r="I2" s="1651"/>
    </row>
    <row r="3" spans="2:10">
      <c r="B3" s="43"/>
      <c r="C3" s="43"/>
      <c r="D3" s="43"/>
      <c r="E3" s="43"/>
      <c r="F3" s="43"/>
      <c r="G3" s="43"/>
      <c r="H3" s="1652"/>
      <c r="I3" s="1653"/>
    </row>
    <row r="4" spans="2:10">
      <c r="B4" s="43" t="str">
        <f>'NOTE 14'!B6</f>
        <v>Désignation entité:</v>
      </c>
      <c r="C4" s="650" t="str">
        <f>'NOTE 16 A'!C4</f>
        <v/>
      </c>
      <c r="D4" s="43"/>
      <c r="E4" s="144"/>
      <c r="F4" s="144"/>
      <c r="G4" s="144"/>
      <c r="H4" s="144"/>
    </row>
    <row r="5" spans="2:10">
      <c r="B5" s="43" t="str">
        <f>'NOTE 14'!B7</f>
        <v>Sigle usuel :</v>
      </c>
      <c r="C5" s="404" t="str">
        <f>'NOTE 16 A'!C5</f>
        <v/>
      </c>
      <c r="D5" s="175"/>
      <c r="E5" s="404"/>
      <c r="F5" s="404"/>
      <c r="G5" s="404"/>
      <c r="H5" s="404"/>
      <c r="I5" s="404"/>
    </row>
    <row r="6" spans="2:10">
      <c r="B6" s="43" t="str">
        <f>'NOTE 14'!B8</f>
        <v>Adresse:</v>
      </c>
      <c r="C6" s="1922">
        <f>'NOTE 16 A'!C6</f>
        <v>0</v>
      </c>
      <c r="D6" s="1923"/>
      <c r="E6" s="1923"/>
      <c r="F6" s="1923"/>
      <c r="G6" s="175"/>
      <c r="H6" s="717" t="str">
        <f>'NOTE 16 A'!I6</f>
        <v>BP:</v>
      </c>
      <c r="I6" s="319" t="str">
        <f>'NOTE 16 A'!J6</f>
        <v/>
      </c>
    </row>
    <row r="7" spans="2:10">
      <c r="B7" s="43" t="str">
        <f>'NOTE 14'!B9</f>
        <v>Numéro d'identification:</v>
      </c>
      <c r="C7" s="402" t="str">
        <f>'NOTE 16 A'!C7</f>
        <v/>
      </c>
      <c r="D7" s="175"/>
      <c r="E7" s="402"/>
      <c r="F7" s="481" t="str">
        <f>'NOTE 16 A'!F7:G7</f>
        <v xml:space="preserve">   Exercice clos le 31 - 12- </v>
      </c>
      <c r="G7" s="313">
        <f>'NOTE 16 A'!H7</f>
        <v>2025</v>
      </c>
      <c r="H7" s="317" t="str">
        <f>'NOTE 16 A'!I7</f>
        <v xml:space="preserve">    Durée (en mois):</v>
      </c>
      <c r="I7" s="512">
        <f>'NOTE 16 A'!J7</f>
        <v>12</v>
      </c>
    </row>
    <row r="8" spans="2:10">
      <c r="B8" s="144"/>
      <c r="C8" s="144"/>
      <c r="D8" s="144"/>
      <c r="E8" s="144"/>
      <c r="F8" s="43"/>
      <c r="G8" s="43"/>
      <c r="H8" s="144"/>
    </row>
    <row r="9" spans="2:10">
      <c r="B9" s="1617" t="str">
        <f>IF([1]ACCUEIL!B1=1,"NOTE 16 B RETIREMENT COMMITMENT AND SIMILAR BENEFITS ACTUARIAL ASSUMPTIONS","NOTE 16 B ENGAGEMENT DE RETRAITE ET AVANTAGES ASSIMILES HYPOTHESES ACTUARIELLES")</f>
        <v>NOTE 16 B ENGAGEMENT DE RETRAITE ET AVANTAGES ASSIMILES HYPOTHESES ACTUARIELLES</v>
      </c>
      <c r="C9" s="1617"/>
      <c r="D9" s="1617"/>
      <c r="E9" s="1617"/>
      <c r="F9" s="1617"/>
      <c r="G9" s="1617"/>
      <c r="H9" s="1617"/>
    </row>
    <row r="10" spans="2:10">
      <c r="B10" s="43"/>
      <c r="C10" s="43"/>
      <c r="D10" s="43"/>
      <c r="E10" s="43"/>
      <c r="F10" s="43"/>
      <c r="G10" s="43"/>
      <c r="H10" s="43"/>
      <c r="I10" s="43"/>
      <c r="J10" s="43"/>
    </row>
    <row r="11" spans="2:10">
      <c r="B11" s="718" t="str">
        <f>'NOTE 16 A'!B10</f>
        <v xml:space="preserve">      RUBRIQUES</v>
      </c>
      <c r="C11" s="719"/>
      <c r="D11" s="719"/>
      <c r="E11" s="720"/>
      <c r="F11" s="721" t="str">
        <f>'NOTE 16 A'!D10</f>
        <v>Année 2025</v>
      </c>
      <c r="G11" s="721" t="str">
        <f>'NOTE 16 A'!E10</f>
        <v>Année 2024</v>
      </c>
      <c r="H11" s="274"/>
      <c r="I11" s="274"/>
    </row>
    <row r="12" spans="2:10">
      <c r="B12" s="722" t="str">
        <f>IF([1]ACCUEIL!B1=1,"Rate of salary increase","Taux d'augmentation des salaires")</f>
        <v>Taux d'augmentation des salaires</v>
      </c>
      <c r="C12" s="723"/>
      <c r="D12" s="723"/>
      <c r="E12" s="724"/>
      <c r="F12" s="725">
        <f>'[1]NOTE 16 B'!F12</f>
        <v>0</v>
      </c>
      <c r="G12" s="725">
        <f>'[1]NOTE 16 B'!G12</f>
        <v>0</v>
      </c>
      <c r="H12" s="274"/>
      <c r="I12" s="274"/>
    </row>
    <row r="13" spans="2:10">
      <c r="B13" s="722" t="str">
        <f>IF([1]ACCUEIL!B1=1,"Discount rate","Taux d'actualisation")</f>
        <v>Taux d'actualisation</v>
      </c>
      <c r="C13" s="723"/>
      <c r="D13" s="723"/>
      <c r="E13" s="724"/>
      <c r="F13" s="725">
        <f>'[1]NOTE 16 B'!F13</f>
        <v>0</v>
      </c>
      <c r="G13" s="725">
        <f>'[1]NOTE 16 B'!G13</f>
        <v>0</v>
      </c>
      <c r="H13" s="274"/>
      <c r="I13" s="274"/>
    </row>
    <row r="14" spans="2:10">
      <c r="B14" s="722" t="str">
        <f>IF([1]ACCUEIL!B1=1,"Inflation rate","Taux d'inflation")</f>
        <v>Taux d'inflation</v>
      </c>
      <c r="C14" s="723"/>
      <c r="D14" s="723"/>
      <c r="E14" s="724"/>
      <c r="F14" s="725">
        <f>'[1]NOTE 16 B'!F14</f>
        <v>0</v>
      </c>
      <c r="G14" s="725">
        <f>'[1]NOTE 16 B'!G14</f>
        <v>0</v>
      </c>
      <c r="H14" s="274"/>
      <c r="I14" s="274"/>
    </row>
    <row r="15" spans="2:10">
      <c r="B15" s="726" t="str">
        <f>IF([1]ACCUEIL!B1=1,"Probability of being present in the entity on the date of retirement (past experience)","Probabilité d'être présent dans l'entité à la date de départ à la retraite (expérience passée)")</f>
        <v>Probabilité d'être présent dans l'entité à la date de départ à la retraite (expérience passée)</v>
      </c>
      <c r="C15" s="727"/>
      <c r="D15" s="727"/>
      <c r="E15" s="728"/>
      <c r="F15" s="725">
        <f>'[1]NOTE 16 B'!F15</f>
        <v>0</v>
      </c>
      <c r="G15" s="725">
        <f>'[1]NOTE 16 B'!G15</f>
        <v>0</v>
      </c>
      <c r="H15" s="274"/>
      <c r="I15" s="274"/>
    </row>
    <row r="16" spans="2:10">
      <c r="B16" s="726" t="str">
        <f>IF([1]ACCUEIL!B1=1,"Probability of being alive at retirement age (mortality table)","Probabilité d'être en vie à l'âge de départ à la retraite (table de mortalité)")</f>
        <v>Probabilité d'être en vie à l'âge de départ à la retraite (table de mortalité)</v>
      </c>
      <c r="C16" s="727"/>
      <c r="D16" s="727"/>
      <c r="E16" s="728"/>
      <c r="F16" s="725">
        <f>'[1]NOTE 16 B'!F16</f>
        <v>0</v>
      </c>
      <c r="G16" s="725">
        <f>'[1]NOTE 16 B'!G16</f>
        <v>0</v>
      </c>
      <c r="H16" s="274"/>
      <c r="I16" s="274"/>
    </row>
    <row r="17" spans="2:9">
      <c r="B17" s="722" t="str">
        <f>IF([1]ACCUEIL!B1=1,"Effective rate of return on plan assets","Taux de rendement effectif des actifs du régime")</f>
        <v>Taux de rendement effectif des actifs du régime</v>
      </c>
      <c r="C17" s="723"/>
      <c r="D17" s="723"/>
      <c r="E17" s="724"/>
      <c r="F17" s="725">
        <f>'[1]NOTE 16 B'!F17</f>
        <v>0</v>
      </c>
      <c r="G17" s="725">
        <f>'[1]NOTE 16 B'!G17</f>
        <v>0</v>
      </c>
      <c r="H17" s="274"/>
      <c r="I17" s="274"/>
    </row>
    <row r="18" spans="2:9">
      <c r="B18" s="274"/>
      <c r="C18" s="274"/>
      <c r="D18" s="274"/>
      <c r="E18" s="274"/>
      <c r="F18" s="274"/>
      <c r="G18" s="274"/>
      <c r="H18" s="274"/>
      <c r="I18" s="274"/>
    </row>
    <row r="19" spans="2:9">
      <c r="B19" s="1924"/>
      <c r="C19" s="1924"/>
      <c r="D19" s="1924"/>
      <c r="E19" s="1924"/>
      <c r="F19" s="1924"/>
      <c r="G19" s="1924"/>
      <c r="H19" s="274"/>
      <c r="I19" s="274"/>
    </row>
    <row r="20" spans="2:9">
      <c r="B20" s="1925" t="str">
        <f>IF([1]ACCUEIL!B1=1,"CHANGE IN THE VALUE OF THE RETIREMENT COMMITMENT DURING THE YEAR","VARIATION DE LA VALEUR DE L'ENGAGEMENT DE RETRAITE AU COURS DE L'EXERCICE")</f>
        <v>VARIATION DE LA VALEUR DE L'ENGAGEMENT DE RETRAITE AU COURS DE L'EXERCICE</v>
      </c>
      <c r="C20" s="1925"/>
      <c r="D20" s="1925"/>
      <c r="E20" s="1925"/>
      <c r="F20" s="1925"/>
      <c r="G20" s="1925"/>
      <c r="H20" s="274"/>
      <c r="I20" s="274"/>
    </row>
    <row r="21" spans="2:9">
      <c r="B21" s="729" t="str">
        <f>B11</f>
        <v xml:space="preserve">      RUBRIQUES</v>
      </c>
      <c r="C21" s="730"/>
      <c r="D21" s="730"/>
      <c r="E21" s="731"/>
      <c r="F21" s="721" t="str">
        <f>F11</f>
        <v>Année 2025</v>
      </c>
      <c r="G21" s="732" t="str">
        <f>G11</f>
        <v>Année 2024</v>
      </c>
      <c r="H21" s="274"/>
      <c r="I21" s="274"/>
    </row>
    <row r="22" spans="2:9">
      <c r="B22" s="733" t="str">
        <f>IF([1]ACCUEIL!B1=1,"Obligation in respect of retirement commitments at the opening","Obligation au titre des engagements de retraite à l'ouverture")</f>
        <v>Obligation au titre des engagements de retraite à l'ouverture</v>
      </c>
      <c r="C22" s="734"/>
      <c r="D22" s="734"/>
      <c r="E22" s="735"/>
      <c r="F22" s="736">
        <f>'[1]NOTE 16 B'!F22</f>
        <v>0</v>
      </c>
      <c r="G22" s="736">
        <f>'[1]NOTE 16 B'!G22</f>
        <v>0</v>
      </c>
      <c r="H22" s="274"/>
      <c r="I22" s="274"/>
    </row>
    <row r="23" spans="2:9">
      <c r="B23" s="722" t="str">
        <f>IF([1]ACCUEIL!B1=1,"Cost of services rendered during the year","Coût des services rendus au cours de l'exercice")</f>
        <v>Coût des services rendus au cours de l'exercice</v>
      </c>
      <c r="C23" s="723"/>
      <c r="D23" s="723"/>
      <c r="E23" s="724"/>
      <c r="F23" s="736">
        <f>'[1]NOTE 16 B'!F23</f>
        <v>0</v>
      </c>
      <c r="G23" s="736">
        <f>'[1]NOTE 16 B'!G23</f>
        <v>0</v>
      </c>
      <c r="H23" s="274"/>
      <c r="I23" s="274"/>
    </row>
    <row r="24" spans="2:9">
      <c r="B24" s="722" t="str">
        <f>IF([1]ACCUEIL!B1=1,"Financial cost","Coût financier")</f>
        <v>Coût financier</v>
      </c>
      <c r="C24" s="723"/>
      <c r="D24" s="723"/>
      <c r="E24" s="724"/>
      <c r="F24" s="736">
        <f>'[1]NOTE 16 B'!F24</f>
        <v>0</v>
      </c>
      <c r="G24" s="736">
        <f>'[1]NOTE 16 B'!G24</f>
        <v>0</v>
      </c>
      <c r="H24" s="274"/>
      <c r="I24" s="274"/>
    </row>
    <row r="25" spans="2:9">
      <c r="B25" s="722" t="str">
        <f>IF([1]ACCUEIL!B1=1,"Actuarial losses / (gain)","Pertes actuarielles / (gain)")</f>
        <v>Pertes actuarielles / (gain)</v>
      </c>
      <c r="C25" s="723"/>
      <c r="D25" s="723"/>
      <c r="E25" s="724"/>
      <c r="F25" s="736">
        <f>'[1]NOTE 16 B'!F25</f>
        <v>0</v>
      </c>
      <c r="G25" s="736">
        <f>'[1]NOTE 16 B'!G25</f>
        <v>0</v>
      </c>
      <c r="H25" s="274"/>
      <c r="I25" s="274"/>
    </row>
    <row r="26" spans="2:9">
      <c r="B26" s="722" t="str">
        <f>IF([1]ACCUEIL!B1=1,"Benefits paid during the year","Prestations payées au cours de l'exercice")</f>
        <v>Prestations payées au cours de l'exercice</v>
      </c>
      <c r="C26" s="723"/>
      <c r="D26" s="723"/>
      <c r="E26" s="724"/>
      <c r="F26" s="736">
        <f>'[1]NOTE 16 B'!F26</f>
        <v>0</v>
      </c>
      <c r="G26" s="736">
        <f>'[1]NOTE 16 B'!G26</f>
        <v>0</v>
      </c>
      <c r="H26" s="274"/>
      <c r="I26" s="274"/>
    </row>
    <row r="27" spans="2:9">
      <c r="B27" s="722" t="str">
        <f>IF([1]ACCUEIL!B1=1,"Cost of past services","Coût des services passés")</f>
        <v>Coût des services passés</v>
      </c>
      <c r="C27" s="723"/>
      <c r="D27" s="723"/>
      <c r="E27" s="724"/>
      <c r="F27" s="736">
        <f>'[1]NOTE 16 B'!F27</f>
        <v>0</v>
      </c>
      <c r="G27" s="736">
        <f>'[1]NOTE 16 B'!G27</f>
        <v>0</v>
      </c>
      <c r="H27" s="274"/>
      <c r="I27" s="274"/>
    </row>
    <row r="28" spans="2:9">
      <c r="B28" s="738" t="str">
        <f>IF([1]ACCUEIL!B1=1,"Obligation for retirement commitments at closing","Obligation au titre des engagements de retraite à la clôture")</f>
        <v>Obligation au titre des engagements de retraite à la clôture</v>
      </c>
      <c r="C28" s="739"/>
      <c r="D28" s="739"/>
      <c r="E28" s="740"/>
      <c r="F28" s="736">
        <f>'[1]NOTE 16 B'!F28</f>
        <v>0</v>
      </c>
      <c r="G28" s="736">
        <f>'[1]NOTE 16 B'!G28</f>
        <v>0</v>
      </c>
      <c r="H28" s="274"/>
      <c r="I28" s="274"/>
    </row>
    <row r="29" spans="2:9">
      <c r="B29" s="274"/>
      <c r="C29" s="274"/>
      <c r="D29" s="274"/>
      <c r="E29" s="274"/>
      <c r="F29" s="274"/>
      <c r="G29" s="274"/>
      <c r="H29" s="274"/>
      <c r="I29" s="274"/>
    </row>
    <row r="30" spans="2:9">
      <c r="B30" s="1926" t="str">
        <f>IF([1]ACCUEIL!B1=1,"SENSITIVITY ANALYSIS OF ACTUARIAL ASSUMPTIONS","ANALYSE DE SENSIBILITE DES HYPOTHESES ACTUARIELLES")</f>
        <v>ANALYSE DE SENSIBILITE DES HYPOTHESES ACTUARIELLES</v>
      </c>
      <c r="C30" s="1927"/>
      <c r="D30" s="1927"/>
      <c r="E30" s="1927"/>
      <c r="F30" s="1927"/>
      <c r="G30" s="1927"/>
      <c r="H30" s="1927"/>
      <c r="I30" s="1928"/>
    </row>
    <row r="31" spans="2:9">
      <c r="B31" s="1929" t="str">
        <f>+B21</f>
        <v xml:space="preserve">      RUBRIQUES</v>
      </c>
      <c r="C31" s="1622"/>
      <c r="D31" s="1622"/>
      <c r="E31" s="1623"/>
      <c r="F31" s="1930" t="str">
        <f>+F21</f>
        <v>Année 2025</v>
      </c>
      <c r="G31" s="1928"/>
      <c r="H31" s="1931" t="str">
        <f>+G21</f>
        <v>Année 2024</v>
      </c>
      <c r="I31" s="1928"/>
    </row>
    <row r="32" spans="2:9">
      <c r="B32" s="1627"/>
      <c r="C32" s="1628"/>
      <c r="D32" s="1628"/>
      <c r="E32" s="1629"/>
      <c r="F32" s="731" t="str">
        <f>IF([1]ACCUEIL!B1=1,"Increase","Augmentation")</f>
        <v>Augmentation</v>
      </c>
      <c r="G32" s="741" t="str">
        <f>IF([1]ACCUEIL!B1=1,"Decrease","Diminution")</f>
        <v>Diminution</v>
      </c>
      <c r="H32" s="741" t="str">
        <f>F32</f>
        <v>Augmentation</v>
      </c>
      <c r="I32" s="741" t="str">
        <f>G32</f>
        <v>Diminution</v>
      </c>
    </row>
    <row r="33" spans="2:9">
      <c r="B33" s="722" t="str">
        <f>IF([1]ACCUEIL!B1=1,"Discount rate (variation of… ..%)","Taux d'actualisation (variation de …..%)")</f>
        <v>Taux d'actualisation (variation de …..%)</v>
      </c>
      <c r="C33" s="723"/>
      <c r="D33" s="723"/>
      <c r="E33" s="724"/>
      <c r="F33" s="737">
        <f>'[1]NOTE 16 B'!F33</f>
        <v>0</v>
      </c>
      <c r="G33" s="737">
        <f>'[1]NOTE 16 B'!G33</f>
        <v>0</v>
      </c>
      <c r="H33" s="737">
        <f>'[1]NOTE 16 B'!H33</f>
        <v>0</v>
      </c>
      <c r="I33" s="737">
        <f>'[1]NOTE 16 B'!I33</f>
        <v>0</v>
      </c>
    </row>
    <row r="34" spans="2:9">
      <c r="B34" s="726" t="str">
        <f>IF([1]ACCUEIL!B1=1,"Wage growth rate (variation of…%)","Taux de progression des salaires (variation de …%)")</f>
        <v>Taux de progression des salaires (variation de …%)</v>
      </c>
      <c r="C34" s="727"/>
      <c r="D34" s="727"/>
      <c r="E34" s="728"/>
      <c r="F34" s="737">
        <f>'[1]NOTE 16 B'!F34</f>
        <v>0</v>
      </c>
      <c r="G34" s="737">
        <f>'[1]NOTE 16 B'!G34</f>
        <v>0</v>
      </c>
      <c r="H34" s="737">
        <f>'[1]NOTE 16 B'!H34</f>
        <v>0</v>
      </c>
      <c r="I34" s="737">
        <f>'[1]NOTE 16 B'!I34</f>
        <v>0</v>
      </c>
    </row>
    <row r="35" spans="2:9">
      <c r="B35" s="722" t="str">
        <f>IF([1]ACCUEIL!B1=1,"Staff departure rate (variation of…%)","Taux de départ du personnel (variation de …%)")</f>
        <v>Taux de départ du personnel (variation de …%)</v>
      </c>
      <c r="C35" s="742"/>
      <c r="D35" s="723"/>
      <c r="E35" s="724"/>
      <c r="F35" s="737">
        <f>'[1]NOTE 16 B'!F35</f>
        <v>0</v>
      </c>
      <c r="G35" s="737">
        <f>'[1]NOTE 16 B'!G35</f>
        <v>0</v>
      </c>
      <c r="H35" s="737">
        <f>'[1]NOTE 16 B'!H35</f>
        <v>0</v>
      </c>
      <c r="I35" s="737">
        <f>'[1]NOTE 16 B'!I35</f>
        <v>0</v>
      </c>
    </row>
    <row r="36" spans="2:9">
      <c r="B36" s="274"/>
      <c r="C36" s="1772"/>
      <c r="D36" s="1772"/>
      <c r="E36" s="1772"/>
      <c r="F36" s="1772"/>
      <c r="G36" s="1772"/>
      <c r="H36" s="1772"/>
      <c r="I36" s="1772"/>
    </row>
    <row r="37" spans="2:9">
      <c r="B37" s="743" t="str">
        <f>'NOTE 16 A'!B44</f>
        <v>COMMENTAIRE</v>
      </c>
      <c r="C37" s="1660">
        <f>'[1]NOTE 16 B'!C37:I37</f>
        <v>0</v>
      </c>
      <c r="D37" s="1660"/>
      <c r="E37" s="1660"/>
      <c r="F37" s="1660"/>
      <c r="G37" s="1660"/>
      <c r="H37" s="1660"/>
      <c r="I37" s="1660"/>
    </row>
    <row r="38" spans="2:9">
      <c r="B38" s="744"/>
      <c r="C38" s="1660">
        <f>'[1]NOTE 16 B'!C38:I38</f>
        <v>0</v>
      </c>
      <c r="D38" s="1660"/>
      <c r="E38" s="1660"/>
      <c r="F38" s="1660"/>
      <c r="G38" s="1660"/>
      <c r="H38" s="1660"/>
      <c r="I38" s="1660"/>
    </row>
    <row r="39" spans="2:9">
      <c r="B39" s="274"/>
      <c r="C39" s="1660">
        <f>'[1]NOTE 16 B'!C39:I39</f>
        <v>0</v>
      </c>
      <c r="D39" s="1660"/>
      <c r="E39" s="1660"/>
      <c r="F39" s="1660"/>
      <c r="G39" s="1660"/>
      <c r="H39" s="1660"/>
      <c r="I39" s="1660"/>
    </row>
    <row r="40" spans="2:9">
      <c r="B40" s="274"/>
      <c r="C40" s="1660">
        <f>'[1]NOTE 16 B'!C40:I40</f>
        <v>0</v>
      </c>
      <c r="D40" s="1660"/>
      <c r="E40" s="1660"/>
      <c r="F40" s="1660"/>
      <c r="G40" s="1660"/>
      <c r="H40" s="1660"/>
      <c r="I40" s="1660"/>
    </row>
    <row r="41" spans="2:9">
      <c r="B41" s="274"/>
      <c r="C41" s="1660">
        <f>'[1]NOTE 16 B'!C41:I41</f>
        <v>0</v>
      </c>
      <c r="D41" s="1660"/>
      <c r="E41" s="1660"/>
      <c r="F41" s="1660"/>
      <c r="G41" s="1660"/>
      <c r="H41" s="1660"/>
      <c r="I41" s="1660"/>
    </row>
    <row r="42" spans="2:9">
      <c r="B42" s="274"/>
      <c r="C42" s="1660">
        <f>'[1]NOTE 16 B'!C42:I42</f>
        <v>0</v>
      </c>
      <c r="D42" s="1660"/>
      <c r="E42" s="1660"/>
      <c r="F42" s="1660"/>
      <c r="G42" s="1660"/>
      <c r="H42" s="1660"/>
      <c r="I42" s="1660"/>
    </row>
    <row r="43" spans="2:9">
      <c r="B43" s="274"/>
      <c r="C43" s="1660">
        <f>'[1]NOTE 16 B'!C43:I43</f>
        <v>0</v>
      </c>
      <c r="D43" s="1660"/>
      <c r="E43" s="1660"/>
      <c r="F43" s="1660"/>
      <c r="G43" s="1660"/>
      <c r="H43" s="1660"/>
      <c r="I43" s="1660"/>
    </row>
    <row r="44" spans="2:9">
      <c r="B44" s="274"/>
      <c r="C44" s="1660">
        <f>'[1]NOTE 16 B'!C44:I44</f>
        <v>0</v>
      </c>
      <c r="D44" s="1660"/>
      <c r="E44" s="1660"/>
      <c r="F44" s="1660"/>
      <c r="G44" s="1660"/>
      <c r="H44" s="1660"/>
      <c r="I44" s="1660"/>
    </row>
    <row r="45" spans="2:9">
      <c r="C45" s="1660">
        <f>'[1]NOTE 16 B'!C45:I45</f>
        <v>0</v>
      </c>
      <c r="D45" s="1660"/>
      <c r="E45" s="1660"/>
      <c r="F45" s="1660"/>
      <c r="G45" s="1660"/>
      <c r="H45" s="1660"/>
      <c r="I45" s="1660"/>
    </row>
    <row r="46" spans="2:9">
      <c r="C46" s="1660">
        <f>'[1]NOTE 16 B'!C46:I46</f>
        <v>0</v>
      </c>
      <c r="D46" s="1660"/>
      <c r="E46" s="1660"/>
      <c r="F46" s="1660"/>
      <c r="G46" s="1660"/>
      <c r="H46" s="1660"/>
      <c r="I46" s="1660"/>
    </row>
  </sheetData>
  <sheetProtection selectLockedCells="1"/>
  <mergeCells count="20">
    <mergeCell ref="C45:I45"/>
    <mergeCell ref="C46:I46"/>
    <mergeCell ref="C39:I39"/>
    <mergeCell ref="C40:I40"/>
    <mergeCell ref="C41:I41"/>
    <mergeCell ref="C42:I42"/>
    <mergeCell ref="C43:I43"/>
    <mergeCell ref="C44:I44"/>
    <mergeCell ref="C38:I38"/>
    <mergeCell ref="H2:I3"/>
    <mergeCell ref="C6:F6"/>
    <mergeCell ref="B9:H9"/>
    <mergeCell ref="B19:G19"/>
    <mergeCell ref="B20:G20"/>
    <mergeCell ref="B30:I30"/>
    <mergeCell ref="B31:E32"/>
    <mergeCell ref="F31:G31"/>
    <mergeCell ref="H31:I31"/>
    <mergeCell ref="C36:I36"/>
    <mergeCell ref="C37:I37"/>
  </mergeCells>
  <conditionalFormatting sqref="C5:C6 H6:H7">
    <cfRule type="expression" dxfId="20" priority="1">
      <formula>#REF!=1</formula>
    </cfRule>
  </conditionalFormatting>
  <printOptions horizontalCentered="1"/>
  <pageMargins left="0.78740157480314965" right="0" top="0.59055118110236227" bottom="0.19685039370078741" header="0.15748031496062992" footer="0.15748031496062992"/>
  <pageSetup paperSize="9" scale="82" orientation="landscape" r:id="rId1"/>
  <headerFooter>
    <oddHeader>&amp;C&amp;"-,Gras"&amp;14Page &amp;P / &amp;N</oddHead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Feuil40">
    <pageSetUpPr fitToPage="1"/>
  </sheetPr>
  <dimension ref="B1:H32"/>
  <sheetViews>
    <sheetView showZeros="0" zoomScaleNormal="100" zoomScaleSheetLayoutView="100" workbookViewId="0">
      <selection activeCell="E14" sqref="E14:F14"/>
    </sheetView>
  </sheetViews>
  <sheetFormatPr baseColWidth="10" defaultColWidth="11.42578125" defaultRowHeight="15"/>
  <cols>
    <col min="1" max="1" width="6.42578125" style="2" customWidth="1"/>
    <col min="2" max="2" width="25" style="2" customWidth="1"/>
    <col min="3" max="3" width="22" style="2" customWidth="1"/>
    <col min="4" max="4" width="18.7109375" style="2" customWidth="1"/>
    <col min="5" max="5" width="24" style="2" customWidth="1"/>
    <col min="6" max="6" width="20.140625" style="2" customWidth="1"/>
    <col min="7" max="7" width="22.42578125" style="2" bestFit="1" customWidth="1"/>
    <col min="8" max="8" width="16" style="2" customWidth="1"/>
    <col min="9" max="16384" width="11.42578125" style="2"/>
  </cols>
  <sheetData>
    <row r="1" spans="2:8">
      <c r="B1" s="716"/>
      <c r="C1" s="716"/>
      <c r="D1" s="716"/>
      <c r="E1" s="716"/>
      <c r="F1" s="716"/>
      <c r="G1" s="716"/>
      <c r="H1" s="716"/>
    </row>
    <row r="2" spans="2:8">
      <c r="B2" s="43"/>
      <c r="C2" s="43"/>
      <c r="D2" s="43"/>
      <c r="E2" s="43"/>
      <c r="F2" s="43"/>
      <c r="G2" s="1650" t="str">
        <f>IF([1]ACCUEIL!B1=1,"NOTE 16 B bis
NORMAL SYSTEM","NOTE 16 B bis
SYSTEME NORMAL")</f>
        <v>NOTE 16 B bis
SYSTEME NORMAL</v>
      </c>
      <c r="H2" s="1651"/>
    </row>
    <row r="3" spans="2:8">
      <c r="G3" s="1652"/>
      <c r="H3" s="1653"/>
    </row>
    <row r="4" spans="2:8" ht="18.75" customHeight="1">
      <c r="B4" s="43" t="str">
        <f>'NOTE 16 B'!B4</f>
        <v>Désignation entité:</v>
      </c>
      <c r="C4" s="650" t="str">
        <f>'NOTE 16 B'!C4</f>
        <v/>
      </c>
      <c r="D4" s="651"/>
      <c r="E4" s="43"/>
      <c r="F4" s="651"/>
      <c r="G4" s="144"/>
      <c r="H4" s="652"/>
    </row>
    <row r="5" spans="2:8" ht="22.5" customHeight="1">
      <c r="B5" s="43" t="str">
        <f>'NOTE 16 B'!B5</f>
        <v>Sigle usuel :</v>
      </c>
      <c r="C5" s="512" t="str">
        <f>'NOTE 16 B'!C5</f>
        <v/>
      </c>
      <c r="D5" s="653"/>
      <c r="E5" s="655"/>
      <c r="F5" s="655"/>
      <c r="G5" s="512"/>
      <c r="H5" s="512"/>
    </row>
    <row r="6" spans="2:8" ht="18" customHeight="1">
      <c r="B6" s="43" t="str">
        <f>'NOTE 16 B'!B6</f>
        <v>Adresse:</v>
      </c>
      <c r="C6" s="512">
        <f>'NOTE 16 B'!C6</f>
        <v>0</v>
      </c>
      <c r="D6" s="656"/>
      <c r="E6" s="653"/>
      <c r="G6" s="704" t="str">
        <f>'NOTE 16 B'!H6</f>
        <v>BP:</v>
      </c>
      <c r="H6" s="512" t="str">
        <f>'NOTE 16 B'!I6</f>
        <v/>
      </c>
    </row>
    <row r="7" spans="2:8" ht="18" customHeight="1">
      <c r="B7" s="43" t="str">
        <f>'NOTE 16 B'!B7</f>
        <v>Numéro d'identification:</v>
      </c>
      <c r="C7" s="512" t="str">
        <f>'NOTE 16 B'!C7</f>
        <v/>
      </c>
      <c r="D7" s="43"/>
      <c r="E7" s="481" t="str">
        <f>'NOTE 16 B'!F7</f>
        <v xml:space="preserve">   Exercice clos le 31 - 12- </v>
      </c>
      <c r="F7" s="512">
        <f>'NOTE 16 B'!G7</f>
        <v>2025</v>
      </c>
      <c r="G7" s="318" t="str">
        <f>'NOTE 16 B'!H7</f>
        <v xml:space="preserve">    Durée (en mois):</v>
      </c>
      <c r="H7" s="319">
        <f>'NOTE 16 B'!I7</f>
        <v>12</v>
      </c>
    </row>
    <row r="8" spans="2:8" ht="8.25" customHeight="1">
      <c r="B8" s="144"/>
      <c r="C8" s="658"/>
      <c r="D8" s="658"/>
      <c r="E8" s="144"/>
      <c r="F8" s="144"/>
      <c r="G8" s="144"/>
      <c r="H8" s="658"/>
    </row>
    <row r="9" spans="2:8" ht="29.25" customHeight="1">
      <c r="B9" s="1861" t="str">
        <f>IF([1]ACCUEIL!B1=1,"NOTE 16 B bis RETIREMENT COMMITMENT AND SIMILAR BENEFITS","NOTE 16 B bis ENGAGEMENT DE RETRAITE ET AVANTAGE ASSIMILES")</f>
        <v>NOTE 16 B bis ENGAGEMENT DE RETRAITE ET AVANTAGE ASSIMILES</v>
      </c>
      <c r="C9" s="1861"/>
      <c r="D9" s="1861"/>
      <c r="E9" s="1861"/>
      <c r="F9" s="1861"/>
      <c r="G9" s="1861"/>
      <c r="H9" s="1861"/>
    </row>
    <row r="10" spans="2:8" ht="18" customHeight="1">
      <c r="B10" s="1936" t="str">
        <f>IF([1]ACCUEIL!B1=1,"NET ACCOUNTING ASSETS / LIABILITIES UNDER FINANCIAL SCHEMES","ACTIF /PASSIF NET COMPTABLE AU  TITRE DES REGIMES FINANCES ")</f>
        <v xml:space="preserve">ACTIF /PASSIF NET COMPTABLE AU  TITRE DES REGIMES FINANCES </v>
      </c>
      <c r="C10" s="1684"/>
      <c r="D10" s="1684"/>
      <c r="E10" s="1684"/>
      <c r="F10" s="1684"/>
      <c r="G10" s="1684"/>
      <c r="H10" s="1937"/>
    </row>
    <row r="11" spans="2:8" s="522" customFormat="1" ht="24" customHeight="1">
      <c r="B11" s="1938" t="str">
        <f>'NOTE 16 B'!B11</f>
        <v xml:space="preserve">      RUBRIQUES</v>
      </c>
      <c r="C11" s="1939"/>
      <c r="D11" s="1939"/>
      <c r="E11" s="1795" t="str">
        <f>'NOTE 16 B'!F11</f>
        <v>Année 2025</v>
      </c>
      <c r="F11" s="1796"/>
      <c r="G11" s="1795" t="str">
        <f>'NOTE 16 B'!G21</f>
        <v>Année 2024</v>
      </c>
      <c r="H11" s="1796"/>
    </row>
    <row r="12" spans="2:8" s="522" customFormat="1" ht="24" customHeight="1">
      <c r="B12" s="710" t="str">
        <f>IF([1]ACCUEIL!B1=1,"Present value of the obligation resulting from the funded scheme","Valeur actuelle de l'obligation résultant de Régime financé ")</f>
        <v xml:space="preserve">Valeur actuelle de l'obligation résultant de Régime financé </v>
      </c>
      <c r="C12" s="711"/>
      <c r="D12" s="711"/>
      <c r="E12" s="1934">
        <f>'[1]NOTE 16 B bis'!E12:F12</f>
        <v>0</v>
      </c>
      <c r="F12" s="1935"/>
      <c r="G12" s="1934">
        <f>'[1]NOTE 16 B bis'!G12:H12</f>
        <v>0</v>
      </c>
      <c r="H12" s="1935"/>
    </row>
    <row r="13" spans="2:8" s="522" customFormat="1" ht="24" customHeight="1">
      <c r="B13" s="1940" t="str">
        <f>IF([1]ACCUEIL!B1=1,"Present value of assets allocated to pension plans","Valeur actuelle des actifs affectés aux plans de retraite")</f>
        <v>Valeur actuelle des actifs affectés aux plans de retraite</v>
      </c>
      <c r="C13" s="1941"/>
      <c r="D13" s="1941"/>
      <c r="E13" s="1934">
        <f>'[1]NOTE 16 B bis'!E13:F13</f>
        <v>0</v>
      </c>
      <c r="F13" s="1935"/>
      <c r="G13" s="1934">
        <f>'[1]NOTE 16 B bis'!G13:H13</f>
        <v>0</v>
      </c>
      <c r="H13" s="1935"/>
    </row>
    <row r="14" spans="2:8" s="522" customFormat="1" ht="24" customHeight="1">
      <c r="B14" s="1932" t="str">
        <f>IF([1]ACCUEIL!B1=1,"Diet surplus / deficit","Excédent /Déficit de régime")</f>
        <v>Excédent /Déficit de régime</v>
      </c>
      <c r="C14" s="1933"/>
      <c r="D14" s="1933"/>
      <c r="E14" s="1934">
        <f>'[1]NOTE 16 B bis'!E14:F14</f>
        <v>0</v>
      </c>
      <c r="F14" s="1935"/>
      <c r="G14" s="1934">
        <f>'[1]NOTE 16 B bis'!G14:H14</f>
        <v>0</v>
      </c>
      <c r="H14" s="1935"/>
    </row>
    <row r="15" spans="2:8">
      <c r="B15" s="81"/>
      <c r="C15" s="92"/>
      <c r="D15" s="81"/>
      <c r="E15" s="92"/>
      <c r="F15" s="92"/>
      <c r="G15" s="92"/>
      <c r="H15" s="92"/>
    </row>
    <row r="16" spans="2:8" ht="36" customHeight="1">
      <c r="B16" s="1942" t="str">
        <f>IF([1]ACCUEIL!B1=1,"CURRENT VALUE OF PLAN ASSETS","VALEUR ACTUELLE DES ACTIFS DU REGIME")</f>
        <v>VALEUR ACTUELLE DES ACTIFS DU REGIME</v>
      </c>
      <c r="C16" s="1942"/>
      <c r="D16" s="1942"/>
      <c r="E16" s="1942"/>
      <c r="F16" s="1942"/>
      <c r="G16" s="1942"/>
      <c r="H16" s="1942"/>
    </row>
    <row r="17" spans="2:8">
      <c r="B17" s="1773" t="str">
        <f>B11</f>
        <v xml:space="preserve">      RUBRIQUES</v>
      </c>
      <c r="C17" s="1567"/>
      <c r="D17" s="1568"/>
      <c r="E17" s="1795" t="str">
        <f>E11</f>
        <v>Année 2025</v>
      </c>
      <c r="F17" s="1796"/>
      <c r="G17" s="1795" t="str">
        <f>G11</f>
        <v>Année 2024</v>
      </c>
      <c r="H17" s="1796"/>
    </row>
    <row r="18" spans="2:8" ht="25.5">
      <c r="B18" s="1572"/>
      <c r="C18" s="1573"/>
      <c r="D18" s="1574"/>
      <c r="E18" s="556" t="str">
        <f>IF([1]ACCUEIL!B1=1,"Expected return","Rendement attendu")</f>
        <v>Rendement attendu</v>
      </c>
      <c r="F18" s="556" t="str">
        <f>IF([1]ACCUEIL!B1=1,"Fair value of assets","Juste valeur des actifs ")</f>
        <v xml:space="preserve">Juste valeur des actifs </v>
      </c>
      <c r="G18" s="556" t="str">
        <f>IF([1]ACCUEIL!B1=1,"Rendement attendu","Rendement attendu")</f>
        <v>Rendement attendu</v>
      </c>
      <c r="H18" s="556" t="str">
        <f>IF([1]ACCUEIL!B1=1,"Fair value of assets","Juste valeur des actifs ")</f>
        <v xml:space="preserve">Juste valeur des actifs </v>
      </c>
    </row>
    <row r="19" spans="2:8" s="522" customFormat="1" ht="24" customHeight="1">
      <c r="B19" s="1932" t="str">
        <f>IF([1]ACCUEIL!B1=1,"Actions","Actions")</f>
        <v>Actions</v>
      </c>
      <c r="C19" s="1933"/>
      <c r="D19" s="1933"/>
      <c r="E19" s="645">
        <f>'[1]NOTE 16 B bis'!E19</f>
        <v>0</v>
      </c>
      <c r="F19" s="645">
        <f>'[1]NOTE 16 B bis'!F19</f>
        <v>0</v>
      </c>
      <c r="G19" s="645">
        <f>'[1]NOTE 16 B bis'!G19</f>
        <v>0</v>
      </c>
      <c r="H19" s="645">
        <f>'[1]NOTE 16 B bis'!H19</f>
        <v>0</v>
      </c>
    </row>
    <row r="20" spans="2:8" s="522" customFormat="1" ht="24" customHeight="1">
      <c r="B20" s="1932" t="str">
        <f>IF([1]ACCUEIL!B1=1,"Obligations","Obligations")</f>
        <v>Obligations</v>
      </c>
      <c r="C20" s="1933"/>
      <c r="D20" s="1933"/>
      <c r="E20" s="645">
        <f>'[1]NOTE 16 B bis'!E20</f>
        <v>0</v>
      </c>
      <c r="F20" s="645">
        <f>'[1]NOTE 16 B bis'!F20</f>
        <v>0</v>
      </c>
      <c r="G20" s="645">
        <f>'[1]NOTE 16 B bis'!G20</f>
        <v>0</v>
      </c>
      <c r="H20" s="645">
        <f>'[1]NOTE 16 B bis'!H20</f>
        <v>0</v>
      </c>
    </row>
    <row r="21" spans="2:8" s="522" customFormat="1" ht="24" customHeight="1">
      <c r="B21" s="1932" t="str">
        <f>IF([1]ACCUEIL!B1=1,"Other","Autres")</f>
        <v>Autres</v>
      </c>
      <c r="C21" s="1933"/>
      <c r="D21" s="1933"/>
      <c r="E21" s="645">
        <f>'[1]NOTE 16 B bis'!E21</f>
        <v>0</v>
      </c>
      <c r="F21" s="645">
        <f>'[1]NOTE 16 B bis'!F21</f>
        <v>0</v>
      </c>
      <c r="G21" s="645">
        <f>'[1]NOTE 16 B bis'!G21</f>
        <v>0</v>
      </c>
      <c r="H21" s="645">
        <f>'[1]NOTE 16 B bis'!H21</f>
        <v>0</v>
      </c>
    </row>
    <row r="22" spans="2:8" s="522" customFormat="1" ht="24" customHeight="1">
      <c r="B22" s="1932" t="s">
        <v>25</v>
      </c>
      <c r="C22" s="1933"/>
      <c r="D22" s="1933"/>
      <c r="E22" s="645">
        <f>'[1]NOTE 16 B bis'!E22</f>
        <v>0</v>
      </c>
      <c r="F22" s="645">
        <f>'[1]NOTE 16 B bis'!F22</f>
        <v>0</v>
      </c>
      <c r="G22" s="645">
        <f>'[1]NOTE 16 B bis'!G22</f>
        <v>0</v>
      </c>
      <c r="H22" s="645">
        <f>'[1]NOTE 16 B bis'!H22</f>
        <v>0</v>
      </c>
    </row>
    <row r="23" spans="2:8">
      <c r="B23" s="81"/>
      <c r="C23" s="81"/>
      <c r="D23" s="81"/>
      <c r="E23" s="81"/>
      <c r="F23" s="81"/>
      <c r="G23" s="81"/>
      <c r="H23" s="81"/>
    </row>
    <row r="24" spans="2:8">
      <c r="B24" s="558" t="str">
        <f>'NOTE 16 B'!B37</f>
        <v>COMMENTAIRE</v>
      </c>
      <c r="C24" s="1660">
        <f>'[1]NOTE 16 B bis'!C24:H24</f>
        <v>0</v>
      </c>
      <c r="D24" s="1660"/>
      <c r="E24" s="1660"/>
      <c r="F24" s="1660"/>
      <c r="G24" s="1660"/>
      <c r="H24" s="1660"/>
    </row>
    <row r="25" spans="2:8">
      <c r="B25" s="560"/>
      <c r="C25" s="1660">
        <f>'[1]NOTE 16 B bis'!C25:H25</f>
        <v>0</v>
      </c>
      <c r="D25" s="1660"/>
      <c r="E25" s="1660"/>
      <c r="F25" s="1660"/>
      <c r="G25" s="1660"/>
      <c r="H25" s="1660"/>
    </row>
    <row r="26" spans="2:8">
      <c r="B26" s="560"/>
      <c r="C26" s="1660">
        <f>'[1]NOTE 16 B bis'!C26:H26</f>
        <v>0</v>
      </c>
      <c r="D26" s="1660"/>
      <c r="E26" s="1660"/>
      <c r="F26" s="1660"/>
      <c r="G26" s="1660"/>
      <c r="H26" s="1660"/>
    </row>
    <row r="27" spans="2:8">
      <c r="B27" s="81"/>
      <c r="C27" s="1660">
        <f>'[1]NOTE 16 B bis'!C27:H27</f>
        <v>0</v>
      </c>
      <c r="D27" s="1660"/>
      <c r="E27" s="1660"/>
      <c r="F27" s="1660"/>
      <c r="G27" s="1660"/>
      <c r="H27" s="1660"/>
    </row>
    <row r="28" spans="2:8">
      <c r="B28" s="81"/>
      <c r="C28" s="1660">
        <f>'[1]NOTE 16 B bis'!C28:H28</f>
        <v>0</v>
      </c>
      <c r="D28" s="1660"/>
      <c r="E28" s="1660"/>
      <c r="F28" s="1660"/>
      <c r="G28" s="1660"/>
      <c r="H28" s="1660"/>
    </row>
    <row r="29" spans="2:8">
      <c r="B29" s="81"/>
      <c r="C29" s="1660">
        <f>'[1]NOTE 16 B bis'!C29:H29</f>
        <v>0</v>
      </c>
      <c r="D29" s="1660"/>
      <c r="E29" s="1660"/>
      <c r="F29" s="1660"/>
      <c r="G29" s="1660"/>
      <c r="H29" s="1660"/>
    </row>
    <row r="30" spans="2:8">
      <c r="B30" s="81"/>
      <c r="C30" s="1660">
        <f>'[1]NOTE 16 B bis'!C30:H30</f>
        <v>0</v>
      </c>
      <c r="D30" s="1660"/>
      <c r="E30" s="1660"/>
      <c r="F30" s="1660"/>
      <c r="G30" s="1660"/>
      <c r="H30" s="1660"/>
    </row>
    <row r="31" spans="2:8">
      <c r="C31" s="1660">
        <f>'[1]NOTE 16 B bis'!C31:H31</f>
        <v>0</v>
      </c>
      <c r="D31" s="1660"/>
      <c r="E31" s="1660"/>
      <c r="F31" s="1660"/>
      <c r="G31" s="1660"/>
      <c r="H31" s="1660"/>
    </row>
    <row r="32" spans="2:8">
      <c r="C32" s="1660">
        <f>'[1]NOTE 16 B bis'!C32:H32</f>
        <v>0</v>
      </c>
      <c r="D32" s="1660"/>
      <c r="E32" s="1660"/>
      <c r="F32" s="1660"/>
      <c r="G32" s="1660"/>
      <c r="H32" s="1660"/>
    </row>
  </sheetData>
  <sheetProtection selectLockedCells="1"/>
  <mergeCells count="31">
    <mergeCell ref="C28:H28"/>
    <mergeCell ref="C29:H29"/>
    <mergeCell ref="C30:H30"/>
    <mergeCell ref="C31:H31"/>
    <mergeCell ref="C32:H32"/>
    <mergeCell ref="C27:H27"/>
    <mergeCell ref="B16:H16"/>
    <mergeCell ref="B17:D18"/>
    <mergeCell ref="E17:F17"/>
    <mergeCell ref="G17:H17"/>
    <mergeCell ref="B19:D19"/>
    <mergeCell ref="B20:D20"/>
    <mergeCell ref="B21:D21"/>
    <mergeCell ref="B22:D22"/>
    <mergeCell ref="C24:H24"/>
    <mergeCell ref="C25:H25"/>
    <mergeCell ref="C26:H26"/>
    <mergeCell ref="B14:D14"/>
    <mergeCell ref="E14:F14"/>
    <mergeCell ref="G14:H14"/>
    <mergeCell ref="G2:H3"/>
    <mergeCell ref="B9:H9"/>
    <mergeCell ref="B10:H10"/>
    <mergeCell ref="B11:D11"/>
    <mergeCell ref="E11:F11"/>
    <mergeCell ref="G11:H11"/>
    <mergeCell ref="E12:F12"/>
    <mergeCell ref="G12:H12"/>
    <mergeCell ref="B13:D13"/>
    <mergeCell ref="E13:F13"/>
    <mergeCell ref="G13:H13"/>
  </mergeCells>
  <conditionalFormatting sqref="G6 E5:F5 D6">
    <cfRule type="expression" dxfId="19" priority="1">
      <formula>#REF!=1</formula>
    </cfRule>
  </conditionalFormatting>
  <printOptions horizontalCentered="1"/>
  <pageMargins left="0.78740157480314965" right="0" top="0.59055118110236227" bottom="0.19685039370078741" header="0.31496062992125984" footer="0.31496062992125984"/>
  <pageSetup paperSize="9" scale="91" orientation="landscape" r:id="rId1"/>
  <headerFooter>
    <oddHeader>&amp;C&amp;"-,Gras"&amp;14Page &amp;P / &amp;N</oddHead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Feuil41">
    <pageSetUpPr fitToPage="1"/>
  </sheetPr>
  <dimension ref="B1:H31"/>
  <sheetViews>
    <sheetView showZeros="0" topLeftCell="A4" zoomScaleNormal="100" zoomScaleSheetLayoutView="100" workbookViewId="0">
      <selection activeCell="C20" sqref="C20:H31"/>
    </sheetView>
  </sheetViews>
  <sheetFormatPr baseColWidth="10" defaultColWidth="11.42578125" defaultRowHeight="15"/>
  <cols>
    <col min="1" max="1" width="4.140625" style="2" customWidth="1"/>
    <col min="2" max="2" width="24.5703125" style="2" customWidth="1"/>
    <col min="3" max="3" width="12.42578125" style="2" customWidth="1"/>
    <col min="4" max="4" width="11.85546875" style="2" customWidth="1"/>
    <col min="5" max="5" width="24.28515625" style="2" customWidth="1"/>
    <col min="6" max="6" width="7.28515625" style="2" customWidth="1"/>
    <col min="7" max="7" width="23.85546875" style="2" bestFit="1" customWidth="1"/>
    <col min="8" max="8" width="19" style="2" customWidth="1"/>
    <col min="9" max="16384" width="11.42578125" style="2"/>
  </cols>
  <sheetData>
    <row r="1" spans="2:8">
      <c r="B1" s="1649"/>
      <c r="C1" s="1649"/>
      <c r="D1" s="1649"/>
      <c r="E1" s="1649"/>
      <c r="F1" s="1649"/>
      <c r="G1" s="1649"/>
      <c r="H1" s="1649"/>
    </row>
    <row r="2" spans="2:8">
      <c r="B2" s="144"/>
      <c r="C2" s="144"/>
      <c r="D2" s="144"/>
      <c r="E2" s="144"/>
      <c r="F2" s="144"/>
      <c r="G2" s="1650" t="str">
        <f>IF([1]ACCUEIL!B1=1,"NOTE 16 C
NORMAL SYSTEM","NOTE 16 C
SYSTEME NORMAL")</f>
        <v>NOTE 16 C
SYSTEME NORMAL</v>
      </c>
      <c r="H2" s="1651"/>
    </row>
    <row r="3" spans="2:8">
      <c r="B3" s="43"/>
      <c r="C3" s="43"/>
      <c r="D3" s="43"/>
      <c r="E3" s="43"/>
      <c r="F3" s="43"/>
      <c r="G3" s="1652"/>
      <c r="H3" s="1653"/>
    </row>
    <row r="4" spans="2:8">
      <c r="B4" s="43" t="str">
        <f>'NOTE 16 B bis'!B4</f>
        <v>Désignation entité:</v>
      </c>
      <c r="C4" s="745" t="str">
        <f>'NOTE 16 B bis'!C4</f>
        <v/>
      </c>
      <c r="D4" s="650"/>
      <c r="E4" s="650"/>
      <c r="F4" s="651"/>
      <c r="G4" s="652"/>
      <c r="H4" s="652"/>
    </row>
    <row r="5" spans="2:8" ht="18" customHeight="1">
      <c r="B5" s="43" t="str">
        <f>'NOTE 16 B bis'!B5</f>
        <v>Sigle usuel :</v>
      </c>
      <c r="C5" s="745" t="str">
        <f>'NOTE 16 B bis'!C5</f>
        <v/>
      </c>
      <c r="D5" s="653"/>
      <c r="E5" s="655"/>
      <c r="F5" s="654"/>
      <c r="G5" s="655"/>
      <c r="H5" s="655"/>
    </row>
    <row r="6" spans="2:8" ht="19.5" customHeight="1">
      <c r="B6" s="43" t="str">
        <f>'NOTE 16 B bis'!B6</f>
        <v>Adresse:</v>
      </c>
      <c r="C6" s="745">
        <f>'NOTE 16 B bis'!C6</f>
        <v>0</v>
      </c>
      <c r="D6" s="656"/>
      <c r="E6" s="656"/>
      <c r="F6" s="656"/>
      <c r="G6" s="704" t="str">
        <f>'NOTE 16 B bis'!G6</f>
        <v>BP:</v>
      </c>
      <c r="H6" s="746" t="str">
        <f>'NOTE 16 B bis'!H6</f>
        <v/>
      </c>
    </row>
    <row r="7" spans="2:8" ht="26.25" customHeight="1">
      <c r="B7" s="43" t="str">
        <f>'NOTE 16 B bis'!B7</f>
        <v>Numéro d'identification:</v>
      </c>
      <c r="C7" s="747" t="str">
        <f>'NOTE 16 B bis'!C7</f>
        <v/>
      </c>
      <c r="D7" s="512"/>
      <c r="E7" s="481" t="str">
        <f>'NOTE 16 B bis'!E7</f>
        <v xml:space="preserve">   Exercice clos le 31 - 12- </v>
      </c>
      <c r="F7" s="184">
        <f>'NOTE 16 B'!G7</f>
        <v>2025</v>
      </c>
      <c r="G7" s="317" t="str">
        <f>'NOTE 16 B bis'!G7</f>
        <v xml:space="preserve">    Durée (en mois):</v>
      </c>
      <c r="H7" s="184">
        <f>'NOTE 16 B'!I7</f>
        <v>12</v>
      </c>
    </row>
    <row r="8" spans="2:8" ht="12.75" customHeight="1">
      <c r="B8" s="43">
        <f>'NOTE 16 B bis'!B8</f>
        <v>0</v>
      </c>
      <c r="C8" s="658"/>
      <c r="D8" s="144"/>
      <c r="E8" s="144"/>
      <c r="F8" s="658"/>
      <c r="G8" s="144"/>
      <c r="H8" s="658"/>
    </row>
    <row r="9" spans="2:8" ht="24.75" customHeight="1">
      <c r="B9" s="1861" t="str">
        <f>IF([1]ACCUEIL!B1=1,"NOTE 16 C CONTINGENT ASSETS AND LIABILITIES","NOTE 16 C ACTIFS ET PASSIFS EVENTUELS")</f>
        <v>NOTE 16 C ACTIFS ET PASSIFS EVENTUELS</v>
      </c>
      <c r="C9" s="1861"/>
      <c r="D9" s="1861"/>
      <c r="E9" s="1861"/>
      <c r="F9" s="1861"/>
      <c r="G9" s="1861"/>
      <c r="H9" s="1861"/>
    </row>
    <row r="10" spans="2:8" ht="18.75" customHeight="1">
      <c r="B10" s="1946" t="str">
        <f>'NOTE 16 B bis'!B11:D11</f>
        <v xml:space="preserve">      RUBRIQUES</v>
      </c>
      <c r="C10" s="1684"/>
      <c r="D10" s="1684"/>
      <c r="E10" s="1684"/>
      <c r="F10" s="1937"/>
      <c r="G10" s="514" t="str">
        <f>'NOTE 16 B bis'!E17</f>
        <v>Année 2025</v>
      </c>
      <c r="H10" s="514" t="str">
        <f>'NOTE 16 B bis'!G17</f>
        <v>Année 2024</v>
      </c>
    </row>
    <row r="11" spans="2:8">
      <c r="B11" s="1943" t="str">
        <f>IF([1]ACCUEIL!B1=1,"Contingent assets","Actif  éventuel")</f>
        <v>Actif  éventuel</v>
      </c>
      <c r="C11" s="1944"/>
      <c r="D11" s="1944"/>
      <c r="E11" s="1944"/>
      <c r="F11" s="1945"/>
      <c r="G11" s="748">
        <f>'[1]NOTE 16 C'!G11</f>
        <v>0</v>
      </c>
      <c r="H11" s="748">
        <f>'[1]NOTE 16 C'!H11</f>
        <v>0</v>
      </c>
    </row>
    <row r="12" spans="2:8">
      <c r="B12" s="1943" t="str">
        <f>IF([1]ACCUEIL!B1=1,"Litigation","Litiges")</f>
        <v>Litiges</v>
      </c>
      <c r="C12" s="1944"/>
      <c r="D12" s="1944"/>
      <c r="E12" s="1944"/>
      <c r="F12" s="1945"/>
      <c r="G12" s="748">
        <f>'[1]NOTE 16 C'!G12</f>
        <v>0</v>
      </c>
      <c r="H12" s="748">
        <f>'[1]NOTE 16 C'!H12</f>
        <v>0</v>
      </c>
    </row>
    <row r="13" spans="2:8">
      <c r="B13" s="1943" t="s">
        <v>269</v>
      </c>
      <c r="C13" s="1944"/>
      <c r="D13" s="1944"/>
      <c r="E13" s="1944"/>
      <c r="F13" s="1945"/>
      <c r="G13" s="748">
        <f>'[1]NOTE 16 C'!G13</f>
        <v>0</v>
      </c>
      <c r="H13" s="748">
        <f>'[1]NOTE 16 C'!H13</f>
        <v>0</v>
      </c>
    </row>
    <row r="14" spans="2:8">
      <c r="B14" s="1943" t="s">
        <v>269</v>
      </c>
      <c r="C14" s="1944"/>
      <c r="D14" s="1944"/>
      <c r="E14" s="1944"/>
      <c r="F14" s="1945"/>
      <c r="G14" s="748">
        <f>'[1]NOTE 16 C'!G14</f>
        <v>0</v>
      </c>
      <c r="H14" s="748">
        <f>'[1]NOTE 16 C'!H14</f>
        <v>0</v>
      </c>
    </row>
    <row r="15" spans="2:8">
      <c r="B15" s="1943" t="str">
        <f>IF([1]ACCUEIL!B1=1,"Contingent liabilities","Passif éventuel")</f>
        <v>Passif éventuel</v>
      </c>
      <c r="C15" s="1944"/>
      <c r="D15" s="1944"/>
      <c r="E15" s="1944"/>
      <c r="F15" s="1945"/>
      <c r="G15" s="748">
        <f>'[1]NOTE 16 C'!G15</f>
        <v>0</v>
      </c>
      <c r="H15" s="748">
        <f>'[1]NOTE 16 C'!H15</f>
        <v>0</v>
      </c>
    </row>
    <row r="16" spans="2:8">
      <c r="B16" s="1943" t="str">
        <f>B12</f>
        <v>Litiges</v>
      </c>
      <c r="C16" s="1944"/>
      <c r="D16" s="1944"/>
      <c r="E16" s="1944"/>
      <c r="F16" s="1945"/>
      <c r="G16" s="748">
        <f>'[1]NOTE 16 C'!G16</f>
        <v>0</v>
      </c>
      <c r="H16" s="748">
        <f>'[1]NOTE 16 C'!H16</f>
        <v>0</v>
      </c>
    </row>
    <row r="17" spans="2:8">
      <c r="B17" s="1943" t="s">
        <v>270</v>
      </c>
      <c r="C17" s="1944"/>
      <c r="D17" s="1944"/>
      <c r="E17" s="1944"/>
      <c r="F17" s="1945"/>
      <c r="G17" s="748">
        <f>'[1]NOTE 16 C'!G17</f>
        <v>0</v>
      </c>
      <c r="H17" s="748">
        <f>'[1]NOTE 16 C'!H17</f>
        <v>0</v>
      </c>
    </row>
    <row r="18" spans="2:8">
      <c r="B18" s="1943" t="s">
        <v>271</v>
      </c>
      <c r="C18" s="1944"/>
      <c r="D18" s="1944"/>
      <c r="E18" s="1944"/>
      <c r="F18" s="1945"/>
      <c r="G18" s="748">
        <f>'[1]NOTE 16 C'!G18</f>
        <v>0</v>
      </c>
      <c r="H18" s="748">
        <f>'[1]NOTE 16 C'!H18</f>
        <v>0</v>
      </c>
    </row>
    <row r="19" spans="2:8">
      <c r="B19" s="81"/>
      <c r="C19" s="1947"/>
      <c r="D19" s="1947"/>
      <c r="E19" s="1947"/>
      <c r="F19" s="1947"/>
      <c r="G19" s="1947"/>
      <c r="H19" s="1947"/>
    </row>
    <row r="20" spans="2:8">
      <c r="B20" s="558" t="str">
        <f>'NOTE 16 B bis'!B24</f>
        <v>COMMENTAIRE</v>
      </c>
      <c r="C20" s="1660">
        <f>'[1]NOTE 16 C'!C20:H20</f>
        <v>0</v>
      </c>
      <c r="D20" s="1660"/>
      <c r="E20" s="1660"/>
      <c r="F20" s="1660"/>
      <c r="G20" s="1660"/>
      <c r="H20" s="1660"/>
    </row>
    <row r="21" spans="2:8">
      <c r="B21" s="560"/>
      <c r="C21" s="1660">
        <f>'[1]NOTE 16 C'!C21:H21</f>
        <v>0</v>
      </c>
      <c r="D21" s="1660"/>
      <c r="E21" s="1660"/>
      <c r="F21" s="1660"/>
      <c r="G21" s="1660"/>
      <c r="H21" s="1660"/>
    </row>
    <row r="22" spans="2:8">
      <c r="B22" s="749"/>
      <c r="C22" s="1660">
        <f>'[1]NOTE 16 C'!C22:H22</f>
        <v>0</v>
      </c>
      <c r="D22" s="1660"/>
      <c r="E22" s="1660"/>
      <c r="F22" s="1660"/>
      <c r="G22" s="1660"/>
      <c r="H22" s="1660"/>
    </row>
    <row r="23" spans="2:8">
      <c r="B23" s="81"/>
      <c r="C23" s="1660">
        <f>'[1]NOTE 16 C'!C23:H23</f>
        <v>0</v>
      </c>
      <c r="D23" s="1660"/>
      <c r="E23" s="1660"/>
      <c r="F23" s="1660"/>
      <c r="G23" s="1660"/>
      <c r="H23" s="1660"/>
    </row>
    <row r="24" spans="2:8">
      <c r="B24" s="81"/>
      <c r="C24" s="1660">
        <f>'[1]NOTE 16 C'!C24:H24</f>
        <v>0</v>
      </c>
      <c r="D24" s="1660"/>
      <c r="E24" s="1660"/>
      <c r="F24" s="1660"/>
      <c r="G24" s="1660"/>
      <c r="H24" s="1660"/>
    </row>
    <row r="25" spans="2:8">
      <c r="B25" s="81"/>
      <c r="C25" s="1660">
        <f>'[1]NOTE 16 C'!C25:H25</f>
        <v>0</v>
      </c>
      <c r="D25" s="1660"/>
      <c r="E25" s="1660"/>
      <c r="F25" s="1660"/>
      <c r="G25" s="1660"/>
      <c r="H25" s="1660"/>
    </row>
    <row r="26" spans="2:8">
      <c r="C26" s="1660">
        <f>'[1]NOTE 16 C'!C26:H26</f>
        <v>0</v>
      </c>
      <c r="D26" s="1660"/>
      <c r="E26" s="1660"/>
      <c r="F26" s="1660"/>
      <c r="G26" s="1660"/>
      <c r="H26" s="1660"/>
    </row>
    <row r="27" spans="2:8">
      <c r="C27" s="1660">
        <f>'[1]NOTE 16 C'!C27:H27</f>
        <v>0</v>
      </c>
      <c r="D27" s="1660"/>
      <c r="E27" s="1660"/>
      <c r="F27" s="1660"/>
      <c r="G27" s="1660"/>
      <c r="H27" s="1660"/>
    </row>
    <row r="28" spans="2:8">
      <c r="C28" s="1660">
        <f>'[1]NOTE 16 C'!C28:H28</f>
        <v>0</v>
      </c>
      <c r="D28" s="1660"/>
      <c r="E28" s="1660"/>
      <c r="F28" s="1660"/>
      <c r="G28" s="1660"/>
      <c r="H28" s="1660"/>
    </row>
    <row r="29" spans="2:8">
      <c r="C29" s="1660">
        <f>'[1]NOTE 16 C'!C29:H29</f>
        <v>0</v>
      </c>
      <c r="D29" s="1660"/>
      <c r="E29" s="1660"/>
      <c r="F29" s="1660"/>
      <c r="G29" s="1660"/>
      <c r="H29" s="1660"/>
    </row>
    <row r="30" spans="2:8">
      <c r="C30" s="1660">
        <f>'[1]NOTE 16 C'!C30:H30</f>
        <v>0</v>
      </c>
      <c r="D30" s="1660"/>
      <c r="E30" s="1660"/>
      <c r="F30" s="1660"/>
      <c r="G30" s="1660"/>
      <c r="H30" s="1660"/>
    </row>
    <row r="31" spans="2:8">
      <c r="C31" s="1660">
        <f>'[1]NOTE 16 C'!C31:H31</f>
        <v>0</v>
      </c>
      <c r="D31" s="1660"/>
      <c r="E31" s="1660"/>
      <c r="F31" s="1660"/>
      <c r="G31" s="1660"/>
      <c r="H31" s="1660"/>
    </row>
  </sheetData>
  <sheetProtection selectLockedCells="1"/>
  <mergeCells count="25">
    <mergeCell ref="C31:H31"/>
    <mergeCell ref="C25:H25"/>
    <mergeCell ref="C26:H26"/>
    <mergeCell ref="C27:H27"/>
    <mergeCell ref="C28:H28"/>
    <mergeCell ref="C29:H29"/>
    <mergeCell ref="C30:H30"/>
    <mergeCell ref="C24:H24"/>
    <mergeCell ref="B13:F13"/>
    <mergeCell ref="B14:F14"/>
    <mergeCell ref="B15:F15"/>
    <mergeCell ref="B16:F16"/>
    <mergeCell ref="B17:F17"/>
    <mergeCell ref="B18:F18"/>
    <mergeCell ref="C19:H19"/>
    <mergeCell ref="C20:H20"/>
    <mergeCell ref="C21:H21"/>
    <mergeCell ref="C22:H22"/>
    <mergeCell ref="C23:H23"/>
    <mergeCell ref="B12:F12"/>
    <mergeCell ref="B1:H1"/>
    <mergeCell ref="G2:H3"/>
    <mergeCell ref="B9:H9"/>
    <mergeCell ref="B10:F10"/>
    <mergeCell ref="B11:F11"/>
  </mergeCells>
  <conditionalFormatting sqref="G5:H5 E5 D6:G6 G7">
    <cfRule type="expression" dxfId="18" priority="1">
      <formula>#REF!=1</formula>
    </cfRule>
  </conditionalFormatting>
  <printOptions horizontalCentered="1"/>
  <pageMargins left="0.78740157480314965" right="0" top="0.59055118110236227" bottom="0.19685039370078741" header="0.31496062992125984" footer="0.31496062992125984"/>
  <pageSetup paperSize="9" scale="75" orientation="portrait" r:id="rId1"/>
  <headerFooter>
    <oddHeader>&amp;C&amp;"-,Gras"&amp;14Page &amp;P / &amp;N</oddHead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Feuil43">
    <pageSetUpPr fitToPage="1"/>
  </sheetPr>
  <dimension ref="B1:P42"/>
  <sheetViews>
    <sheetView showGridLines="0" showZeros="0" topLeftCell="A7" zoomScale="80" zoomScaleNormal="80" zoomScaleSheetLayoutView="100" workbookViewId="0">
      <selection activeCell="U12" sqref="U12"/>
    </sheetView>
  </sheetViews>
  <sheetFormatPr baseColWidth="10" defaultColWidth="11.42578125" defaultRowHeight="15"/>
  <cols>
    <col min="1" max="1" width="9.42578125" style="2" customWidth="1"/>
    <col min="2" max="2" width="24.85546875" style="2" customWidth="1"/>
    <col min="3" max="3" width="29.42578125" style="2" customWidth="1"/>
    <col min="4" max="4" width="7" style="2" customWidth="1"/>
    <col min="5" max="5" width="6.140625" style="2" customWidth="1"/>
    <col min="6" max="6" width="20.7109375" style="2" customWidth="1"/>
    <col min="7" max="7" width="18.42578125" style="2" customWidth="1"/>
    <col min="8" max="8" width="14.28515625" style="2" bestFit="1" customWidth="1"/>
    <col min="9" max="9" width="15.85546875" style="2" customWidth="1"/>
    <col min="10" max="10" width="22.42578125" style="2" bestFit="1" customWidth="1"/>
    <col min="11" max="11" width="17.42578125" style="2" customWidth="1"/>
    <col min="12" max="12" width="7.7109375" style="2" hidden="1" customWidth="1"/>
    <col min="13" max="13" width="7.42578125" style="2" hidden="1" customWidth="1"/>
    <col min="14" max="14" width="8.7109375" style="2" hidden="1" customWidth="1"/>
    <col min="15" max="15" width="10.28515625" style="2" hidden="1" customWidth="1"/>
    <col min="16" max="16384" width="11.42578125" style="2"/>
  </cols>
  <sheetData>
    <row r="1" spans="2:15">
      <c r="B1" s="1649"/>
      <c r="C1" s="1649"/>
      <c r="D1" s="1649"/>
      <c r="E1" s="1649"/>
      <c r="F1" s="1649"/>
      <c r="G1" s="1649"/>
      <c r="H1" s="1649"/>
      <c r="I1" s="1649"/>
      <c r="J1" s="1649"/>
      <c r="K1" s="1649"/>
    </row>
    <row r="2" spans="2:15">
      <c r="B2" s="144"/>
      <c r="C2" s="144"/>
      <c r="D2" s="144"/>
      <c r="E2" s="144"/>
      <c r="F2" s="144"/>
      <c r="G2" s="144"/>
      <c r="H2" s="144"/>
      <c r="I2" s="144"/>
      <c r="J2" s="1650" t="str">
        <f>IF([1]ACCUEIL!B1=1,"NOTE 17
NORMAL SYSTEM","NOTE 17
SYSTEME NORMAL")</f>
        <v>NOTE 17
SYSTEME NORMAL</v>
      </c>
      <c r="K2" s="1651"/>
    </row>
    <row r="3" spans="2:15" ht="15" customHeight="1">
      <c r="B3" s="43"/>
      <c r="C3" s="43"/>
      <c r="D3" s="43"/>
      <c r="E3" s="43"/>
      <c r="F3" s="43"/>
      <c r="G3" s="43"/>
      <c r="H3" s="43"/>
      <c r="I3" s="43"/>
      <c r="J3" s="1652"/>
      <c r="K3" s="1653"/>
    </row>
    <row r="4" spans="2:15">
      <c r="B4" s="43" t="str">
        <f>'NOTE 16 C'!B4</f>
        <v>Désignation entité:</v>
      </c>
      <c r="C4" s="650" t="str">
        <f>'NOTE 16 C'!C4</f>
        <v/>
      </c>
      <c r="D4" s="428"/>
      <c r="E4" s="43"/>
      <c r="F4" s="43"/>
      <c r="G4" s="43"/>
      <c r="H4" s="43"/>
      <c r="I4" s="651"/>
      <c r="J4" s="651"/>
      <c r="K4" s="651"/>
    </row>
    <row r="5" spans="2:15">
      <c r="B5" s="43" t="str">
        <f>'NOTE 16 C'!B5</f>
        <v>Sigle usuel :</v>
      </c>
      <c r="C5" s="650" t="str">
        <f>'NOTE 16 C'!C5</f>
        <v/>
      </c>
      <c r="D5" s="750"/>
      <c r="E5" s="653"/>
      <c r="F5" s="750"/>
      <c r="G5" s="705"/>
      <c r="H5" s="705"/>
      <c r="I5" s="512"/>
      <c r="J5" s="512"/>
      <c r="K5" s="703"/>
    </row>
    <row r="6" spans="2:15">
      <c r="B6" s="43" t="str">
        <f>'NOTE 16 C'!B6</f>
        <v>Adresse:</v>
      </c>
      <c r="C6" s="650">
        <f>'NOTE 16 C'!C6</f>
        <v>0</v>
      </c>
      <c r="D6" s="751"/>
      <c r="E6" s="703"/>
      <c r="F6" s="703"/>
      <c r="G6" s="658"/>
      <c r="H6" s="654"/>
      <c r="I6" s="653"/>
      <c r="J6" s="317" t="str">
        <f>'NOTE 16 C'!G6</f>
        <v>BP:</v>
      </c>
      <c r="K6" s="650" t="str">
        <f>'NOTE 16 C'!H6</f>
        <v/>
      </c>
    </row>
    <row r="7" spans="2:15">
      <c r="B7" s="43" t="str">
        <f>'NOTE 16 C'!B7</f>
        <v>Numéro d'identification:</v>
      </c>
      <c r="C7" s="512" t="str">
        <f>'NOTE 16 C'!C7</f>
        <v/>
      </c>
      <c r="D7" s="703"/>
      <c r="E7" s="651"/>
      <c r="F7" s="651"/>
      <c r="G7" s="1948" t="str">
        <f>'NOTE 16 C'!E7</f>
        <v xml:space="preserve">   Exercice clos le 31 - 12- </v>
      </c>
      <c r="H7" s="1949"/>
      <c r="I7" s="650">
        <f>'NOTE 16 B'!G7</f>
        <v>2025</v>
      </c>
      <c r="J7" s="318" t="str">
        <f>'NOTE 16 C'!G7</f>
        <v xml:space="preserve">    Durée (en mois):</v>
      </c>
      <c r="K7" s="650">
        <f>'NOTE 16 B'!I7</f>
        <v>12</v>
      </c>
    </row>
    <row r="8" spans="2:15">
      <c r="B8" s="43"/>
      <c r="C8" s="319"/>
      <c r="D8" s="705"/>
      <c r="E8" s="43"/>
      <c r="F8" s="43"/>
      <c r="G8" s="318"/>
      <c r="H8" s="318"/>
      <c r="I8" s="319"/>
      <c r="J8" s="319"/>
      <c r="K8" s="319"/>
    </row>
    <row r="9" spans="2:15">
      <c r="B9" s="1617" t="str">
        <f>IF([1]ACCUEIL!B1=1,"NOTE 17 OPERATING PROVIDERS","NOTE 17 FOURNISSEURS D'EXPLOITATION ")</f>
        <v xml:space="preserve">NOTE 17 FOURNISSEURS D'EXPLOITATION </v>
      </c>
      <c r="C9" s="1617"/>
      <c r="D9" s="1617"/>
      <c r="E9" s="1617"/>
      <c r="F9" s="1617"/>
      <c r="G9" s="1617"/>
      <c r="H9" s="1617"/>
      <c r="I9" s="1617"/>
      <c r="J9" s="1617"/>
      <c r="K9" s="1617"/>
    </row>
    <row r="11" spans="2:15">
      <c r="B11" s="1773" t="str">
        <f>'NOTE 16 C'!B10:F10</f>
        <v xml:space="preserve">      RUBRIQUES</v>
      </c>
      <c r="C11" s="1567"/>
      <c r="D11" s="1567"/>
      <c r="E11" s="1568"/>
      <c r="F11" s="1950" t="str">
        <f>'NOTE 16 A'!D10</f>
        <v>Année 2025</v>
      </c>
      <c r="G11" s="1950" t="str">
        <f>'NOTE 16 A'!E10</f>
        <v>Année 2024</v>
      </c>
      <c r="H11" s="1951" t="str">
        <f>'NOTE 16 A'!G10</f>
        <v xml:space="preserve">Variation en % </v>
      </c>
      <c r="I11" s="1952" t="str">
        <f>'NOTE 16 A'!H10</f>
        <v>Créances à un an ou plus</v>
      </c>
      <c r="J11" s="1952" t="str">
        <f>'NOTE 16 A'!I10</f>
        <v>Créances à plus d'un an et à deux ans au plus</v>
      </c>
      <c r="K11" s="1952" t="str">
        <f>'NOTE 16 A'!J10</f>
        <v>Créances à plus de deux ans</v>
      </c>
    </row>
    <row r="12" spans="2:15">
      <c r="B12" s="1569"/>
      <c r="C12" s="1570"/>
      <c r="D12" s="1570"/>
      <c r="E12" s="1571"/>
      <c r="F12" s="1564"/>
      <c r="G12" s="1564" t="s">
        <v>272</v>
      </c>
      <c r="H12" s="1564"/>
      <c r="I12" s="1953"/>
      <c r="J12" s="1953"/>
      <c r="K12" s="1953"/>
    </row>
    <row r="13" spans="2:15">
      <c r="B13" s="1569"/>
      <c r="C13" s="1570"/>
      <c r="D13" s="1570"/>
      <c r="E13" s="1571"/>
      <c r="F13" s="1564"/>
      <c r="G13" s="1564"/>
      <c r="H13" s="1564"/>
      <c r="I13" s="1953"/>
      <c r="J13" s="1953"/>
      <c r="K13" s="1953"/>
    </row>
    <row r="14" spans="2:15" s="522" customFormat="1" ht="24" customHeight="1">
      <c r="B14" s="1572"/>
      <c r="C14" s="1573"/>
      <c r="D14" s="1573"/>
      <c r="E14" s="1574"/>
      <c r="F14" s="1565"/>
      <c r="G14" s="1565"/>
      <c r="H14" s="1565"/>
      <c r="I14" s="1954"/>
      <c r="J14" s="1954"/>
      <c r="K14" s="1954"/>
    </row>
    <row r="15" spans="2:15" s="522" customFormat="1" ht="24" customHeight="1">
      <c r="B15" s="710" t="str">
        <f>IF([1]ACCUEIL!B1=1,"Accounts payable suppliers (outside the group)","Fournisseurs dettes en compte (hors groupe)")</f>
        <v>Fournisseurs dettes en compte (hors groupe)</v>
      </c>
      <c r="C15" s="711"/>
      <c r="D15" s="711"/>
      <c r="E15" s="712"/>
      <c r="F15" s="484">
        <f>'[1]CLASSE 4'!J6</f>
        <v>0</v>
      </c>
      <c r="G15" s="484">
        <f>'[1]BALANCE REGROUPE'!J952</f>
        <v>0</v>
      </c>
      <c r="H15" s="570">
        <f>IF(L15=0,0,O15)</f>
        <v>0</v>
      </c>
      <c r="I15" s="645"/>
      <c r="J15" s="645"/>
      <c r="K15" s="645"/>
      <c r="L15" s="580">
        <f>F15-G15</f>
        <v>0</v>
      </c>
      <c r="M15" s="522">
        <f>IF(G15=0,1,IF(G15&lt;0,(F15-G15)/-G15,(F15-G15)/G15))</f>
        <v>1</v>
      </c>
      <c r="N15" s="522">
        <f>IF(L15=F15,IF(F15&lt;0,-1,0))</f>
        <v>0</v>
      </c>
      <c r="O15" s="522">
        <f>IF(N15=-1,-1,M15)</f>
        <v>1</v>
      </c>
    </row>
    <row r="16" spans="2:15" s="522" customFormat="1" ht="24" customHeight="1">
      <c r="B16" s="710" t="str">
        <f>IF([1]ACCUEIL!B1=1,"Suppliers, subcontractors","Fournisseurs, sous-traitants")</f>
        <v>Fournisseurs, sous-traitants</v>
      </c>
      <c r="C16" s="711"/>
      <c r="D16" s="711"/>
      <c r="E16" s="712"/>
      <c r="F16" s="752">
        <f>'[1]CLASSE 4'!J10</f>
        <v>0</v>
      </c>
      <c r="G16" s="752">
        <f>'[1]BALANCE REGROUPE'!J956</f>
        <v>0</v>
      </c>
      <c r="H16" s="570">
        <f t="shared" ref="H16:H30" si="0">IF(L16=0,0,O16)</f>
        <v>0</v>
      </c>
      <c r="I16" s="645"/>
      <c r="J16" s="645"/>
      <c r="K16" s="645"/>
      <c r="L16" s="580">
        <f t="shared" ref="L16:L30" si="1">F16-G16</f>
        <v>0</v>
      </c>
      <c r="M16" s="522">
        <f t="shared" ref="M16:M30" si="2">IF(G16=0,1,IF(G16&lt;0,(F16-G16)/-G16,(F16-G16)/G16))</f>
        <v>1</v>
      </c>
      <c r="N16" s="522">
        <f t="shared" ref="N16:N30" si="3">IF(L16=F16,IF(F16&lt;0,-1,0))</f>
        <v>0</v>
      </c>
      <c r="O16" s="522">
        <f t="shared" ref="O16:O30" si="4">IF(N16=-1,-1,M16)</f>
        <v>1</v>
      </c>
    </row>
    <row r="17" spans="2:16" s="522" customFormat="1" ht="24" customHeight="1">
      <c r="B17" s="710" t="str">
        <f>IF([1]ACCUEIL!B1=1,"Suppliers, retention of title","Fournisseurs, réserve de propriété")</f>
        <v>Fournisseurs, réserve de propriété</v>
      </c>
      <c r="C17" s="711"/>
      <c r="D17" s="711"/>
      <c r="E17" s="712"/>
      <c r="F17" s="753">
        <f>'[1]NOTE 17'!F17</f>
        <v>0</v>
      </c>
      <c r="G17" s="753">
        <f>'[1]NOTE 17'!G17</f>
        <v>0</v>
      </c>
      <c r="H17" s="753">
        <f>'[1]NOTE 17'!H17</f>
        <v>0</v>
      </c>
      <c r="I17" s="753">
        <f>'[1]NOTE 17'!I17</f>
        <v>0</v>
      </c>
      <c r="J17" s="753">
        <f>'[1]NOTE 17'!J17</f>
        <v>0</v>
      </c>
      <c r="K17" s="645"/>
      <c r="L17" s="580">
        <f t="shared" si="1"/>
        <v>0</v>
      </c>
      <c r="M17" s="522">
        <f t="shared" si="2"/>
        <v>1</v>
      </c>
      <c r="N17" s="522">
        <f t="shared" si="3"/>
        <v>0</v>
      </c>
      <c r="O17" s="522">
        <f t="shared" si="4"/>
        <v>1</v>
      </c>
    </row>
    <row r="18" spans="2:16" s="522" customFormat="1" ht="24" customHeight="1">
      <c r="B18" s="710" t="str">
        <f>IF([1]ACCUEIL!B1=1,"Suppliers, withholding warranty","Fournisseurs, retenue de garantie")</f>
        <v>Fournisseurs, retenue de garantie</v>
      </c>
      <c r="C18" s="711"/>
      <c r="D18" s="711"/>
      <c r="E18" s="712"/>
      <c r="F18" s="752">
        <f>'[1]CLASSE 4'!J12</f>
        <v>0</v>
      </c>
      <c r="G18" s="752">
        <f>'[1]BALANCE REGROUPE'!J958</f>
        <v>0</v>
      </c>
      <c r="H18" s="570">
        <f t="shared" si="0"/>
        <v>0</v>
      </c>
      <c r="I18" s="645"/>
      <c r="J18" s="645"/>
      <c r="K18" s="645"/>
      <c r="L18" s="580">
        <f t="shared" si="1"/>
        <v>0</v>
      </c>
      <c r="M18" s="522">
        <f t="shared" si="2"/>
        <v>1</v>
      </c>
      <c r="N18" s="522">
        <f t="shared" si="3"/>
        <v>0</v>
      </c>
      <c r="O18" s="522">
        <f t="shared" si="4"/>
        <v>1</v>
      </c>
    </row>
    <row r="19" spans="2:16" s="522" customFormat="1" ht="24" customHeight="1">
      <c r="B19" s="710" t="str">
        <f>IF([1]ACCUEIL!B1=1,"Bill payable suppliers (outside the group)","Fournisseurs effets à payer (hors groupe)")</f>
        <v>Fournisseurs effets à payer (hors groupe)</v>
      </c>
      <c r="C19" s="711"/>
      <c r="D19" s="711"/>
      <c r="E19" s="712"/>
      <c r="F19" s="752">
        <f>'[1]CLASSE 4'!J16+'[1]CLASSE 4'!J20</f>
        <v>0</v>
      </c>
      <c r="G19" s="752">
        <f>'[1]BALANCE REGROUPE'!J962+'[1]BALANCE REGROUPE'!J966</f>
        <v>0</v>
      </c>
      <c r="H19" s="570">
        <f t="shared" si="0"/>
        <v>0</v>
      </c>
      <c r="I19" s="645"/>
      <c r="J19" s="645"/>
      <c r="K19" s="645"/>
      <c r="L19" s="580">
        <f t="shared" si="1"/>
        <v>0</v>
      </c>
      <c r="M19" s="522">
        <f t="shared" si="2"/>
        <v>1</v>
      </c>
      <c r="N19" s="522">
        <f t="shared" si="3"/>
        <v>0</v>
      </c>
      <c r="O19" s="522">
        <f t="shared" si="4"/>
        <v>1</v>
      </c>
    </row>
    <row r="20" spans="2:16" s="522" customFormat="1" ht="24" customHeight="1">
      <c r="B20" s="710" t="str">
        <f>IF([1]ACCUEIL!B1=1,"Suppliers, debts and bills payable group","Fournisseurs, dettes et effets à payer groupe")</f>
        <v>Fournisseurs, dettes et effets à payer groupe</v>
      </c>
      <c r="C20" s="711"/>
      <c r="D20" s="711"/>
      <c r="E20" s="712"/>
      <c r="F20" s="752">
        <f>'[1]CLASSE 4'!J8+'[1]CLASSE 4'!J18</f>
        <v>0</v>
      </c>
      <c r="G20" s="752">
        <f>'[1]BALANCE REGROUPE'!J954+'[1]BALANCE REGROUPE'!J964</f>
        <v>0</v>
      </c>
      <c r="H20" s="570">
        <f t="shared" si="0"/>
        <v>0</v>
      </c>
      <c r="I20" s="645"/>
      <c r="J20" s="645"/>
      <c r="K20" s="645"/>
      <c r="L20" s="580">
        <f t="shared" si="1"/>
        <v>0</v>
      </c>
      <c r="M20" s="522">
        <f t="shared" si="2"/>
        <v>1</v>
      </c>
      <c r="N20" s="522">
        <f t="shared" si="3"/>
        <v>0</v>
      </c>
      <c r="O20" s="522">
        <f t="shared" si="4"/>
        <v>1</v>
      </c>
    </row>
    <row r="21" spans="2:16" s="522" customFormat="1" ht="24" customHeight="1">
      <c r="B21" s="710" t="str">
        <f>IF([1]ACCUEIL!B1=1,"Suppliers, current acquisitions of fixed assets","Fournisseurs, acquisitions courantes d'immobilisations")</f>
        <v>Fournisseurs, acquisitions courantes d'immobilisations</v>
      </c>
      <c r="C21" s="711"/>
      <c r="D21" s="711"/>
      <c r="E21" s="712"/>
      <c r="F21" s="752">
        <f>'[1]CLASSE 4'!J32</f>
        <v>0</v>
      </c>
      <c r="G21" s="752">
        <f>+'[1]BALANCE REGROUPE'!J978</f>
        <v>0</v>
      </c>
      <c r="H21" s="570">
        <f t="shared" si="0"/>
        <v>0</v>
      </c>
      <c r="I21" s="645"/>
      <c r="J21" s="645"/>
      <c r="K21" s="645"/>
      <c r="L21" s="580">
        <f t="shared" si="1"/>
        <v>0</v>
      </c>
      <c r="M21" s="522">
        <f t="shared" si="2"/>
        <v>1</v>
      </c>
      <c r="N21" s="522">
        <f t="shared" si="3"/>
        <v>0</v>
      </c>
      <c r="O21" s="522">
        <f t="shared" si="4"/>
        <v>1</v>
      </c>
    </row>
    <row r="22" spans="2:16" s="522" customFormat="1" ht="24" customHeight="1">
      <c r="B22" s="710" t="str">
        <f>IF([1]ACCUEIL!B1=1,"Invoice suppliers not received (outside the group)","Fournisseurs factures non parvenues (hors groupe)")</f>
        <v>Fournisseurs factures non parvenues (hors groupe)</v>
      </c>
      <c r="C22" s="711"/>
      <c r="D22" s="711"/>
      <c r="E22" s="712"/>
      <c r="F22" s="752">
        <f>+'[1]CLASSE 4'!J34+'[1]CLASSE 4'!J38+'[1]CLASSE 4'!J40-'[1]CLASSE 4'!I34-'[1]CLASSE 4'!I38-'[1]CLASSE 4'!I40</f>
        <v>0</v>
      </c>
      <c r="G22" s="752">
        <f>+'[1]BALANCE REGROUPE'!J980+'[1]BALANCE REGROUPE'!J984+'[1]BALANCE REGROUPE'!J986-'[1]BALANCE REGROUPE'!I986-'[1]BALANCE REGROUPE'!I984-'[1]BALANCE REGROUPE'!I980</f>
        <v>0</v>
      </c>
      <c r="H22" s="570">
        <f t="shared" si="0"/>
        <v>0</v>
      </c>
      <c r="I22" s="645"/>
      <c r="J22" s="645"/>
      <c r="K22" s="645"/>
      <c r="L22" s="580">
        <f t="shared" si="1"/>
        <v>0</v>
      </c>
      <c r="M22" s="522">
        <f t="shared" si="2"/>
        <v>1</v>
      </c>
      <c r="N22" s="522">
        <f t="shared" si="3"/>
        <v>0</v>
      </c>
      <c r="O22" s="522">
        <f t="shared" si="4"/>
        <v>1</v>
      </c>
    </row>
    <row r="23" spans="2:16" s="522" customFormat="1" ht="24" customHeight="1">
      <c r="B23" s="710" t="str">
        <f>IF([1]ACCUEIL!B1=1,"Suppliers invoices not received by the group","Fournisseurs factures non parvenues groupe")</f>
        <v>Fournisseurs factures non parvenues groupe</v>
      </c>
      <c r="C23" s="711"/>
      <c r="D23" s="711"/>
      <c r="E23" s="712"/>
      <c r="F23" s="752">
        <f>+'[1]CLASSE 4'!J36-'[1]CLASSE 4'!I36</f>
        <v>0</v>
      </c>
      <c r="G23" s="752">
        <f>+'[1]BALANCE REGROUPE'!J982-'[1]BALANCE REGROUPE'!I982</f>
        <v>0</v>
      </c>
      <c r="H23" s="570">
        <f t="shared" si="0"/>
        <v>0</v>
      </c>
      <c r="I23" s="645"/>
      <c r="J23" s="645"/>
      <c r="K23" s="645"/>
      <c r="L23" s="580">
        <f t="shared" si="1"/>
        <v>0</v>
      </c>
      <c r="M23" s="522">
        <f t="shared" si="2"/>
        <v>1</v>
      </c>
      <c r="N23" s="522">
        <f t="shared" si="3"/>
        <v>0</v>
      </c>
      <c r="O23" s="522">
        <f t="shared" si="4"/>
        <v>1</v>
      </c>
    </row>
    <row r="24" spans="2:16" s="754" customFormat="1" ht="24" customHeight="1">
      <c r="B24" s="237" t="str">
        <f>IF([1]ACCUEIL!B1=1,"TOTAL SUPPLIERS","TOTAL FOURNISSEURS")</f>
        <v>TOTAL FOURNISSEURS</v>
      </c>
      <c r="C24" s="576"/>
      <c r="D24" s="576"/>
      <c r="E24" s="622"/>
      <c r="F24" s="483">
        <f>SUM(F15:F23)</f>
        <v>0</v>
      </c>
      <c r="G24" s="483">
        <f>SUM(G15:G23)</f>
        <v>0</v>
      </c>
      <c r="H24" s="570">
        <f t="shared" si="0"/>
        <v>0</v>
      </c>
      <c r="I24" s="645">
        <f>SUM(I15:I23)</f>
        <v>0</v>
      </c>
      <c r="J24" s="645">
        <f>SUM(J15:J23)</f>
        <v>0</v>
      </c>
      <c r="K24" s="645">
        <f>SUM(K15:K23)</f>
        <v>0</v>
      </c>
      <c r="L24" s="580">
        <f t="shared" si="1"/>
        <v>0</v>
      </c>
      <c r="M24" s="522">
        <f t="shared" si="2"/>
        <v>1</v>
      </c>
      <c r="N24" s="522">
        <f t="shared" si="3"/>
        <v>0</v>
      </c>
      <c r="O24" s="522">
        <f t="shared" si="4"/>
        <v>1</v>
      </c>
    </row>
    <row r="25" spans="2:16" s="522" customFormat="1" ht="24" customHeight="1">
      <c r="B25" s="710" t="str">
        <f>IF([1]ACCUEIL!B1=1,"Suppliers, advances and deposits (outside the group)","Fournisseurs, avances et acomptes (hors groupe)")</f>
        <v>Fournisseurs, avances et acomptes (hors groupe)</v>
      </c>
      <c r="C25" s="711"/>
      <c r="D25" s="711"/>
      <c r="E25" s="712"/>
      <c r="F25" s="752">
        <f>'[1]CLASSE 4'!I44</f>
        <v>0</v>
      </c>
      <c r="G25" s="752">
        <f>'[1]CLASSE 4'!E44</f>
        <v>0</v>
      </c>
      <c r="H25" s="570">
        <f t="shared" si="0"/>
        <v>0</v>
      </c>
      <c r="I25" s="645"/>
      <c r="J25" s="645"/>
      <c r="K25" s="645"/>
      <c r="L25" s="580">
        <f t="shared" si="1"/>
        <v>0</v>
      </c>
      <c r="M25" s="522">
        <f t="shared" si="2"/>
        <v>1</v>
      </c>
      <c r="N25" s="522">
        <f t="shared" si="3"/>
        <v>0</v>
      </c>
      <c r="O25" s="522">
        <f t="shared" si="4"/>
        <v>1</v>
      </c>
    </row>
    <row r="26" spans="2:16" s="522" customFormat="1" ht="24" customHeight="1">
      <c r="B26" s="710" t="str">
        <f>IF([1]ACCUEIL!B1=1,"Group suppliers, advances and deposits","Fournisseurs, avances et acomptes groupe")</f>
        <v>Fournisseurs, avances et acomptes groupe</v>
      </c>
      <c r="C26" s="711"/>
      <c r="D26" s="711"/>
      <c r="E26" s="712"/>
      <c r="F26" s="752">
        <f>'[1]CLASSE 4'!I46</f>
        <v>0</v>
      </c>
      <c r="G26" s="752">
        <f>'[1]CLASSE 4'!E46</f>
        <v>0</v>
      </c>
      <c r="H26" s="570">
        <f t="shared" si="0"/>
        <v>0</v>
      </c>
      <c r="I26" s="645"/>
      <c r="J26" s="645"/>
      <c r="K26" s="645"/>
      <c r="L26" s="580">
        <f t="shared" si="1"/>
        <v>0</v>
      </c>
      <c r="M26" s="522">
        <f t="shared" si="2"/>
        <v>1</v>
      </c>
      <c r="N26" s="522">
        <f t="shared" si="3"/>
        <v>0</v>
      </c>
      <c r="O26" s="522">
        <f t="shared" si="4"/>
        <v>1</v>
      </c>
      <c r="P26" s="754"/>
    </row>
    <row r="27" spans="2:16" s="522" customFormat="1" ht="24" customHeight="1">
      <c r="B27" s="710" t="s">
        <v>273</v>
      </c>
      <c r="C27" s="711"/>
      <c r="D27" s="711"/>
      <c r="E27" s="712"/>
      <c r="F27" s="752">
        <f>'[1]CLASSE 4'!I48</f>
        <v>0</v>
      </c>
      <c r="G27" s="752">
        <f>'[1]CLASSE 4'!E48</f>
        <v>0</v>
      </c>
      <c r="H27" s="570">
        <f t="shared" si="0"/>
        <v>0</v>
      </c>
      <c r="I27" s="645"/>
      <c r="J27" s="645"/>
      <c r="K27" s="645"/>
      <c r="L27" s="580">
        <f t="shared" si="1"/>
        <v>0</v>
      </c>
      <c r="M27" s="522">
        <f t="shared" si="2"/>
        <v>1</v>
      </c>
      <c r="N27" s="522">
        <f t="shared" si="3"/>
        <v>0</v>
      </c>
      <c r="O27" s="522">
        <f t="shared" si="4"/>
        <v>1</v>
      </c>
    </row>
    <row r="28" spans="2:16" s="522" customFormat="1" ht="24" customHeight="1">
      <c r="B28" s="710" t="s">
        <v>274</v>
      </c>
      <c r="C28" s="711"/>
      <c r="D28" s="711"/>
      <c r="E28" s="712"/>
      <c r="F28" s="752">
        <f>'[1]CLASSE 4'!I50</f>
        <v>0</v>
      </c>
      <c r="G28" s="752">
        <f>'[1]CLASSE 4'!E50</f>
        <v>0</v>
      </c>
      <c r="H28" s="570">
        <f t="shared" si="0"/>
        <v>0</v>
      </c>
      <c r="I28" s="645"/>
      <c r="J28" s="645"/>
      <c r="K28" s="645"/>
      <c r="L28" s="580">
        <f t="shared" si="1"/>
        <v>0</v>
      </c>
      <c r="M28" s="522">
        <f t="shared" si="2"/>
        <v>1</v>
      </c>
      <c r="N28" s="522">
        <f t="shared" si="3"/>
        <v>0</v>
      </c>
      <c r="O28" s="522">
        <f t="shared" si="4"/>
        <v>1</v>
      </c>
      <c r="P28" s="754"/>
    </row>
    <row r="29" spans="2:16" s="522" customFormat="1" ht="24" customHeight="1">
      <c r="B29" s="710" t="s">
        <v>275</v>
      </c>
      <c r="C29" s="711"/>
      <c r="D29" s="711"/>
      <c r="E29" s="712"/>
      <c r="F29" s="752">
        <f>'[1]CLASSE 4'!I52</f>
        <v>0</v>
      </c>
      <c r="G29" s="752">
        <f>'[1]CLASSE 4'!E52</f>
        <v>0</v>
      </c>
      <c r="H29" s="570">
        <f t="shared" si="0"/>
        <v>0</v>
      </c>
      <c r="I29" s="645"/>
      <c r="J29" s="645"/>
      <c r="K29" s="645"/>
      <c r="L29" s="580">
        <f t="shared" si="1"/>
        <v>0</v>
      </c>
      <c r="M29" s="522">
        <f t="shared" si="2"/>
        <v>1</v>
      </c>
      <c r="N29" s="522">
        <f t="shared" si="3"/>
        <v>0</v>
      </c>
      <c r="O29" s="522">
        <f t="shared" si="4"/>
        <v>1</v>
      </c>
    </row>
    <row r="30" spans="2:16" s="754" customFormat="1" ht="24" customHeight="1">
      <c r="B30" s="1955" t="str">
        <f>IF([1]ACCUEIL!B1=1,"TOTAL SUPPLIER OF RECEIVABLES","TOTAL FOURNISSEUR DEBITEURS")</f>
        <v>TOTAL FOURNISSEUR DEBITEURS</v>
      </c>
      <c r="C30" s="1956"/>
      <c r="D30" s="1956"/>
      <c r="E30" s="1957"/>
      <c r="F30" s="483">
        <f>SUM(F25:F29)</f>
        <v>0</v>
      </c>
      <c r="G30" s="483">
        <f>SUM(G25:G29)</f>
        <v>0</v>
      </c>
      <c r="H30" s="570">
        <f t="shared" si="0"/>
        <v>0</v>
      </c>
      <c r="I30" s="645">
        <f>SUM(I25:I26)</f>
        <v>0</v>
      </c>
      <c r="J30" s="645">
        <f>SUM(J25:J26)</f>
        <v>0</v>
      </c>
      <c r="K30" s="645">
        <f>SUM(K25:K26)</f>
        <v>0</v>
      </c>
      <c r="L30" s="580">
        <f t="shared" si="1"/>
        <v>0</v>
      </c>
      <c r="M30" s="522">
        <f t="shared" si="2"/>
        <v>1</v>
      </c>
      <c r="N30" s="522">
        <f t="shared" si="3"/>
        <v>0</v>
      </c>
      <c r="O30" s="522">
        <f t="shared" si="4"/>
        <v>1</v>
      </c>
    </row>
    <row r="31" spans="2:16">
      <c r="B31" s="92"/>
      <c r="C31" s="81"/>
      <c r="D31" s="81"/>
      <c r="E31" s="81"/>
      <c r="F31" s="81"/>
      <c r="G31" s="81"/>
      <c r="H31" s="81"/>
      <c r="I31" s="81"/>
      <c r="J31" s="81"/>
      <c r="K31" s="81"/>
    </row>
    <row r="32" spans="2:16">
      <c r="B32" s="558" t="str">
        <f>'NOTE 16 C'!B20</f>
        <v>COMMENTAIRE</v>
      </c>
      <c r="C32" s="1660">
        <f>'[1]NOTE 17'!C32:K32</f>
        <v>0</v>
      </c>
      <c r="D32" s="1660"/>
      <c r="E32" s="1660"/>
      <c r="F32" s="1660"/>
      <c r="G32" s="1660"/>
      <c r="H32" s="1660"/>
      <c r="I32" s="1660"/>
      <c r="J32" s="1660"/>
      <c r="K32" s="1660"/>
    </row>
    <row r="33" spans="2:11">
      <c r="B33" s="561"/>
      <c r="C33" s="1660">
        <f>'[1]NOTE 17'!C33:K33</f>
        <v>0</v>
      </c>
      <c r="D33" s="1660"/>
      <c r="E33" s="1660"/>
      <c r="F33" s="1660"/>
      <c r="G33" s="1660"/>
      <c r="H33" s="1660"/>
      <c r="I33" s="1660"/>
      <c r="J33" s="1660"/>
      <c r="K33" s="1660"/>
    </row>
    <row r="34" spans="2:11">
      <c r="B34" s="561"/>
      <c r="C34" s="1660">
        <f>'[1]NOTE 17'!C34:K34</f>
        <v>0</v>
      </c>
      <c r="D34" s="1660"/>
      <c r="E34" s="1660"/>
      <c r="F34" s="1660"/>
      <c r="G34" s="1660"/>
      <c r="H34" s="1660"/>
      <c r="I34" s="1660"/>
      <c r="J34" s="1660"/>
      <c r="K34" s="1660"/>
    </row>
    <row r="35" spans="2:11">
      <c r="B35" s="561"/>
      <c r="C35" s="1660">
        <f>'[1]NOTE 17'!C35:K35</f>
        <v>0</v>
      </c>
      <c r="D35" s="1660"/>
      <c r="E35" s="1660"/>
      <c r="F35" s="1660"/>
      <c r="G35" s="1660"/>
      <c r="H35" s="1660"/>
      <c r="I35" s="1660"/>
      <c r="J35" s="1660"/>
      <c r="K35" s="1660"/>
    </row>
    <row r="36" spans="2:11">
      <c r="B36" s="561"/>
      <c r="C36" s="1660">
        <f>'[1]NOTE 17'!C36:K36</f>
        <v>0</v>
      </c>
      <c r="D36" s="1660"/>
      <c r="E36" s="1660"/>
      <c r="F36" s="1660"/>
      <c r="G36" s="1660"/>
      <c r="H36" s="1660"/>
      <c r="I36" s="1660"/>
      <c r="J36" s="1660"/>
      <c r="K36" s="1660"/>
    </row>
    <row r="37" spans="2:11">
      <c r="B37" s="81"/>
      <c r="C37" s="1660">
        <f>'[1]NOTE 17'!C37:K37</f>
        <v>0</v>
      </c>
      <c r="D37" s="1660"/>
      <c r="E37" s="1660"/>
      <c r="F37" s="1660"/>
      <c r="G37" s="1660"/>
      <c r="H37" s="1660"/>
      <c r="I37" s="1660"/>
      <c r="J37" s="1660"/>
      <c r="K37" s="1660"/>
    </row>
    <row r="38" spans="2:11">
      <c r="B38" s="81"/>
      <c r="C38" s="1660">
        <f>'[1]NOTE 17'!C38:K38</f>
        <v>0</v>
      </c>
      <c r="D38" s="1660"/>
      <c r="E38" s="1660"/>
      <c r="F38" s="1660"/>
      <c r="G38" s="1660"/>
      <c r="H38" s="1660"/>
      <c r="I38" s="1660"/>
      <c r="J38" s="1660"/>
      <c r="K38" s="1660"/>
    </row>
    <row r="39" spans="2:11">
      <c r="C39" s="1660">
        <f>'[1]NOTE 17'!C39:K39</f>
        <v>0</v>
      </c>
      <c r="D39" s="1660"/>
      <c r="E39" s="1660"/>
      <c r="F39" s="1660"/>
      <c r="G39" s="1660"/>
      <c r="H39" s="1660"/>
      <c r="I39" s="1660"/>
      <c r="J39" s="1660"/>
      <c r="K39" s="1660"/>
    </row>
    <row r="40" spans="2:11">
      <c r="C40" s="1660">
        <f>'[1]NOTE 17'!C40:K40</f>
        <v>0</v>
      </c>
      <c r="D40" s="1660"/>
      <c r="E40" s="1660"/>
      <c r="F40" s="1660"/>
      <c r="G40" s="1660"/>
      <c r="H40" s="1660"/>
      <c r="I40" s="1660"/>
      <c r="J40" s="1660"/>
      <c r="K40" s="1660"/>
    </row>
    <row r="41" spans="2:11">
      <c r="C41" s="1660">
        <f>'[1]NOTE 17'!C41:K41</f>
        <v>0</v>
      </c>
      <c r="D41" s="1660"/>
      <c r="E41" s="1660"/>
      <c r="F41" s="1660"/>
      <c r="G41" s="1660"/>
      <c r="H41" s="1660"/>
      <c r="I41" s="1660"/>
      <c r="J41" s="1660"/>
      <c r="K41" s="1660"/>
    </row>
    <row r="42" spans="2:11">
      <c r="C42" s="1660">
        <f>'[1]NOTE 17'!C42:K42</f>
        <v>0</v>
      </c>
      <c r="D42" s="1660"/>
      <c r="E42" s="1660"/>
      <c r="F42" s="1660"/>
      <c r="G42" s="1660"/>
      <c r="H42" s="1660"/>
      <c r="I42" s="1660"/>
      <c r="J42" s="1660"/>
      <c r="K42" s="1660"/>
    </row>
  </sheetData>
  <sheetProtection selectLockedCells="1"/>
  <mergeCells count="23">
    <mergeCell ref="C42:K42"/>
    <mergeCell ref="C36:K36"/>
    <mergeCell ref="C37:K37"/>
    <mergeCell ref="C38:K38"/>
    <mergeCell ref="C39:K39"/>
    <mergeCell ref="C40:K40"/>
    <mergeCell ref="C41:K41"/>
    <mergeCell ref="C35:K35"/>
    <mergeCell ref="B1:K1"/>
    <mergeCell ref="J2:K3"/>
    <mergeCell ref="G7:H7"/>
    <mergeCell ref="B9:K9"/>
    <mergeCell ref="B11:E14"/>
    <mergeCell ref="F11:F14"/>
    <mergeCell ref="G11:G14"/>
    <mergeCell ref="H11:H14"/>
    <mergeCell ref="I11:I14"/>
    <mergeCell ref="J11:J14"/>
    <mergeCell ref="K11:K14"/>
    <mergeCell ref="B30:E30"/>
    <mergeCell ref="C32:K32"/>
    <mergeCell ref="C33:K33"/>
    <mergeCell ref="C34:K34"/>
  </mergeCells>
  <conditionalFormatting sqref="J6 F5 D5:D6">
    <cfRule type="expression" dxfId="17" priority="1">
      <formula>#REF!=1</formula>
    </cfRule>
  </conditionalFormatting>
  <printOptions horizontalCentered="1"/>
  <pageMargins left="0.78740157480314965" right="0" top="0.59055118110236227" bottom="0.19685039370078741" header="0.31496062992125984" footer="0.31496062992125984"/>
  <pageSetup paperSize="9" scale="71" orientation="landscape" r:id="rId1"/>
  <headerFooter>
    <oddHeader>&amp;C&amp;"-,Gras"&amp;14Page &amp;P / &amp;N</oddHead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Feuil44">
    <pageSetUpPr fitToPage="1"/>
  </sheetPr>
  <dimension ref="B1:Q40"/>
  <sheetViews>
    <sheetView showZeros="0" topLeftCell="A19" zoomScale="80" zoomScaleNormal="80" zoomScaleSheetLayoutView="100" workbookViewId="0">
      <selection activeCell="U12" sqref="U12"/>
    </sheetView>
  </sheetViews>
  <sheetFormatPr baseColWidth="10" defaultColWidth="11.42578125" defaultRowHeight="15"/>
  <cols>
    <col min="1" max="1" width="7.85546875" style="2" customWidth="1"/>
    <col min="2" max="2" width="25.140625" style="2" customWidth="1"/>
    <col min="3" max="3" width="31.28515625" style="2" customWidth="1"/>
    <col min="4" max="4" width="20.140625" style="2" customWidth="1"/>
    <col min="5" max="5" width="18.28515625" style="2" customWidth="1"/>
    <col min="6" max="6" width="17.42578125" style="2" customWidth="1"/>
    <col min="7" max="7" width="11" style="2" bestFit="1" customWidth="1"/>
    <col min="8" max="8" width="14.5703125" style="2" customWidth="1"/>
    <col min="9" max="9" width="22.42578125" style="2" bestFit="1" customWidth="1"/>
    <col min="10" max="10" width="15.42578125" style="2" customWidth="1"/>
    <col min="11" max="11" width="9.7109375" style="2" hidden="1" customWidth="1"/>
    <col min="12" max="12" width="14" style="2" hidden="1" customWidth="1"/>
    <col min="13" max="13" width="11" style="2" hidden="1" customWidth="1"/>
    <col min="14" max="14" width="11.7109375" style="2" hidden="1" customWidth="1"/>
    <col min="15" max="15" width="11.42578125" style="2"/>
    <col min="16" max="16" width="13" style="2" bestFit="1" customWidth="1"/>
    <col min="17" max="17" width="14.28515625" style="2" bestFit="1" customWidth="1"/>
    <col min="18" max="16384" width="11.42578125" style="2"/>
  </cols>
  <sheetData>
    <row r="1" spans="2:14">
      <c r="B1" s="144"/>
      <c r="C1" s="144"/>
      <c r="D1" s="144"/>
      <c r="E1" s="144"/>
      <c r="F1" s="144"/>
      <c r="G1" s="144"/>
      <c r="H1" s="144"/>
      <c r="I1" s="144"/>
      <c r="J1" s="144"/>
    </row>
    <row r="2" spans="2:14">
      <c r="B2" s="144"/>
      <c r="C2" s="454"/>
      <c r="D2" s="144"/>
      <c r="E2" s="144"/>
      <c r="F2" s="144"/>
      <c r="G2" s="144"/>
      <c r="H2" s="144"/>
      <c r="I2" s="454"/>
      <c r="J2" s="454"/>
    </row>
    <row r="3" spans="2:14">
      <c r="B3" s="1649"/>
      <c r="C3" s="1649"/>
      <c r="D3" s="1649"/>
      <c r="E3" s="1649"/>
      <c r="F3" s="1649"/>
      <c r="G3" s="1649"/>
      <c r="H3" s="1649"/>
      <c r="I3" s="1649"/>
      <c r="J3" s="1649"/>
    </row>
    <row r="4" spans="2:14">
      <c r="B4" s="144"/>
      <c r="C4" s="454"/>
      <c r="D4" s="144"/>
      <c r="E4" s="144"/>
      <c r="F4" s="144"/>
      <c r="G4" s="144"/>
      <c r="H4" s="144"/>
      <c r="I4" s="1871" t="str">
        <f>IF([1]ACCUEIL!B1=1,"NOTE 18
NORMAL SYSTEM","NOTE 18
SYSTEME NORMAL")</f>
        <v>NOTE 18
SYSTEME NORMAL</v>
      </c>
      <c r="J4" s="1872"/>
    </row>
    <row r="5" spans="2:14">
      <c r="B5" s="144"/>
      <c r="C5" s="454"/>
      <c r="D5" s="144"/>
      <c r="E5" s="312"/>
      <c r="F5" s="144"/>
      <c r="G5" s="144"/>
      <c r="H5" s="144"/>
      <c r="I5" s="1873"/>
      <c r="J5" s="1874"/>
    </row>
    <row r="6" spans="2:14">
      <c r="B6" s="319" t="str">
        <f>'NOTE 17'!B4</f>
        <v>Désignation entité:</v>
      </c>
      <c r="C6" s="650" t="str">
        <f>'NOTE 14'!C6</f>
        <v/>
      </c>
      <c r="D6" s="428"/>
      <c r="E6" s="428"/>
      <c r="F6" s="428"/>
      <c r="G6" s="428"/>
      <c r="H6" s="43"/>
      <c r="I6" s="651"/>
      <c r="J6" s="651"/>
    </row>
    <row r="7" spans="2:14">
      <c r="B7" s="319" t="str">
        <f>'NOTE 17'!B5</f>
        <v>Sigle usuel :</v>
      </c>
      <c r="C7" s="402" t="str">
        <f>'NOTE 17'!C5</f>
        <v/>
      </c>
      <c r="E7" s="507"/>
      <c r="F7" s="507"/>
      <c r="G7" s="430"/>
      <c r="H7" s="703"/>
      <c r="I7" s="319"/>
      <c r="J7" s="512"/>
    </row>
    <row r="8" spans="2:14">
      <c r="B8" s="319" t="str">
        <f>'NOTE 17'!B6</f>
        <v>Adresse:</v>
      </c>
      <c r="C8" s="650">
        <f>'NOTE 17'!C6</f>
        <v>0</v>
      </c>
      <c r="D8" s="455"/>
      <c r="E8" s="175"/>
      <c r="F8" s="175"/>
      <c r="G8" s="430"/>
      <c r="H8" s="653"/>
      <c r="I8" s="755" t="str">
        <f>'NOTE 17'!J6</f>
        <v>BP:</v>
      </c>
      <c r="J8" s="512" t="str">
        <f>'NOTE 17'!K6</f>
        <v/>
      </c>
    </row>
    <row r="9" spans="2:14">
      <c r="B9" s="319" t="str">
        <f>'NOTE 17'!B7</f>
        <v>Numéro d'identification:</v>
      </c>
      <c r="C9" s="512" t="str">
        <f>'NOTE 14'!C9</f>
        <v/>
      </c>
      <c r="D9" s="651"/>
      <c r="E9" s="43"/>
      <c r="F9" s="1737" t="str">
        <f>'NOTE 17'!G7</f>
        <v xml:space="preserve">   Exercice clos le 31 - 12- </v>
      </c>
      <c r="G9" s="1654"/>
      <c r="H9" s="650">
        <f>'NOTE 14'!E9</f>
        <v>2025</v>
      </c>
      <c r="I9" s="318" t="str">
        <f>'NOTE 17'!J7</f>
        <v xml:space="preserve">    Durée (en mois):</v>
      </c>
      <c r="J9" s="512">
        <f>'NOTE 14'!G9</f>
        <v>12</v>
      </c>
    </row>
    <row r="10" spans="2:14">
      <c r="B10" s="319"/>
      <c r="C10" s="319"/>
      <c r="D10" s="319"/>
      <c r="E10" s="705"/>
      <c r="F10" s="1407"/>
      <c r="G10" s="1407"/>
      <c r="H10" s="319"/>
      <c r="I10" s="319"/>
      <c r="J10" s="319"/>
    </row>
    <row r="11" spans="2:14" ht="33" customHeight="1">
      <c r="B11" s="1789" t="str">
        <f>IF([1]ACCUEIL!B1=1,"NOTE 18 TAX AND SOCIAL DEBTS","NOTE 18  DETTES FISCALES ET SOCIALES")</f>
        <v>NOTE 18  DETTES FISCALES ET SOCIALES</v>
      </c>
      <c r="C11" s="1789"/>
      <c r="D11" s="1789"/>
      <c r="E11" s="1789"/>
      <c r="F11" s="1789"/>
      <c r="G11" s="1789"/>
      <c r="H11" s="1789"/>
      <c r="I11" s="1789"/>
      <c r="J11" s="1789"/>
    </row>
    <row r="12" spans="2:14" ht="52.5" customHeight="1">
      <c r="B12" s="1908" t="str">
        <f>'NOTE 16 A'!B10</f>
        <v xml:space="preserve">      RUBRIQUES</v>
      </c>
      <c r="C12" s="1909"/>
      <c r="D12" s="756" t="str">
        <f>'NOTE 16 A'!D10</f>
        <v>Année 2025</v>
      </c>
      <c r="E12" s="756" t="str">
        <f>'NOTE 16 A'!E10</f>
        <v>Année 2024</v>
      </c>
      <c r="F12" s="757" t="str">
        <f>'NOTE 16 A'!F10</f>
        <v>VARIATION EN VALEUR ABSOLUE</v>
      </c>
      <c r="G12" s="758" t="str">
        <f>'NOTE 16 A'!G10</f>
        <v xml:space="preserve">Variation en % </v>
      </c>
      <c r="H12" s="556" t="str">
        <f>'NOTE 16 A'!H10</f>
        <v>Créances à un an ou plus</v>
      </c>
      <c r="I12" s="556" t="str">
        <f>'NOTE 16 A'!I10</f>
        <v>Créances à plus d'un an et à deux ans au plus</v>
      </c>
      <c r="J12" s="556" t="str">
        <f>'NOTE 16 A'!J10</f>
        <v>Créances à plus de deux ans</v>
      </c>
    </row>
    <row r="13" spans="2:14" s="522" customFormat="1" ht="20.45" customHeight="1">
      <c r="B13" s="567" t="str">
        <f>+IF([1]ACCUEIL!B1=1,"Remuneration staff due","Personnel rémunérations dues")</f>
        <v>Personnel rémunérations dues</v>
      </c>
      <c r="C13" s="620"/>
      <c r="D13" s="484">
        <f>'[1]CLASSE 4'!J130</f>
        <v>0</v>
      </c>
      <c r="E13" s="484">
        <f>'[1]BALANCE REGROUPE'!J1076</f>
        <v>0</v>
      </c>
      <c r="F13" s="691">
        <f t="shared" ref="F13:F27" si="0">D13-E13</f>
        <v>0</v>
      </c>
      <c r="G13" s="570">
        <f t="shared" ref="G13:G29" si="1">IF(K13=0,0,N13)</f>
        <v>0</v>
      </c>
      <c r="H13" s="551">
        <f>'[1]NOTE 18'!H13</f>
        <v>0</v>
      </c>
      <c r="I13" s="551">
        <f>'[1]NOTE 18'!I13</f>
        <v>0</v>
      </c>
      <c r="J13" s="551">
        <f>'[1]NOTE 18'!J13</f>
        <v>0</v>
      </c>
      <c r="K13" s="522">
        <f>D13-E13</f>
        <v>0</v>
      </c>
      <c r="L13" s="522">
        <f>IF(E13=0,1,IF(E13&lt;0,(D13-E13)/-E13,(D13-E13)/E13))</f>
        <v>1</v>
      </c>
      <c r="M13" s="522">
        <f>IF(K13=D13,IF(D13&lt;0,-1,0))</f>
        <v>0</v>
      </c>
      <c r="N13" s="522">
        <f>IF(M13=-1,-1,L13)</f>
        <v>1</v>
      </c>
    </row>
    <row r="14" spans="2:14" s="522" customFormat="1" ht="20.45" customHeight="1">
      <c r="B14" s="567" t="str">
        <f>IF([1]ACCUEIL!B1=1,"Staff, leave to pay","Personnel, congés à payer")</f>
        <v>Personnel, congés à payer</v>
      </c>
      <c r="C14" s="620"/>
      <c r="D14" s="485">
        <f>'[1]NOTE 18'!D14</f>
        <v>0</v>
      </c>
      <c r="E14" s="485">
        <f>'[1]NOTE 18'!E14</f>
        <v>0</v>
      </c>
      <c r="F14" s="691">
        <f t="shared" si="0"/>
        <v>0</v>
      </c>
      <c r="G14" s="759">
        <f t="shared" si="1"/>
        <v>0</v>
      </c>
      <c r="H14" s="551">
        <f>'[1]NOTE 18'!H14</f>
        <v>0</v>
      </c>
      <c r="I14" s="551">
        <f>'[1]NOTE 18'!I14</f>
        <v>0</v>
      </c>
      <c r="J14" s="551">
        <f>'[1]NOTE 18'!J14</f>
        <v>0</v>
      </c>
      <c r="K14" s="522">
        <f t="shared" ref="K14:K29" si="2">D14-E14</f>
        <v>0</v>
      </c>
      <c r="L14" s="522">
        <f t="shared" ref="L14:L29" si="3">IF(E14=0,1,IF(E14&lt;0,(D14-E14)/-E14,(D14-E14)/E14))</f>
        <v>1</v>
      </c>
      <c r="M14" s="522">
        <f t="shared" ref="M14:M29" si="4">IF(K14=D14,IF(D14&lt;0,-1,0))</f>
        <v>0</v>
      </c>
      <c r="N14" s="522">
        <f t="shared" ref="N14:N29" si="5">IF(M14=-1,-1,L14)</f>
        <v>1</v>
      </c>
    </row>
    <row r="15" spans="2:14" s="522" customFormat="1" ht="20.45" customHeight="1">
      <c r="B15" s="567" t="str">
        <f>IF([1]ACCUEIL!B1=1,"Payroll taxes on leave to pay","Charges sociales sur congés à payer")</f>
        <v>Charges sociales sur congés à payer</v>
      </c>
      <c r="C15" s="620"/>
      <c r="D15" s="485">
        <f>'[1]CLASSE 4'!J194+'[1]CLASSE 4'!J196+'[1]CLASSE 4'!J198</f>
        <v>0</v>
      </c>
      <c r="E15" s="485">
        <f>'[1]BALANCE REGROUPE'!J1140+'[1]BALANCE REGROUPE'!J1142+'[1]BALANCE REGROUPE'!J1144</f>
        <v>0</v>
      </c>
      <c r="F15" s="691">
        <f t="shared" si="0"/>
        <v>0</v>
      </c>
      <c r="G15" s="759">
        <f>IF(K15=0,0,N15)</f>
        <v>0</v>
      </c>
      <c r="H15" s="551">
        <f>'[1]NOTE 18'!H15</f>
        <v>0</v>
      </c>
      <c r="I15" s="551">
        <f>'[1]NOTE 18'!I15</f>
        <v>0</v>
      </c>
      <c r="J15" s="551">
        <f>'[1]NOTE 18'!J15</f>
        <v>0</v>
      </c>
      <c r="K15" s="522">
        <f t="shared" si="2"/>
        <v>0</v>
      </c>
      <c r="L15" s="522">
        <f t="shared" si="3"/>
        <v>1</v>
      </c>
      <c r="M15" s="522">
        <f t="shared" si="4"/>
        <v>0</v>
      </c>
      <c r="N15" s="522">
        <f t="shared" si="5"/>
        <v>1</v>
      </c>
    </row>
    <row r="16" spans="2:14" s="522" customFormat="1" ht="20.45" customHeight="1">
      <c r="B16" s="567" t="str">
        <f>IF([1]ACCUEIL!B1=1,"Other staff","Autres personnel")</f>
        <v>Autres personnel</v>
      </c>
      <c r="C16" s="620"/>
      <c r="D16" s="484">
        <f>'[1]CLASSE 4'!J138+'[1]CLASSE 4'!J148+'[1]CLASSE 4'!J156+'[1]CLASSE 4'!J162+'[1]CLASSE 4'!J163+'[1]CLASSE 4'!J171</f>
        <v>0</v>
      </c>
      <c r="E16" s="484">
        <f>'[1]BALANCE REGROUPE'!J1084+'[1]BALANCE REGROUPE'!J1094+'[1]BALANCE REGROUPE'!J1102+'[1]BALANCE REGROUPE'!J1108+'[1]BALANCE REGROUPE'!J1109+'[1]BALANCE REGROUPE'!J1117</f>
        <v>0</v>
      </c>
      <c r="F16" s="691">
        <f t="shared" si="0"/>
        <v>0</v>
      </c>
      <c r="G16" s="570">
        <f t="shared" si="1"/>
        <v>0</v>
      </c>
      <c r="H16" s="551">
        <f>'[1]NOTE 18'!H16</f>
        <v>0</v>
      </c>
      <c r="I16" s="551">
        <f>'[1]NOTE 18'!I16</f>
        <v>0</v>
      </c>
      <c r="J16" s="551">
        <f>'[1]NOTE 18'!J16</f>
        <v>0</v>
      </c>
      <c r="K16" s="522">
        <f t="shared" si="2"/>
        <v>0</v>
      </c>
      <c r="L16" s="522">
        <f t="shared" si="3"/>
        <v>1</v>
      </c>
      <c r="M16" s="522">
        <f t="shared" si="4"/>
        <v>0</v>
      </c>
      <c r="N16" s="522">
        <f t="shared" si="5"/>
        <v>1</v>
      </c>
    </row>
    <row r="17" spans="2:17" s="522" customFormat="1" ht="20.45" customHeight="1">
      <c r="B17" s="567" t="str">
        <f>IF([1]ACCUEIL!B1=1,"Social Security Fund","Caisse de sécurité sociale")</f>
        <v>Caisse de sécurité sociale</v>
      </c>
      <c r="C17" s="620"/>
      <c r="D17" s="484">
        <f>'[1]CLASSE 4'!J183</f>
        <v>0</v>
      </c>
      <c r="E17" s="484">
        <f>+'[1]BALANCE REGROUPE'!J1129</f>
        <v>0</v>
      </c>
      <c r="F17" s="691">
        <f t="shared" si="0"/>
        <v>0</v>
      </c>
      <c r="G17" s="570">
        <f t="shared" si="1"/>
        <v>0</v>
      </c>
      <c r="H17" s="551">
        <f>'[1]NOTE 18'!H17</f>
        <v>0</v>
      </c>
      <c r="I17" s="551">
        <f>'[1]NOTE 18'!I17</f>
        <v>0</v>
      </c>
      <c r="J17" s="551">
        <f>'[1]NOTE 18'!J17</f>
        <v>0</v>
      </c>
      <c r="K17" s="522">
        <f t="shared" si="2"/>
        <v>0</v>
      </c>
      <c r="L17" s="522">
        <f t="shared" si="3"/>
        <v>1</v>
      </c>
      <c r="M17" s="522">
        <f t="shared" si="4"/>
        <v>0</v>
      </c>
      <c r="N17" s="522">
        <f t="shared" si="5"/>
        <v>1</v>
      </c>
    </row>
    <row r="18" spans="2:17" s="522" customFormat="1" ht="20.45" customHeight="1">
      <c r="B18" s="567" t="str">
        <f>IF([1]ACCUEIL!B1=1,"Pension fund","Caisse de retraite")</f>
        <v>Caisse de retraite</v>
      </c>
      <c r="C18" s="620"/>
      <c r="D18" s="484">
        <f>'[1]CLASSE 4'!J184</f>
        <v>0</v>
      </c>
      <c r="E18" s="484">
        <f>+'[1]BALANCE REGROUPE'!J1130</f>
        <v>0</v>
      </c>
      <c r="F18" s="691">
        <f t="shared" si="0"/>
        <v>0</v>
      </c>
      <c r="G18" s="570">
        <f t="shared" si="1"/>
        <v>0</v>
      </c>
      <c r="H18" s="551">
        <f>'[1]NOTE 18'!H18</f>
        <v>0</v>
      </c>
      <c r="I18" s="551">
        <f>'[1]NOTE 18'!I18</f>
        <v>0</v>
      </c>
      <c r="J18" s="551">
        <f>'[1]NOTE 18'!J18</f>
        <v>0</v>
      </c>
      <c r="K18" s="522">
        <f t="shared" si="2"/>
        <v>0</v>
      </c>
      <c r="L18" s="522">
        <f t="shared" si="3"/>
        <v>1</v>
      </c>
      <c r="M18" s="522">
        <f t="shared" si="4"/>
        <v>0</v>
      </c>
      <c r="N18" s="522">
        <f t="shared" si="5"/>
        <v>1</v>
      </c>
    </row>
    <row r="19" spans="2:17" s="522" customFormat="1" ht="20.45" customHeight="1">
      <c r="B19" s="567" t="str">
        <f>IF([1]ACCUEIL!B1=1,"Mutual health","Mutuelle de santé")</f>
        <v>Mutuelle de santé</v>
      </c>
      <c r="C19" s="620"/>
      <c r="D19" s="484">
        <f>'[1]CLASSE 4'!J186</f>
        <v>0</v>
      </c>
      <c r="E19" s="484">
        <f>+'[1]BALANCE REGROUPE'!J1132</f>
        <v>0</v>
      </c>
      <c r="F19" s="691"/>
      <c r="G19" s="570">
        <f t="shared" si="1"/>
        <v>0</v>
      </c>
      <c r="H19" s="551">
        <f>'[1]NOTE 18'!H19</f>
        <v>0</v>
      </c>
      <c r="I19" s="551">
        <f>'[1]NOTE 18'!I19</f>
        <v>0</v>
      </c>
      <c r="J19" s="551">
        <f>'[1]NOTE 18'!J19</f>
        <v>0</v>
      </c>
      <c r="K19" s="522">
        <f t="shared" si="2"/>
        <v>0</v>
      </c>
      <c r="L19" s="522">
        <f t="shared" si="3"/>
        <v>1</v>
      </c>
      <c r="M19" s="522">
        <f t="shared" si="4"/>
        <v>0</v>
      </c>
      <c r="N19" s="522">
        <f t="shared" si="5"/>
        <v>1</v>
      </c>
    </row>
    <row r="20" spans="2:17" s="522" customFormat="1" ht="20.45" customHeight="1">
      <c r="B20" s="567" t="str">
        <f>IF([1]ACCUEIL!B1=1,"Retirement insurance","Assurance Retraite")</f>
        <v>Assurance Retraite</v>
      </c>
      <c r="C20" s="620"/>
      <c r="D20" s="484">
        <f>'[1]CLASSE 4'!J188</f>
        <v>0</v>
      </c>
      <c r="E20" s="484">
        <f>+'[1]BALANCE REGROUPE'!J1134</f>
        <v>0</v>
      </c>
      <c r="F20" s="691"/>
      <c r="G20" s="570">
        <f t="shared" si="1"/>
        <v>0</v>
      </c>
      <c r="H20" s="551">
        <f>'[1]NOTE 18'!H20</f>
        <v>0</v>
      </c>
      <c r="I20" s="551">
        <f>'[1]NOTE 18'!I20</f>
        <v>0</v>
      </c>
      <c r="J20" s="551">
        <f>'[1]NOTE 18'!J20</f>
        <v>0</v>
      </c>
      <c r="K20" s="522">
        <f t="shared" si="2"/>
        <v>0</v>
      </c>
      <c r="L20" s="522">
        <f t="shared" si="3"/>
        <v>1</v>
      </c>
      <c r="M20" s="522">
        <f t="shared" si="4"/>
        <v>0</v>
      </c>
      <c r="N20" s="522">
        <f t="shared" si="5"/>
        <v>1</v>
      </c>
    </row>
    <row r="21" spans="2:17" s="522" customFormat="1" ht="20.45" customHeight="1">
      <c r="B21" s="567" t="str">
        <f>IF([1]ACCUEIL!B1=1,"Other social organizations","Autres organismes sociaux")</f>
        <v>Autres organismes sociaux</v>
      </c>
      <c r="C21" s="620"/>
      <c r="D21" s="484">
        <f>'[1]CLASSE 4'!J200+'[1]CLASSE 4'!J190</f>
        <v>0</v>
      </c>
      <c r="E21" s="484">
        <f>+'[1]BALANCE REGROUPE'!J1136+'[1]BALANCE REGROUPE'!J1148</f>
        <v>0</v>
      </c>
      <c r="F21" s="691">
        <f t="shared" si="0"/>
        <v>0</v>
      </c>
      <c r="G21" s="570">
        <f t="shared" si="1"/>
        <v>0</v>
      </c>
      <c r="H21" s="551">
        <f>'[1]NOTE 18'!H21</f>
        <v>0</v>
      </c>
      <c r="I21" s="551">
        <f>'[1]NOTE 18'!I21</f>
        <v>0</v>
      </c>
      <c r="J21" s="551">
        <f>'[1]NOTE 18'!J21</f>
        <v>0</v>
      </c>
      <c r="K21" s="522">
        <f t="shared" si="2"/>
        <v>0</v>
      </c>
      <c r="L21" s="522">
        <f t="shared" si="3"/>
        <v>1</v>
      </c>
      <c r="M21" s="522">
        <f t="shared" si="4"/>
        <v>0</v>
      </c>
      <c r="N21" s="522">
        <f t="shared" si="5"/>
        <v>1</v>
      </c>
    </row>
    <row r="22" spans="2:17" s="754" customFormat="1" ht="20.45" customHeight="1">
      <c r="B22" s="62" t="str">
        <f>IF([1]ACCUEIL!B1=1,"TOTAL SOCIAL DEBTS","TOTAL DETTES SOCIALES")</f>
        <v>TOTAL DETTES SOCIALES</v>
      </c>
      <c r="C22" s="621"/>
      <c r="D22" s="483">
        <f>SUM(D13:D21)</f>
        <v>0</v>
      </c>
      <c r="E22" s="483">
        <f>SUM(E13:E21)</f>
        <v>0</v>
      </c>
      <c r="F22" s="661">
        <f>D22-E22</f>
        <v>0</v>
      </c>
      <c r="G22" s="570">
        <f t="shared" si="1"/>
        <v>0</v>
      </c>
      <c r="H22" s="551">
        <f>'[1]NOTE 18'!H22</f>
        <v>0</v>
      </c>
      <c r="I22" s="551">
        <f>'[1]NOTE 18'!I22</f>
        <v>0</v>
      </c>
      <c r="J22" s="551">
        <f>'[1]NOTE 18'!J22</f>
        <v>0</v>
      </c>
      <c r="K22" s="522">
        <f t="shared" si="2"/>
        <v>0</v>
      </c>
      <c r="L22" s="522">
        <f t="shared" si="3"/>
        <v>1</v>
      </c>
      <c r="M22" s="522">
        <f t="shared" si="4"/>
        <v>0</v>
      </c>
      <c r="N22" s="522">
        <f t="shared" si="5"/>
        <v>1</v>
      </c>
    </row>
    <row r="23" spans="2:17" s="522" customFormat="1" ht="20.45" customHeight="1">
      <c r="B23" s="567" t="str">
        <f>IF([1]ACCUEIL!B1=1,"State, income taxes","Etat, impôts sur les bénéfices")</f>
        <v>Etat, impôts sur les bénéfices</v>
      </c>
      <c r="C23" s="620"/>
      <c r="D23" s="484">
        <f>'[1]CLASSE 4'!J203</f>
        <v>0</v>
      </c>
      <c r="E23" s="484">
        <f>'[1]CLASSE 4'!F203</f>
        <v>0</v>
      </c>
      <c r="F23" s="691">
        <f t="shared" si="0"/>
        <v>0</v>
      </c>
      <c r="G23" s="570">
        <f t="shared" si="1"/>
        <v>0</v>
      </c>
      <c r="H23" s="551">
        <f>'[1]NOTE 18'!H23</f>
        <v>0</v>
      </c>
      <c r="I23" s="551">
        <f>'[1]NOTE 18'!I23</f>
        <v>0</v>
      </c>
      <c r="J23" s="551">
        <f>'[1]NOTE 18'!J23</f>
        <v>0</v>
      </c>
      <c r="K23" s="522">
        <f t="shared" si="2"/>
        <v>0</v>
      </c>
      <c r="L23" s="522">
        <f t="shared" si="3"/>
        <v>1</v>
      </c>
      <c r="M23" s="522">
        <f t="shared" si="4"/>
        <v>0</v>
      </c>
      <c r="N23" s="522">
        <f t="shared" si="5"/>
        <v>1</v>
      </c>
    </row>
    <row r="24" spans="2:17" s="522" customFormat="1" ht="20.45" customHeight="1">
      <c r="B24" s="567" t="str">
        <f>IF([1]ACCUEIL!B1=1,"State, taxes and levies","Etat, impôts et taxes")</f>
        <v>Etat, impôts et taxes</v>
      </c>
      <c r="C24" s="620"/>
      <c r="D24" s="484">
        <f>'[1]CLASSE 4'!J217+'[1]CLASSE 4'!J250</f>
        <v>0</v>
      </c>
      <c r="E24" s="484">
        <f>'[1]CLASSE 4'!F217+'[1]CLASSE 4'!F250</f>
        <v>0</v>
      </c>
      <c r="F24" s="691">
        <f t="shared" si="0"/>
        <v>0</v>
      </c>
      <c r="G24" s="570">
        <f t="shared" si="1"/>
        <v>0</v>
      </c>
      <c r="H24" s="551">
        <f>'[1]NOTE 18'!H24</f>
        <v>0</v>
      </c>
      <c r="I24" s="551">
        <f>'[1]NOTE 18'!I24</f>
        <v>0</v>
      </c>
      <c r="J24" s="551">
        <f>'[1]NOTE 18'!J24</f>
        <v>0</v>
      </c>
      <c r="K24" s="522">
        <f t="shared" si="2"/>
        <v>0</v>
      </c>
      <c r="L24" s="522">
        <f t="shared" si="3"/>
        <v>1</v>
      </c>
      <c r="M24" s="522">
        <f t="shared" si="4"/>
        <v>0</v>
      </c>
      <c r="N24" s="522">
        <f t="shared" si="5"/>
        <v>1</v>
      </c>
    </row>
    <row r="25" spans="2:17" s="522" customFormat="1" ht="20.45" customHeight="1">
      <c r="B25" s="567" t="str">
        <f>IF([1]ACCUEIL!B1=1,"State, VAT","Etat, TVA")</f>
        <v>Etat, TVA</v>
      </c>
      <c r="C25" s="620"/>
      <c r="D25" s="484">
        <f>'[1]CLASSE 4'!J231+'[1]CLASSE 4'!J229</f>
        <v>0</v>
      </c>
      <c r="E25" s="484">
        <f>'[1]CLASSE 4'!F235+'[1]CLASSE 4'!F229</f>
        <v>0</v>
      </c>
      <c r="F25" s="691">
        <f>D25-E25</f>
        <v>0</v>
      </c>
      <c r="G25" s="570">
        <f t="shared" si="1"/>
        <v>0</v>
      </c>
      <c r="H25" s="551">
        <f>'[1]NOTE 18'!H25</f>
        <v>0</v>
      </c>
      <c r="I25" s="551">
        <f>'[1]NOTE 18'!I25</f>
        <v>0</v>
      </c>
      <c r="J25" s="551">
        <f>'[1]NOTE 18'!J25</f>
        <v>0</v>
      </c>
      <c r="K25" s="522">
        <f t="shared" si="2"/>
        <v>0</v>
      </c>
      <c r="L25" s="522">
        <f t="shared" si="3"/>
        <v>1</v>
      </c>
      <c r="M25" s="522">
        <f t="shared" si="4"/>
        <v>0</v>
      </c>
      <c r="N25" s="522">
        <f t="shared" si="5"/>
        <v>1</v>
      </c>
    </row>
    <row r="26" spans="2:17" s="522" customFormat="1" ht="20.45" customHeight="1">
      <c r="B26" s="567" t="str">
        <f>IF([1]ACCUEIL!B1=1,"State, taxes withheld at source","Etat, impôts retenus à la source")</f>
        <v>Etat, impôts retenus à la source</v>
      </c>
      <c r="C26" s="620"/>
      <c r="D26" s="484">
        <f>'[1]CLASSE 4'!J262</f>
        <v>0</v>
      </c>
      <c r="E26" s="484">
        <f>'[1]CLASSE 4'!F262</f>
        <v>0</v>
      </c>
      <c r="F26" s="691">
        <f t="shared" si="0"/>
        <v>0</v>
      </c>
      <c r="G26" s="570">
        <f t="shared" si="1"/>
        <v>0</v>
      </c>
      <c r="H26" s="551">
        <f>'[1]NOTE 18'!H26</f>
        <v>0</v>
      </c>
      <c r="I26" s="551">
        <f>'[1]NOTE 18'!I26</f>
        <v>0</v>
      </c>
      <c r="J26" s="551">
        <f>'[1]NOTE 18'!J26</f>
        <v>0</v>
      </c>
      <c r="K26" s="522">
        <f t="shared" si="2"/>
        <v>0</v>
      </c>
      <c r="L26" s="522">
        <f t="shared" si="3"/>
        <v>1</v>
      </c>
      <c r="M26" s="522">
        <f t="shared" si="4"/>
        <v>0</v>
      </c>
      <c r="N26" s="522">
        <f t="shared" si="5"/>
        <v>1</v>
      </c>
    </row>
    <row r="27" spans="2:17" s="522" customFormat="1" ht="20.45" customHeight="1">
      <c r="B27" s="567" t="str">
        <f>IF([1]ACCUEIL!B1=1,"Other State debts","Autres dettes Etat")</f>
        <v>Autres dettes Etat</v>
      </c>
      <c r="C27" s="620"/>
      <c r="D27" s="484">
        <f>'[1]CLASSE 4'!J268</f>
        <v>0</v>
      </c>
      <c r="E27" s="484">
        <f>'[1]CLASSE 4'!F268</f>
        <v>0</v>
      </c>
      <c r="F27" s="691">
        <f t="shared" si="0"/>
        <v>0</v>
      </c>
      <c r="G27" s="570">
        <f t="shared" si="1"/>
        <v>0</v>
      </c>
      <c r="H27" s="551">
        <f>'[1]NOTE 18'!H27</f>
        <v>0</v>
      </c>
      <c r="I27" s="551">
        <f>'[1]NOTE 18'!I27</f>
        <v>0</v>
      </c>
      <c r="J27" s="551">
        <f>'[1]NOTE 18'!J27</f>
        <v>0</v>
      </c>
      <c r="K27" s="522">
        <f t="shared" si="2"/>
        <v>0</v>
      </c>
      <c r="L27" s="522">
        <f t="shared" si="3"/>
        <v>1</v>
      </c>
      <c r="M27" s="522">
        <f t="shared" si="4"/>
        <v>0</v>
      </c>
      <c r="N27" s="522">
        <f t="shared" si="5"/>
        <v>1</v>
      </c>
    </row>
    <row r="28" spans="2:17" s="754" customFormat="1" ht="20.45" customHeight="1">
      <c r="B28" s="62" t="str">
        <f>IF([1]ACCUEIL!B1=1,"TOTAL TAX DEBTS","TOTAL DETTES FISCALES")</f>
        <v>TOTAL DETTES FISCALES</v>
      </c>
      <c r="C28" s="621"/>
      <c r="D28" s="483">
        <f>SUM(D23:D27)</f>
        <v>0</v>
      </c>
      <c r="E28" s="483">
        <f t="shared" ref="E28" si="6">SUM(E23:E27)</f>
        <v>0</v>
      </c>
      <c r="F28" s="661">
        <f>D28-E28</f>
        <v>0</v>
      </c>
      <c r="G28" s="570">
        <f t="shared" si="1"/>
        <v>0</v>
      </c>
      <c r="H28" s="551">
        <f>'[1]NOTE 18'!H28</f>
        <v>0</v>
      </c>
      <c r="I28" s="551">
        <f>'[1]NOTE 18'!I28</f>
        <v>0</v>
      </c>
      <c r="J28" s="551">
        <f>'[1]NOTE 18'!J28</f>
        <v>0</v>
      </c>
      <c r="K28" s="522">
        <f t="shared" si="2"/>
        <v>0</v>
      </c>
      <c r="L28" s="522">
        <f t="shared" si="3"/>
        <v>1</v>
      </c>
      <c r="M28" s="522">
        <f t="shared" si="4"/>
        <v>0</v>
      </c>
      <c r="N28" s="522">
        <f t="shared" si="5"/>
        <v>1</v>
      </c>
    </row>
    <row r="29" spans="2:17" s="754" customFormat="1" ht="20.45" customHeight="1">
      <c r="B29" s="62" t="str">
        <f>IF([1]ACCUEIL!B1=1,"TOTAL SOCIAL AND TAX DEBTS","TOTAL DETTES SOCIALES ET FISCALES")</f>
        <v>TOTAL DETTES SOCIALES ET FISCALES</v>
      </c>
      <c r="C29" s="621"/>
      <c r="D29" s="483">
        <f>D22+D28</f>
        <v>0</v>
      </c>
      <c r="E29" s="483">
        <f>E22+E28</f>
        <v>0</v>
      </c>
      <c r="F29" s="661">
        <f>D29-E29</f>
        <v>0</v>
      </c>
      <c r="G29" s="570">
        <f t="shared" si="1"/>
        <v>0</v>
      </c>
      <c r="H29" s="551">
        <f>'[1]NOTE 18'!H29</f>
        <v>0</v>
      </c>
      <c r="I29" s="551">
        <f>'[1]NOTE 18'!I29</f>
        <v>0</v>
      </c>
      <c r="J29" s="551">
        <f>'[1]NOTE 18'!J29</f>
        <v>0</v>
      </c>
      <c r="K29" s="522">
        <f t="shared" si="2"/>
        <v>0</v>
      </c>
      <c r="L29" s="522">
        <f t="shared" si="3"/>
        <v>1</v>
      </c>
      <c r="M29" s="522">
        <f t="shared" si="4"/>
        <v>0</v>
      </c>
      <c r="N29" s="522">
        <f t="shared" si="5"/>
        <v>1</v>
      </c>
      <c r="P29" s="760">
        <f>+D29-PASSIF!I33</f>
        <v>0</v>
      </c>
      <c r="Q29" s="760"/>
    </row>
    <row r="30" spans="2:17">
      <c r="B30" s="92"/>
      <c r="C30" s="81"/>
      <c r="D30" s="81"/>
      <c r="E30" s="81"/>
      <c r="F30" s="81"/>
      <c r="G30" s="81"/>
      <c r="H30" s="81"/>
      <c r="I30" s="81"/>
      <c r="J30" s="81"/>
    </row>
    <row r="31" spans="2:17">
      <c r="B31" s="558" t="str">
        <f>'NOTE 17'!B32</f>
        <v>COMMENTAIRE</v>
      </c>
      <c r="C31" s="1660">
        <f>'[1]NOTE 18'!C31:J31</f>
        <v>0</v>
      </c>
      <c r="D31" s="1660"/>
      <c r="E31" s="1660"/>
      <c r="F31" s="1660"/>
      <c r="G31" s="1660"/>
      <c r="H31" s="1660"/>
      <c r="I31" s="1660"/>
      <c r="J31" s="1660"/>
    </row>
    <row r="32" spans="2:17">
      <c r="B32" s="749"/>
      <c r="C32" s="1660">
        <f>'[1]NOTE 18'!C32:J32</f>
        <v>0</v>
      </c>
      <c r="D32" s="1660"/>
      <c r="E32" s="1660"/>
      <c r="F32" s="1660"/>
      <c r="G32" s="1660"/>
      <c r="H32" s="1660"/>
      <c r="I32" s="1660"/>
      <c r="J32" s="1660"/>
    </row>
    <row r="33" spans="2:10">
      <c r="B33" s="749"/>
      <c r="C33" s="1660">
        <f>'[1]NOTE 18'!C33:J33</f>
        <v>0</v>
      </c>
      <c r="D33" s="1660"/>
      <c r="E33" s="1660"/>
      <c r="F33" s="1660"/>
      <c r="G33" s="1660"/>
      <c r="H33" s="1660"/>
      <c r="I33" s="1660"/>
      <c r="J33" s="1660"/>
    </row>
    <row r="34" spans="2:10">
      <c r="B34" s="81"/>
      <c r="C34" s="1660">
        <f>'[1]NOTE 18'!C34:J34</f>
        <v>0</v>
      </c>
      <c r="D34" s="1660"/>
      <c r="E34" s="1660"/>
      <c r="F34" s="1660"/>
      <c r="G34" s="1660"/>
      <c r="H34" s="1660"/>
      <c r="I34" s="1660"/>
      <c r="J34" s="1660"/>
    </row>
    <row r="35" spans="2:10">
      <c r="B35" s="81"/>
      <c r="C35" s="1660">
        <f>'[1]NOTE 18'!C35:J35</f>
        <v>0</v>
      </c>
      <c r="D35" s="1660"/>
      <c r="E35" s="1660"/>
      <c r="F35" s="1660"/>
      <c r="G35" s="1660"/>
      <c r="H35" s="1660"/>
      <c r="I35" s="1660"/>
      <c r="J35" s="1660"/>
    </row>
    <row r="36" spans="2:10">
      <c r="B36" s="81"/>
      <c r="C36" s="1660">
        <f>'[1]NOTE 18'!C36:J36</f>
        <v>0</v>
      </c>
      <c r="D36" s="1660"/>
      <c r="E36" s="1660"/>
      <c r="F36" s="1660"/>
      <c r="G36" s="1660"/>
      <c r="H36" s="1660"/>
      <c r="I36" s="1660"/>
      <c r="J36" s="1660"/>
    </row>
    <row r="37" spans="2:10">
      <c r="C37" s="1660">
        <f>'[1]NOTE 18'!C37:J37</f>
        <v>0</v>
      </c>
      <c r="D37" s="1660"/>
      <c r="E37" s="1660"/>
      <c r="F37" s="1660"/>
      <c r="G37" s="1660"/>
      <c r="H37" s="1660"/>
      <c r="I37" s="1660"/>
      <c r="J37" s="1660"/>
    </row>
    <row r="38" spans="2:10">
      <c r="C38" s="1660">
        <f>'[1]NOTE 18'!C38:J38</f>
        <v>0</v>
      </c>
      <c r="D38" s="1660"/>
      <c r="E38" s="1660"/>
      <c r="F38" s="1660"/>
      <c r="G38" s="1660"/>
      <c r="H38" s="1660"/>
      <c r="I38" s="1660"/>
      <c r="J38" s="1660"/>
    </row>
    <row r="39" spans="2:10">
      <c r="C39" s="1660">
        <f>'[1]NOTE 18'!C39:J39</f>
        <v>0</v>
      </c>
      <c r="D39" s="1660"/>
      <c r="E39" s="1660"/>
      <c r="F39" s="1660"/>
      <c r="G39" s="1660"/>
      <c r="H39" s="1660"/>
      <c r="I39" s="1660"/>
      <c r="J39" s="1660"/>
    </row>
    <row r="40" spans="2:10">
      <c r="C40" s="1660">
        <f>'[1]NOTE 18'!C40:J40</f>
        <v>0</v>
      </c>
      <c r="D40" s="1660"/>
      <c r="E40" s="1660"/>
      <c r="F40" s="1660"/>
      <c r="G40" s="1660"/>
      <c r="H40" s="1660"/>
      <c r="I40" s="1660"/>
      <c r="J40" s="1660"/>
    </row>
  </sheetData>
  <sheetProtection selectLockedCells="1"/>
  <mergeCells count="16">
    <mergeCell ref="C37:J37"/>
    <mergeCell ref="C38:J38"/>
    <mergeCell ref="C39:J39"/>
    <mergeCell ref="C40:J40"/>
    <mergeCell ref="C31:J31"/>
    <mergeCell ref="C32:J32"/>
    <mergeCell ref="C33:J33"/>
    <mergeCell ref="C34:J34"/>
    <mergeCell ref="C35:J35"/>
    <mergeCell ref="C36:J36"/>
    <mergeCell ref="B12:C12"/>
    <mergeCell ref="B3:J3"/>
    <mergeCell ref="I4:J5"/>
    <mergeCell ref="F9:G9"/>
    <mergeCell ref="F10:G10"/>
    <mergeCell ref="B11:J11"/>
  </mergeCells>
  <conditionalFormatting sqref="E7:F7 D8">
    <cfRule type="expression" dxfId="16" priority="1">
      <formula>#REF!=1</formula>
    </cfRule>
  </conditionalFormatting>
  <printOptions horizontalCentered="1"/>
  <pageMargins left="0.78740157480314965" right="0" top="0.59055118110236227" bottom="0.19685039370078741" header="0.31496062992125984" footer="0.31496062992125984"/>
  <pageSetup paperSize="9" scale="77" orientation="landscape" r:id="rId1"/>
  <headerFooter>
    <oddHeader>&amp;C&amp;"-,Gras"&amp;14Page &amp;P / &amp;N</oddHead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Feuil45">
    <pageSetUpPr fitToPage="1"/>
  </sheetPr>
  <dimension ref="B1:P44"/>
  <sheetViews>
    <sheetView showGridLines="0" showZeros="0" topLeftCell="A15" zoomScale="80" zoomScaleNormal="80" zoomScaleSheetLayoutView="100" workbookViewId="0">
      <selection activeCell="U12" sqref="U12"/>
    </sheetView>
  </sheetViews>
  <sheetFormatPr baseColWidth="10" defaultColWidth="11.42578125" defaultRowHeight="15"/>
  <cols>
    <col min="1" max="1" width="9" style="2" customWidth="1"/>
    <col min="2" max="2" width="25.5703125" style="2" customWidth="1"/>
    <col min="3" max="3" width="13.28515625" style="2" customWidth="1"/>
    <col min="4" max="4" width="13.85546875" style="2" customWidth="1"/>
    <col min="5" max="5" width="12.7109375" style="2" customWidth="1"/>
    <col min="6" max="6" width="22.5703125" style="2" customWidth="1"/>
    <col min="7" max="7" width="19.42578125" style="2" customWidth="1"/>
    <col min="8" max="8" width="18.5703125" style="2" customWidth="1"/>
    <col min="9" max="9" width="10.7109375" style="2" customWidth="1"/>
    <col min="10" max="10" width="16.7109375" style="2" customWidth="1"/>
    <col min="11" max="11" width="22.42578125" style="2" bestFit="1" customWidth="1"/>
    <col min="12" max="12" width="14.42578125" style="2" customWidth="1"/>
    <col min="13" max="16" width="11.42578125" style="2" hidden="1" customWidth="1"/>
    <col min="17" max="16384" width="11.42578125" style="2"/>
  </cols>
  <sheetData>
    <row r="1" spans="2:16">
      <c r="B1" s="1649"/>
      <c r="C1" s="1649"/>
      <c r="D1" s="1649"/>
      <c r="E1" s="1649"/>
      <c r="F1" s="1649"/>
      <c r="G1" s="1649"/>
      <c r="H1" s="1649"/>
      <c r="I1" s="1649"/>
      <c r="J1" s="1649"/>
      <c r="K1" s="1649"/>
      <c r="L1" s="1649"/>
    </row>
    <row r="2" spans="2:16">
      <c r="B2" s="144"/>
      <c r="C2" s="144"/>
      <c r="D2" s="144"/>
      <c r="E2" s="144"/>
      <c r="F2" s="144"/>
      <c r="G2" s="144"/>
      <c r="H2" s="144"/>
      <c r="I2" s="144"/>
      <c r="J2" s="144"/>
      <c r="K2" s="1650" t="str">
        <f>IF([1]ACCUEIL!B1=1,"NOTE 19
NORMAL SYSTEM","NOTE 19
SYSTEME NORMAL")</f>
        <v>NOTE 19
SYSTEME NORMAL</v>
      </c>
      <c r="L2" s="1651"/>
    </row>
    <row r="3" spans="2:16">
      <c r="B3" s="144"/>
      <c r="C3" s="144"/>
      <c r="D3" s="144"/>
      <c r="E3" s="144"/>
      <c r="F3" s="144"/>
      <c r="G3" s="312"/>
      <c r="H3" s="144"/>
      <c r="I3" s="144"/>
      <c r="J3" s="144"/>
      <c r="K3" s="1652"/>
      <c r="L3" s="1653"/>
    </row>
    <row r="4" spans="2:16">
      <c r="B4" s="43" t="str">
        <f>'NOTE 14'!B6</f>
        <v>Désignation entité:</v>
      </c>
      <c r="C4" s="650" t="str">
        <f>'NOTE 18'!C6</f>
        <v/>
      </c>
      <c r="D4" s="651"/>
      <c r="E4" s="43"/>
      <c r="F4" s="43"/>
      <c r="G4" s="651"/>
      <c r="H4" s="651"/>
      <c r="I4" s="651"/>
      <c r="J4" s="651"/>
      <c r="K4" s="43"/>
      <c r="L4" s="43"/>
    </row>
    <row r="5" spans="2:16">
      <c r="B5" s="43" t="str">
        <f>'NOTE 14'!B7</f>
        <v>Sigle usuel :</v>
      </c>
      <c r="C5" s="650" t="str">
        <f>'NOTE 18'!C7</f>
        <v/>
      </c>
      <c r="D5" s="750"/>
      <c r="E5" s="653"/>
      <c r="F5" s="655"/>
      <c r="G5" s="703"/>
      <c r="H5" s="703"/>
      <c r="I5" s="703"/>
      <c r="J5" s="512"/>
      <c r="K5" s="512"/>
      <c r="L5" s="703"/>
    </row>
    <row r="6" spans="2:16">
      <c r="B6" s="43" t="str">
        <f>'NOTE 14'!B8</f>
        <v>Adresse:</v>
      </c>
      <c r="C6" s="650">
        <f>'NOTE 18'!C8</f>
        <v>0</v>
      </c>
      <c r="D6" s="751"/>
      <c r="E6" s="705"/>
      <c r="F6" s="703"/>
      <c r="G6" s="653"/>
      <c r="H6" s="653"/>
      <c r="I6" s="653"/>
      <c r="J6" s="653"/>
      <c r="K6" s="317" t="str">
        <f>'NOTE 18'!I8</f>
        <v>BP:</v>
      </c>
      <c r="L6" s="512" t="str">
        <f>'NOTE 18'!J8</f>
        <v/>
      </c>
    </row>
    <row r="7" spans="2:16">
      <c r="B7" s="43" t="str">
        <f>'NOTE 14'!B9</f>
        <v>Numéro d'identification:</v>
      </c>
      <c r="C7" s="512" t="str">
        <f>'NOTE 18'!C9</f>
        <v/>
      </c>
      <c r="D7" s="705"/>
      <c r="E7" s="705"/>
      <c r="F7" s="651"/>
      <c r="G7" s="761" t="s">
        <v>0</v>
      </c>
      <c r="H7" s="1948" t="str">
        <f>'NOTE 18'!F9</f>
        <v xml:space="preserve">   Exercice clos le 31 - 12- </v>
      </c>
      <c r="I7" s="1949"/>
      <c r="J7" s="650">
        <f>'NOTE 16 B'!G7</f>
        <v>2025</v>
      </c>
      <c r="K7" s="318" t="str">
        <f>'NOTE 18'!I9</f>
        <v xml:space="preserve">    Durée (en mois):</v>
      </c>
      <c r="L7" s="319">
        <f>'NOTE 16 B'!I7</f>
        <v>12</v>
      </c>
    </row>
    <row r="8" spans="2:16">
      <c r="B8" s="43"/>
      <c r="C8" s="43"/>
      <c r="D8" s="705"/>
      <c r="E8" s="705"/>
      <c r="F8" s="43"/>
      <c r="G8" s="43"/>
      <c r="H8" s="43"/>
      <c r="I8" s="43"/>
      <c r="J8" s="43"/>
      <c r="K8" s="43"/>
      <c r="L8" s="705"/>
    </row>
    <row r="9" spans="2:16" ht="32.25" customHeight="1">
      <c r="B9" s="1789" t="str">
        <f>IF([1]ACCUEIL!B1=1,"NOTE 19 OTHER DEBTS AND PROVISIONS FOR SHORT-TERM RISKS","NOTE 19 AUTRES DETTES ET PROVISIONS POUR RISQUES A COURT TERME")</f>
        <v>NOTE 19 AUTRES DETTES ET PROVISIONS POUR RISQUES A COURT TERME</v>
      </c>
      <c r="C9" s="1789"/>
      <c r="D9" s="1789"/>
      <c r="E9" s="1789"/>
      <c r="F9" s="1789"/>
      <c r="G9" s="1789"/>
      <c r="H9" s="1789"/>
      <c r="I9" s="1789"/>
      <c r="J9" s="1789"/>
      <c r="K9" s="1789"/>
      <c r="L9" s="1789"/>
    </row>
    <row r="10" spans="2:16" ht="53.45" customHeight="1">
      <c r="B10" s="1795" t="str">
        <f>'NOTE 18'!B12:C12</f>
        <v xml:space="preserve">      RUBRIQUES</v>
      </c>
      <c r="C10" s="1959"/>
      <c r="D10" s="1959"/>
      <c r="E10" s="1960"/>
      <c r="F10" s="762" t="str">
        <f>'NOTE 18'!D12</f>
        <v>Année 2025</v>
      </c>
      <c r="G10" s="762" t="str">
        <f>'NOTE 18'!E12</f>
        <v>Année 2024</v>
      </c>
      <c r="H10" s="762" t="str">
        <f>'NOTE 18'!F12</f>
        <v>VARIATION EN VALEUR ABSOLUE</v>
      </c>
      <c r="I10" s="763" t="str">
        <f>'NOTE 18'!G12</f>
        <v xml:space="preserve">Variation en % </v>
      </c>
      <c r="J10" s="548" t="str">
        <f>'NOTE 18'!H12</f>
        <v>Créances à un an ou plus</v>
      </c>
      <c r="K10" s="548" t="str">
        <f>'NOTE 18'!I12</f>
        <v>Créances à plus d'un an et à deux ans au plus</v>
      </c>
      <c r="L10" s="548" t="str">
        <f>'NOTE 18'!J12</f>
        <v>Créances à plus de deux ans</v>
      </c>
    </row>
    <row r="11" spans="2:16" s="522" customFormat="1" ht="21" customHeight="1">
      <c r="B11" s="1961" t="str">
        <f>IF([1]ACCUEIL!B1=1,"International organizations","Organismes internationaux")</f>
        <v>Organismes internationaux</v>
      </c>
      <c r="C11" s="1962"/>
      <c r="D11" s="1962"/>
      <c r="E11" s="1963"/>
      <c r="F11" s="242">
        <f>'[1]CLASSE 4'!J287+'[1]CLASSE 4'!J288+'[1]CLASSE 4'!J294</f>
        <v>0</v>
      </c>
      <c r="G11" s="242">
        <f>'[1]CLASSE 4'!F287+'[1]CLASSE 4'!F288+'[1]CLASSE 4'!F294</f>
        <v>0</v>
      </c>
      <c r="H11" s="708">
        <f>F11-G11</f>
        <v>0</v>
      </c>
      <c r="I11" s="764">
        <f>IF(M11=0,0,P11)</f>
        <v>0</v>
      </c>
      <c r="J11" s="765">
        <f>'[1]NOTE 19'!J11</f>
        <v>0</v>
      </c>
      <c r="K11" s="765">
        <f>'[1]NOTE 19'!K11</f>
        <v>0</v>
      </c>
      <c r="L11" s="765">
        <f>'[1]NOTE 19'!L11</f>
        <v>0</v>
      </c>
      <c r="M11" s="522">
        <f>F11-G11</f>
        <v>0</v>
      </c>
      <c r="N11" s="522">
        <f>IF(G11=0,1,IF(G11&lt;0,(F11-G11)/-G11,(F11-G11)/G11))</f>
        <v>1</v>
      </c>
      <c r="O11" s="522">
        <f>IF(M11=F11,IF(F11&lt;0,-1,0))</f>
        <v>0</v>
      </c>
      <c r="P11" s="522">
        <f>IF(O11=-1,-1,N11)</f>
        <v>1</v>
      </c>
    </row>
    <row r="12" spans="2:16" s="522" customFormat="1" ht="21" customHeight="1">
      <c r="B12" s="1961" t="str">
        <f>IF([1]ACCUEIL!B1=1,"Provider, capital operations","Apporteur, opérations sur le capital")</f>
        <v>Apporteur, opérations sur le capital</v>
      </c>
      <c r="C12" s="1962"/>
      <c r="D12" s="1962"/>
      <c r="E12" s="1963"/>
      <c r="F12" s="242">
        <f>'[1]CLASSE 4'!J314</f>
        <v>0</v>
      </c>
      <c r="G12" s="242">
        <f>'[1]CLASSE 4'!F314</f>
        <v>0</v>
      </c>
      <c r="H12" s="708">
        <f t="shared" ref="H12:H28" si="0">F12-G12</f>
        <v>0</v>
      </c>
      <c r="I12" s="764">
        <f t="shared" ref="I12:I30" si="1">IF(M12=0,0,P12)</f>
        <v>0</v>
      </c>
      <c r="J12" s="765">
        <f>'[1]NOTE 19'!J12</f>
        <v>0</v>
      </c>
      <c r="K12" s="765">
        <f>'[1]NOTE 19'!K12</f>
        <v>0</v>
      </c>
      <c r="L12" s="765">
        <f>'[1]NOTE 19'!L12</f>
        <v>0</v>
      </c>
      <c r="M12" s="522">
        <f t="shared" ref="M12:M30" si="2">F12-G12</f>
        <v>0</v>
      </c>
      <c r="N12" s="522">
        <f t="shared" ref="N12:N30" si="3">IF(G12=0,1,IF(G12&lt;0,(F12-G12)/-G12,(F12-G12)/G12))</f>
        <v>1</v>
      </c>
      <c r="O12" s="522">
        <f t="shared" ref="O12:O30" si="4">IF(M12=F12,IF(F12&lt;0,-1,0))</f>
        <v>0</v>
      </c>
      <c r="P12" s="522">
        <f t="shared" ref="P12:P30" si="5">IF(O12=-1,-1,N12)</f>
        <v>1</v>
      </c>
    </row>
    <row r="13" spans="2:16" s="522" customFormat="1" ht="21" customHeight="1">
      <c r="B13" s="1961" t="str">
        <f>IF([1]ACCUEIL!B1=1,"Partners, current account","Associés, compte courant")</f>
        <v>Associés, compte courant</v>
      </c>
      <c r="C13" s="1962"/>
      <c r="D13" s="1962"/>
      <c r="E13" s="1963"/>
      <c r="F13" s="242">
        <f>'[1]CLASSE 4'!J320+'[1]CLASSE 4'!J326</f>
        <v>0</v>
      </c>
      <c r="G13" s="242">
        <f>'[1]CLASSE 4'!F320+'[1]CLASSE 4'!F326</f>
        <v>0</v>
      </c>
      <c r="H13" s="708">
        <f t="shared" si="0"/>
        <v>0</v>
      </c>
      <c r="I13" s="764">
        <f t="shared" si="1"/>
        <v>0</v>
      </c>
      <c r="J13" s="765">
        <f>'[1]NOTE 19'!J13</f>
        <v>0</v>
      </c>
      <c r="K13" s="765">
        <f>'[1]NOTE 19'!K13</f>
        <v>0</v>
      </c>
      <c r="L13" s="765">
        <f>'[1]NOTE 19'!L13</f>
        <v>0</v>
      </c>
      <c r="M13" s="522">
        <f t="shared" si="2"/>
        <v>0</v>
      </c>
      <c r="N13" s="522">
        <f t="shared" si="3"/>
        <v>1</v>
      </c>
      <c r="O13" s="522">
        <f t="shared" si="4"/>
        <v>0</v>
      </c>
      <c r="P13" s="522">
        <f t="shared" si="5"/>
        <v>1</v>
      </c>
    </row>
    <row r="14" spans="2:16" s="522" customFormat="1" ht="21" customHeight="1">
      <c r="B14" s="1961" t="str">
        <f>IF([1]ACCUEIL!B1=1,"Associates dividends payable","Associés dividendes à payer")</f>
        <v>Associés dividendes à payer</v>
      </c>
      <c r="C14" s="1962"/>
      <c r="D14" s="1962"/>
      <c r="E14" s="1963"/>
      <c r="F14" s="242">
        <f>'[1]CLASSE 4'!J327</f>
        <v>0</v>
      </c>
      <c r="G14" s="242">
        <f>'[1]CLASSE 4'!F327</f>
        <v>0</v>
      </c>
      <c r="H14" s="708">
        <f t="shared" si="0"/>
        <v>0</v>
      </c>
      <c r="I14" s="764">
        <f t="shared" si="1"/>
        <v>0</v>
      </c>
      <c r="J14" s="765">
        <f>'[1]NOTE 19'!J14</f>
        <v>0</v>
      </c>
      <c r="K14" s="765">
        <f>'[1]NOTE 19'!K14</f>
        <v>0</v>
      </c>
      <c r="L14" s="765">
        <f>'[1]NOTE 19'!L14</f>
        <v>0</v>
      </c>
      <c r="M14" s="522">
        <f t="shared" si="2"/>
        <v>0</v>
      </c>
      <c r="N14" s="522">
        <f t="shared" si="3"/>
        <v>1</v>
      </c>
      <c r="O14" s="522">
        <f t="shared" si="4"/>
        <v>0</v>
      </c>
      <c r="P14" s="522">
        <f t="shared" si="5"/>
        <v>1</v>
      </c>
    </row>
    <row r="15" spans="2:16" s="522" customFormat="1" ht="21" customHeight="1">
      <c r="B15" s="1961" t="str">
        <f>IF([1]ACCUEIL!B1=1,"Group, current accounts","Groupe, comptes courants ")</f>
        <v xml:space="preserve">Groupe, comptes courants </v>
      </c>
      <c r="C15" s="1962"/>
      <c r="D15" s="1962"/>
      <c r="E15" s="1963"/>
      <c r="F15" s="242">
        <f>'[1]CLASSE 4'!J328</f>
        <v>0</v>
      </c>
      <c r="G15" s="242">
        <f>'[1]CLASSE 4'!F328</f>
        <v>0</v>
      </c>
      <c r="H15" s="708">
        <f t="shared" si="0"/>
        <v>0</v>
      </c>
      <c r="I15" s="764">
        <f t="shared" si="1"/>
        <v>0</v>
      </c>
      <c r="J15" s="765">
        <f>'[1]NOTE 19'!J15</f>
        <v>0</v>
      </c>
      <c r="K15" s="765">
        <f>'[1]NOTE 19'!K15</f>
        <v>0</v>
      </c>
      <c r="L15" s="765">
        <f>'[1]NOTE 19'!L15</f>
        <v>0</v>
      </c>
      <c r="M15" s="522">
        <f t="shared" si="2"/>
        <v>0</v>
      </c>
      <c r="N15" s="522">
        <f t="shared" si="3"/>
        <v>1</v>
      </c>
      <c r="O15" s="522">
        <f t="shared" si="4"/>
        <v>0</v>
      </c>
      <c r="P15" s="522">
        <f t="shared" si="5"/>
        <v>1</v>
      </c>
    </row>
    <row r="16" spans="2:16" s="522" customFormat="1" ht="21" customHeight="1">
      <c r="B16" s="1961" t="str">
        <f>IF([1]ACCUEIL!B1=1,"Other social debts","Autres dettes sociales")</f>
        <v>Autres dettes sociales</v>
      </c>
      <c r="C16" s="1962"/>
      <c r="D16" s="1962"/>
      <c r="E16" s="1963"/>
      <c r="F16" s="242">
        <f>'[1]CLASSE 4'!J329</f>
        <v>0</v>
      </c>
      <c r="G16" s="242">
        <f>'[1]CLASSE 4'!F329</f>
        <v>0</v>
      </c>
      <c r="H16" s="708">
        <f t="shared" si="0"/>
        <v>0</v>
      </c>
      <c r="I16" s="764">
        <f t="shared" si="1"/>
        <v>0</v>
      </c>
      <c r="J16" s="765">
        <f>'[1]NOTE 19'!J16</f>
        <v>0</v>
      </c>
      <c r="K16" s="765">
        <f>'[1]NOTE 19'!K16</f>
        <v>0</v>
      </c>
      <c r="L16" s="765">
        <f>'[1]NOTE 19'!L16</f>
        <v>0</v>
      </c>
      <c r="M16" s="522">
        <f t="shared" si="2"/>
        <v>0</v>
      </c>
      <c r="N16" s="522">
        <f t="shared" si="3"/>
        <v>1</v>
      </c>
      <c r="O16" s="522">
        <f t="shared" si="4"/>
        <v>0</v>
      </c>
      <c r="P16" s="522">
        <f t="shared" si="5"/>
        <v>1</v>
      </c>
    </row>
    <row r="17" spans="2:16" s="522" customFormat="1" ht="21" customHeight="1">
      <c r="B17" s="1932" t="str">
        <f>IF([1]ACCUEIL!B1=1,"TOTAL ASSOCIATED DEBTS","TOTAL DETTES ASSOCIES")</f>
        <v>TOTAL DETTES ASSOCIES</v>
      </c>
      <c r="C17" s="1933"/>
      <c r="D17" s="1933"/>
      <c r="E17" s="1958"/>
      <c r="F17" s="695">
        <f>SUM(F11:F16)</f>
        <v>0</v>
      </c>
      <c r="G17" s="695">
        <f t="shared" ref="G17" si="6">SUM(G11:G16)</f>
        <v>0</v>
      </c>
      <c r="H17" s="713">
        <f t="shared" si="0"/>
        <v>0</v>
      </c>
      <c r="I17" s="766">
        <f t="shared" si="1"/>
        <v>0</v>
      </c>
      <c r="J17" s="765">
        <f>'[1]NOTE 19'!J17</f>
        <v>0</v>
      </c>
      <c r="K17" s="765">
        <f>'[1]NOTE 19'!K17</f>
        <v>0</v>
      </c>
      <c r="L17" s="765">
        <f>'[1]NOTE 19'!L17</f>
        <v>0</v>
      </c>
      <c r="M17" s="522">
        <f t="shared" si="2"/>
        <v>0</v>
      </c>
      <c r="N17" s="522">
        <f t="shared" si="3"/>
        <v>1</v>
      </c>
      <c r="O17" s="522">
        <f t="shared" si="4"/>
        <v>0</v>
      </c>
      <c r="P17" s="522">
        <f t="shared" si="5"/>
        <v>1</v>
      </c>
    </row>
    <row r="18" spans="2:16" s="522" customFormat="1" ht="21" customHeight="1">
      <c r="B18" s="1961" t="str">
        <f>IF([1]ACCUEIL!B1=1,"Sundry creditors","Créditeurs divers ")</f>
        <v xml:space="preserve">Créditeurs divers </v>
      </c>
      <c r="C18" s="1962"/>
      <c r="D18" s="1962"/>
      <c r="E18" s="1963"/>
      <c r="F18" s="242">
        <f>'[1]CLASSE 4'!J333</f>
        <v>0</v>
      </c>
      <c r="G18" s="242">
        <f>'[1]CLASSE 4'!F333</f>
        <v>0</v>
      </c>
      <c r="H18" s="708">
        <f t="shared" si="0"/>
        <v>0</v>
      </c>
      <c r="I18" s="766">
        <f>IF(M18=0,0,P18)</f>
        <v>0</v>
      </c>
      <c r="J18" s="765">
        <f>'[1]NOTE 19'!J18</f>
        <v>0</v>
      </c>
      <c r="K18" s="765">
        <f>'[1]NOTE 19'!K18</f>
        <v>0</v>
      </c>
      <c r="L18" s="765">
        <f>'[1]NOTE 19'!L18</f>
        <v>0</v>
      </c>
      <c r="M18" s="522">
        <f t="shared" si="2"/>
        <v>0</v>
      </c>
      <c r="N18" s="522">
        <f t="shared" si="3"/>
        <v>1</v>
      </c>
      <c r="O18" s="522">
        <f t="shared" si="4"/>
        <v>0</v>
      </c>
      <c r="P18" s="522">
        <f t="shared" si="5"/>
        <v>1</v>
      </c>
    </row>
    <row r="19" spans="2:16" s="522" customFormat="1" ht="21" customHeight="1">
      <c r="B19" s="1961" t="str">
        <f>IF([1]ACCUEIL!B1=1,"Bondholders","Obligataires")</f>
        <v>Obligataires</v>
      </c>
      <c r="C19" s="1962"/>
      <c r="D19" s="1962"/>
      <c r="E19" s="1963"/>
      <c r="F19" s="242">
        <f>'[1]CLASSE 4'!J334</f>
        <v>0</v>
      </c>
      <c r="G19" s="242">
        <f>'[1]CLASSE 4'!F334</f>
        <v>0</v>
      </c>
      <c r="H19" s="708">
        <f t="shared" si="0"/>
        <v>0</v>
      </c>
      <c r="I19" s="764">
        <f t="shared" si="1"/>
        <v>0</v>
      </c>
      <c r="J19" s="765">
        <f>'[1]NOTE 19'!J19</f>
        <v>0</v>
      </c>
      <c r="K19" s="765">
        <f>'[1]NOTE 19'!K19</f>
        <v>0</v>
      </c>
      <c r="L19" s="765">
        <f>'[1]NOTE 19'!L19</f>
        <v>0</v>
      </c>
      <c r="M19" s="522">
        <f t="shared" si="2"/>
        <v>0</v>
      </c>
      <c r="N19" s="522">
        <f t="shared" si="3"/>
        <v>1</v>
      </c>
      <c r="O19" s="522">
        <f t="shared" si="4"/>
        <v>0</v>
      </c>
      <c r="P19" s="522">
        <f t="shared" si="5"/>
        <v>1</v>
      </c>
    </row>
    <row r="20" spans="2:16" s="522" customFormat="1" ht="21" customHeight="1">
      <c r="B20" s="1961" t="str">
        <f>IF([1]ACCUEIL!B1=1,"Remuneration of directors factor account","Rémunérations d'administrateurs compte du factor")</f>
        <v>Rémunérations d'administrateurs compte du factor</v>
      </c>
      <c r="C20" s="1962"/>
      <c r="D20" s="1962"/>
      <c r="E20" s="1963"/>
      <c r="F20" s="242">
        <f>'[1]CLASSE 4'!J335</f>
        <v>0</v>
      </c>
      <c r="G20" s="242">
        <f>'[1]CLASSE 4'!F335</f>
        <v>0</v>
      </c>
      <c r="H20" s="708">
        <f t="shared" si="0"/>
        <v>0</v>
      </c>
      <c r="I20" s="764">
        <f t="shared" si="1"/>
        <v>0</v>
      </c>
      <c r="J20" s="765">
        <f>'[1]NOTE 19'!J20</f>
        <v>0</v>
      </c>
      <c r="K20" s="765">
        <f>'[1]NOTE 19'!K20</f>
        <v>0</v>
      </c>
      <c r="L20" s="765">
        <f>'[1]NOTE 19'!L20</f>
        <v>0</v>
      </c>
      <c r="M20" s="522">
        <f t="shared" si="2"/>
        <v>0</v>
      </c>
      <c r="N20" s="522">
        <f t="shared" si="3"/>
        <v>1</v>
      </c>
      <c r="O20" s="522">
        <f t="shared" si="4"/>
        <v>0</v>
      </c>
      <c r="P20" s="522">
        <f t="shared" si="5"/>
        <v>1</v>
      </c>
    </row>
    <row r="21" spans="2:16" s="522" customFormat="1" ht="21" customHeight="1">
      <c r="B21" s="1964" t="str">
        <f>IF([1]ACCUEIL!B1=1,"Remaining payment to be made on investment security not released","Versement restant à effectuer sur titre de placement non libérés")</f>
        <v>Versement restant à effectuer sur titre de placement non libérés</v>
      </c>
      <c r="C21" s="1965"/>
      <c r="D21" s="1965"/>
      <c r="E21" s="1966"/>
      <c r="F21" s="767">
        <f>'[1]CLASSE 4'!J339</f>
        <v>0</v>
      </c>
      <c r="G21" s="767">
        <f>'[1]CLASSE 4'!F339</f>
        <v>0</v>
      </c>
      <c r="H21" s="708">
        <f t="shared" si="0"/>
        <v>0</v>
      </c>
      <c r="I21" s="764">
        <f t="shared" si="1"/>
        <v>0</v>
      </c>
      <c r="J21" s="765">
        <f>'[1]NOTE 19'!J21</f>
        <v>0</v>
      </c>
      <c r="K21" s="765">
        <f>'[1]NOTE 19'!K21</f>
        <v>0</v>
      </c>
      <c r="L21" s="765">
        <f>'[1]NOTE 19'!L21</f>
        <v>0</v>
      </c>
      <c r="M21" s="522">
        <f t="shared" si="2"/>
        <v>0</v>
      </c>
      <c r="N21" s="522">
        <f t="shared" si="3"/>
        <v>1</v>
      </c>
      <c r="O21" s="522">
        <f t="shared" si="4"/>
        <v>0</v>
      </c>
      <c r="P21" s="522">
        <f t="shared" si="5"/>
        <v>1</v>
      </c>
    </row>
    <row r="22" spans="2:16" s="522" customFormat="1" ht="21" customHeight="1">
      <c r="B22" s="1964" t="str">
        <f>IF([1]ACCUEIL!B1=1,"Special adjustment transitional account linked to the SYSCOHADA review","Compte transitoire ajustement spécial lié à la révision du SYSCOHADA")</f>
        <v>Compte transitoire ajustement spécial lié à la révision du SYSCOHADA</v>
      </c>
      <c r="C22" s="1965"/>
      <c r="D22" s="1965"/>
      <c r="E22" s="1966"/>
      <c r="F22" s="767">
        <f>'[1]CLASSE 4'!J375</f>
        <v>0</v>
      </c>
      <c r="G22" s="767">
        <f>'[1]CLASSE 4'!F375</f>
        <v>0</v>
      </c>
      <c r="H22" s="708">
        <f t="shared" si="0"/>
        <v>0</v>
      </c>
      <c r="I22" s="764">
        <f t="shared" si="1"/>
        <v>0</v>
      </c>
      <c r="J22" s="765">
        <f>'[1]NOTE 19'!J22</f>
        <v>0</v>
      </c>
      <c r="K22" s="765">
        <f>'[1]NOTE 19'!K22</f>
        <v>0</v>
      </c>
      <c r="L22" s="765">
        <f>'[1]NOTE 19'!L22</f>
        <v>0</v>
      </c>
      <c r="M22" s="522">
        <f t="shared" si="2"/>
        <v>0</v>
      </c>
      <c r="N22" s="522">
        <f t="shared" si="3"/>
        <v>1</v>
      </c>
      <c r="O22" s="522">
        <f t="shared" si="4"/>
        <v>0</v>
      </c>
      <c r="P22" s="522">
        <f t="shared" si="5"/>
        <v>1</v>
      </c>
    </row>
    <row r="23" spans="2:16" s="522" customFormat="1" ht="21" customHeight="1">
      <c r="B23" s="1961" t="str">
        <f>IF([1]ACCUEIL!B1=1,"Prepaid products","Produits constatés d'avance")</f>
        <v>Produits constatés d'avance</v>
      </c>
      <c r="C23" s="1962"/>
      <c r="D23" s="1962"/>
      <c r="E23" s="1963"/>
      <c r="F23" s="242">
        <f>'[1]CLASSE 4'!J379</f>
        <v>0</v>
      </c>
      <c r="G23" s="242">
        <f>'[1]CLASSE 4'!F379</f>
        <v>0</v>
      </c>
      <c r="H23" s="708"/>
      <c r="I23" s="764"/>
      <c r="J23" s="765">
        <f>'[1]NOTE 19'!J23</f>
        <v>0</v>
      </c>
      <c r="K23" s="765">
        <f>'[1]NOTE 19'!K23</f>
        <v>0</v>
      </c>
      <c r="L23" s="765">
        <f>'[1]NOTE 19'!L23</f>
        <v>0</v>
      </c>
      <c r="M23" s="522">
        <f>F23-G23</f>
        <v>0</v>
      </c>
      <c r="N23" s="522">
        <f>IF(G23=0,1,IF(G23&lt;0,(F23-G23)/-G23,(F23-G23)/G23))</f>
        <v>1</v>
      </c>
      <c r="O23" s="522">
        <f>IF(M23=F23,IF(F23&lt;0,-1,0))</f>
        <v>0</v>
      </c>
      <c r="P23" s="522">
        <f>IF(O23=-1,-1,N23)</f>
        <v>1</v>
      </c>
    </row>
    <row r="24" spans="2:16" s="522" customFormat="1" ht="21" customHeight="1">
      <c r="B24" s="1961" t="str">
        <f>IF([1]ACCUEIL!B1=1,"Other miscellaneous creditors","Autres créditeurs divers")</f>
        <v>Autres créditeurs divers</v>
      </c>
      <c r="C24" s="1962"/>
      <c r="D24" s="1962"/>
      <c r="E24" s="1963"/>
      <c r="F24" s="242">
        <f>'[1]CLASSE 4'!J351+'[1]CLASSE 4'!J357+'[1]CLASSE 4'!J369+'[1]CLASSE 4'!J385+'[1]CLASSE 4'!J387+'[1]CLASSE 4'!J361</f>
        <v>0</v>
      </c>
      <c r="G24" s="242">
        <f>'[1]CLASSE 4'!F351+'[1]CLASSE 4'!F357+'[1]CLASSE 4'!F369+'[1]CLASSE 4'!F385+'[1]CLASSE 4'!F387+'[1]CLASSE 4'!F361</f>
        <v>0</v>
      </c>
      <c r="H24" s="708">
        <f t="shared" si="0"/>
        <v>0</v>
      </c>
      <c r="I24" s="764">
        <f t="shared" si="1"/>
        <v>0</v>
      </c>
      <c r="J24" s="765">
        <f>'[1]NOTE 19'!J24</f>
        <v>0</v>
      </c>
      <c r="K24" s="765">
        <f>'[1]NOTE 19'!K24</f>
        <v>0</v>
      </c>
      <c r="L24" s="765">
        <f>'[1]NOTE 19'!L24</f>
        <v>0</v>
      </c>
      <c r="M24" s="522">
        <f>F24-G24</f>
        <v>0</v>
      </c>
      <c r="N24" s="522">
        <f>IF(G24=0,1,IF(G24&lt;0,(F24-G24)/-G24,(F24-G24)/G24))</f>
        <v>1</v>
      </c>
      <c r="O24" s="522">
        <f>IF(M24=F24,IF(F24&lt;0,-1,0))</f>
        <v>0</v>
      </c>
      <c r="P24" s="522">
        <f>IF(O24=-1,-1,N24)</f>
        <v>1</v>
      </c>
    </row>
    <row r="25" spans="2:16" s="522" customFormat="1" ht="21" customHeight="1">
      <c r="B25" s="1932" t="str">
        <f>IF([1]ACCUEIL!B1=1,"TOTAL MISCELLANEOUS CREDITORS","TOTAL CREDITEURS DIVERS ")</f>
        <v xml:space="preserve">TOTAL CREDITEURS DIVERS </v>
      </c>
      <c r="C25" s="1933"/>
      <c r="D25" s="1933"/>
      <c r="E25" s="1958"/>
      <c r="F25" s="695">
        <f t="shared" ref="F25:G25" si="7">SUM(F18:F24)</f>
        <v>0</v>
      </c>
      <c r="G25" s="695">
        <f t="shared" si="7"/>
        <v>0</v>
      </c>
      <c r="H25" s="713">
        <f t="shared" si="0"/>
        <v>0</v>
      </c>
      <c r="I25" s="766">
        <f t="shared" si="1"/>
        <v>0</v>
      </c>
      <c r="J25" s="765">
        <f>'[1]NOTE 19'!J25</f>
        <v>0</v>
      </c>
      <c r="K25" s="765">
        <f>'[1]NOTE 19'!K25</f>
        <v>0</v>
      </c>
      <c r="L25" s="765">
        <f>'[1]NOTE 19'!L25</f>
        <v>0</v>
      </c>
      <c r="M25" s="522">
        <f>F25-G25</f>
        <v>0</v>
      </c>
      <c r="N25" s="522">
        <f>IF(G25=0,1,IF(G25&lt;0,(F25-G25)/-G25,(F25-G25)/G25))</f>
        <v>1</v>
      </c>
      <c r="O25" s="522">
        <f>IF(M25=F25,IF(F25&lt;0,-1,0))</f>
        <v>0</v>
      </c>
      <c r="P25" s="522">
        <f>IF(O25=-1,-1,N25)</f>
        <v>1</v>
      </c>
    </row>
    <row r="26" spans="2:16" s="522" customFormat="1" ht="21" customHeight="1">
      <c r="B26" s="1798" t="str">
        <f>IF([1]ACCUEIL!B1=1,"Unblocked permanent accounts of establishments and branches","Comptes permanents non bloqués des établissements et des succursales")</f>
        <v>Comptes permanents non bloqués des établissements et des succursales</v>
      </c>
      <c r="C26" s="1799"/>
      <c r="D26" s="1799"/>
      <c r="E26" s="1967"/>
      <c r="F26" s="767">
        <f>'[1]CLASSE 1'!J231</f>
        <v>0</v>
      </c>
      <c r="G26" s="767">
        <f>'[1]CLASSE 1'!F231</f>
        <v>0</v>
      </c>
      <c r="H26" s="708">
        <f t="shared" si="0"/>
        <v>0</v>
      </c>
      <c r="I26" s="764">
        <f t="shared" si="1"/>
        <v>0</v>
      </c>
      <c r="J26" s="765">
        <f>'[1]NOTE 19'!J26</f>
        <v>0</v>
      </c>
      <c r="K26" s="765">
        <f>'[1]NOTE 19'!K26</f>
        <v>0</v>
      </c>
      <c r="L26" s="765">
        <f>'[1]NOTE 19'!L26</f>
        <v>0</v>
      </c>
      <c r="M26" s="522">
        <f>F26-G26</f>
        <v>0</v>
      </c>
      <c r="N26" s="522">
        <f>IF(G26=0,1,IF(G26&lt;0,(F26-G26)/-G26,(F26-G26)/G26))</f>
        <v>1</v>
      </c>
      <c r="O26" s="522">
        <f>IF(M26=F26,IF(F26&lt;0,-1,0))</f>
        <v>0</v>
      </c>
      <c r="P26" s="522">
        <f>IF(O26=-1,-1,N26)</f>
        <v>1</v>
      </c>
    </row>
    <row r="27" spans="2:16" s="522" customFormat="1" ht="21" customHeight="1">
      <c r="B27" s="1961" t="str">
        <f>IF([1]ACCUEIL!B1=1,"Liability and expense accounts","Comptes de liaison des charges et produits")</f>
        <v>Comptes de liaison des charges et produits</v>
      </c>
      <c r="C27" s="1962"/>
      <c r="D27" s="1962"/>
      <c r="E27" s="1963"/>
      <c r="F27" s="242">
        <f>'[1]CLASSE 1'!J234</f>
        <v>0</v>
      </c>
      <c r="G27" s="242">
        <f>'[1]CLASSE 1'!F234</f>
        <v>0</v>
      </c>
      <c r="H27" s="708">
        <f t="shared" si="0"/>
        <v>0</v>
      </c>
      <c r="I27" s="764">
        <f t="shared" si="1"/>
        <v>0</v>
      </c>
      <c r="J27" s="765">
        <f>'[1]NOTE 19'!J27</f>
        <v>0</v>
      </c>
      <c r="K27" s="765">
        <f>'[1]NOTE 19'!K27</f>
        <v>0</v>
      </c>
      <c r="L27" s="765">
        <f>'[1]NOTE 19'!L27</f>
        <v>0</v>
      </c>
      <c r="M27" s="522">
        <f t="shared" si="2"/>
        <v>0</v>
      </c>
      <c r="N27" s="522">
        <f t="shared" si="3"/>
        <v>1</v>
      </c>
      <c r="O27" s="522">
        <f t="shared" si="4"/>
        <v>0</v>
      </c>
      <c r="P27" s="522">
        <f t="shared" si="5"/>
        <v>1</v>
      </c>
    </row>
    <row r="28" spans="2:16" s="522" customFormat="1" ht="21" customHeight="1">
      <c r="B28" s="1940" t="str">
        <f>IF([1]ACCUEIL!B1=1,"Liaison accounts of joint ventures","Comptes de liaison des sociétés en participation")</f>
        <v>Comptes de liaison des sociétés en participation</v>
      </c>
      <c r="C28" s="1941"/>
      <c r="D28" s="1941"/>
      <c r="E28" s="1968"/>
      <c r="F28" s="242">
        <f>'[1]CLASSE 1'!J235</f>
        <v>0</v>
      </c>
      <c r="G28" s="242">
        <f>'[1]CLASSE 1'!F235</f>
        <v>0</v>
      </c>
      <c r="H28" s="708">
        <f t="shared" si="0"/>
        <v>0</v>
      </c>
      <c r="I28" s="764">
        <f t="shared" si="1"/>
        <v>0</v>
      </c>
      <c r="J28" s="765">
        <f>'[1]NOTE 19'!J28</f>
        <v>0</v>
      </c>
      <c r="K28" s="765">
        <f>'[1]NOTE 19'!K28</f>
        <v>0</v>
      </c>
      <c r="L28" s="765">
        <f>'[1]NOTE 19'!L28</f>
        <v>0</v>
      </c>
      <c r="M28" s="522">
        <f t="shared" si="2"/>
        <v>0</v>
      </c>
      <c r="N28" s="522">
        <f t="shared" si="3"/>
        <v>1</v>
      </c>
      <c r="O28" s="522">
        <f t="shared" si="4"/>
        <v>0</v>
      </c>
      <c r="P28" s="522">
        <f t="shared" si="5"/>
        <v>1</v>
      </c>
    </row>
    <row r="29" spans="2:16" s="522" customFormat="1" ht="21" customHeight="1">
      <c r="B29" s="1932" t="str">
        <f>IF([1]ACCUEIL!B1=1,"TOTAL LINK ACCOUNTS","TOTAL COMPTES DE LIAISON ")</f>
        <v xml:space="preserve">TOTAL COMPTES DE LIAISON </v>
      </c>
      <c r="C29" s="1933"/>
      <c r="D29" s="1933"/>
      <c r="E29" s="1958"/>
      <c r="F29" s="695">
        <f>SUM(F26:F28)</f>
        <v>0</v>
      </c>
      <c r="G29" s="695">
        <f>SUM(G26:G28)</f>
        <v>0</v>
      </c>
      <c r="H29" s="713">
        <f>F29-G29</f>
        <v>0</v>
      </c>
      <c r="I29" s="766">
        <f t="shared" si="1"/>
        <v>0</v>
      </c>
      <c r="J29" s="768">
        <f>SUM(J26:J28)</f>
        <v>0</v>
      </c>
      <c r="K29" s="768">
        <f>SUM(K26:K28)</f>
        <v>0</v>
      </c>
      <c r="L29" s="768">
        <f>SUM(L26:L28)</f>
        <v>0</v>
      </c>
      <c r="M29" s="522">
        <f t="shared" si="2"/>
        <v>0</v>
      </c>
      <c r="N29" s="522">
        <f t="shared" si="3"/>
        <v>1</v>
      </c>
      <c r="O29" s="522">
        <f t="shared" si="4"/>
        <v>0</v>
      </c>
      <c r="P29" s="522">
        <f t="shared" si="5"/>
        <v>1</v>
      </c>
    </row>
    <row r="30" spans="2:16" s="522" customFormat="1" ht="21" customHeight="1">
      <c r="B30" s="1932" t="str">
        <f>IF([1]ACCUEIL!B1=1,"TOTAL OTHER DEBTS","TOTAL AUTRES DETTES ")</f>
        <v xml:space="preserve">TOTAL AUTRES DETTES </v>
      </c>
      <c r="C30" s="1933"/>
      <c r="D30" s="1933"/>
      <c r="E30" s="1958"/>
      <c r="F30" s="695">
        <f>F17+F25+F29</f>
        <v>0</v>
      </c>
      <c r="G30" s="695">
        <f>G17+G25+G29</f>
        <v>0</v>
      </c>
      <c r="H30" s="713">
        <f>F30-G30</f>
        <v>0</v>
      </c>
      <c r="I30" s="766">
        <f t="shared" si="1"/>
        <v>0</v>
      </c>
      <c r="J30" s="695">
        <f>J17+J25+J29</f>
        <v>0</v>
      </c>
      <c r="K30" s="695">
        <f>K17+K25+K29</f>
        <v>0</v>
      </c>
      <c r="L30" s="695">
        <f>L17+L25+L29</f>
        <v>0</v>
      </c>
      <c r="M30" s="522">
        <f t="shared" si="2"/>
        <v>0</v>
      </c>
      <c r="N30" s="522">
        <f t="shared" si="3"/>
        <v>1</v>
      </c>
      <c r="O30" s="522">
        <f t="shared" si="4"/>
        <v>0</v>
      </c>
      <c r="P30" s="522">
        <f t="shared" si="5"/>
        <v>1</v>
      </c>
    </row>
    <row r="31" spans="2:16">
      <c r="B31" s="274"/>
      <c r="C31" s="274"/>
      <c r="D31" s="274"/>
      <c r="E31" s="274"/>
      <c r="F31" s="274"/>
      <c r="G31" s="274"/>
      <c r="H31" s="274"/>
      <c r="I31" s="274"/>
      <c r="J31" s="274"/>
      <c r="K31" s="274"/>
      <c r="L31" s="274"/>
    </row>
    <row r="32" spans="2:16">
      <c r="B32" s="743" t="str">
        <f>'NOTE 18'!B31</f>
        <v>COMMENTAIRE</v>
      </c>
      <c r="C32" s="1660">
        <f>'[1]NOTE 19'!C32:L32</f>
        <v>0</v>
      </c>
      <c r="D32" s="1660"/>
      <c r="E32" s="1660"/>
      <c r="F32" s="1660"/>
      <c r="G32" s="1660"/>
      <c r="H32" s="1660"/>
      <c r="I32" s="1660"/>
      <c r="J32" s="1660"/>
      <c r="K32" s="1660"/>
      <c r="L32" s="1660"/>
    </row>
    <row r="33" spans="2:12">
      <c r="B33" s="274"/>
      <c r="C33" s="1660">
        <f>'[1]NOTE 19'!C33:L33</f>
        <v>0</v>
      </c>
      <c r="D33" s="1660"/>
      <c r="E33" s="1660"/>
      <c r="F33" s="1660"/>
      <c r="G33" s="1660"/>
      <c r="H33" s="1660"/>
      <c r="I33" s="1660"/>
      <c r="J33" s="1660"/>
      <c r="K33" s="1660"/>
      <c r="L33" s="1660"/>
    </row>
    <row r="34" spans="2:12">
      <c r="B34" s="274"/>
      <c r="C34" s="1660">
        <f>'[1]NOTE 19'!C34:L34</f>
        <v>0</v>
      </c>
      <c r="D34" s="1660"/>
      <c r="E34" s="1660"/>
      <c r="F34" s="1660"/>
      <c r="G34" s="1660"/>
      <c r="H34" s="1660"/>
      <c r="I34" s="1660"/>
      <c r="J34" s="1660"/>
      <c r="K34" s="1660"/>
      <c r="L34" s="1660"/>
    </row>
    <row r="35" spans="2:12">
      <c r="B35" s="274"/>
      <c r="C35" s="1660">
        <f>'[1]NOTE 19'!C35:L35</f>
        <v>0</v>
      </c>
      <c r="D35" s="1660"/>
      <c r="E35" s="1660"/>
      <c r="F35" s="1660"/>
      <c r="G35" s="1660"/>
      <c r="H35" s="1660"/>
      <c r="I35" s="1660"/>
      <c r="J35" s="1660"/>
      <c r="K35" s="1660"/>
      <c r="L35" s="1660"/>
    </row>
    <row r="36" spans="2:12">
      <c r="B36" s="274"/>
      <c r="C36" s="1660">
        <f>'[1]NOTE 19'!C36:L36</f>
        <v>0</v>
      </c>
      <c r="D36" s="1660"/>
      <c r="E36" s="1660"/>
      <c r="F36" s="1660"/>
      <c r="G36" s="1660"/>
      <c r="H36" s="1660"/>
      <c r="I36" s="1660"/>
      <c r="J36" s="1660"/>
      <c r="K36" s="1660"/>
      <c r="L36" s="1660"/>
    </row>
    <row r="37" spans="2:12">
      <c r="B37" s="274"/>
      <c r="C37" s="1660">
        <f>'[1]NOTE 19'!C37:L37</f>
        <v>0</v>
      </c>
      <c r="D37" s="1660"/>
      <c r="E37" s="1660"/>
      <c r="F37" s="1660"/>
      <c r="G37" s="1660"/>
      <c r="H37" s="1660"/>
      <c r="I37" s="1660"/>
      <c r="J37" s="1660"/>
      <c r="K37" s="1660"/>
      <c r="L37" s="1660"/>
    </row>
    <row r="38" spans="2:12">
      <c r="B38" s="274"/>
      <c r="C38" s="1660">
        <f>'[1]NOTE 19'!C38:L38</f>
        <v>0</v>
      </c>
      <c r="D38" s="1660"/>
      <c r="E38" s="1660"/>
      <c r="F38" s="1660"/>
      <c r="G38" s="1660"/>
      <c r="H38" s="1660"/>
      <c r="I38" s="1660"/>
      <c r="J38" s="1660"/>
      <c r="K38" s="1660"/>
      <c r="L38" s="1660"/>
    </row>
    <row r="39" spans="2:12">
      <c r="B39" s="274"/>
      <c r="C39" s="1660">
        <f>'[1]NOTE 19'!C39:L39</f>
        <v>0</v>
      </c>
      <c r="D39" s="1660"/>
      <c r="E39" s="1660"/>
      <c r="F39" s="1660"/>
      <c r="G39" s="1660"/>
      <c r="H39" s="1660"/>
      <c r="I39" s="1660"/>
      <c r="J39" s="1660"/>
      <c r="K39" s="1660"/>
      <c r="L39" s="1660"/>
    </row>
    <row r="40" spans="2:12">
      <c r="B40" s="274"/>
      <c r="C40" s="1660">
        <f>'[1]NOTE 19'!C40:L40</f>
        <v>0</v>
      </c>
      <c r="D40" s="1660"/>
      <c r="E40" s="1660"/>
      <c r="F40" s="1660"/>
      <c r="G40" s="1660"/>
      <c r="H40" s="1660"/>
      <c r="I40" s="1660"/>
      <c r="J40" s="1660"/>
      <c r="K40" s="1660"/>
      <c r="L40" s="1660"/>
    </row>
    <row r="41" spans="2:12">
      <c r="B41" s="274"/>
      <c r="C41" s="274"/>
      <c r="D41" s="274"/>
      <c r="E41" s="274"/>
      <c r="F41" s="274"/>
      <c r="G41" s="274"/>
      <c r="H41" s="274"/>
      <c r="I41" s="274"/>
      <c r="J41" s="274"/>
      <c r="K41" s="274"/>
      <c r="L41" s="274"/>
    </row>
    <row r="42" spans="2:12">
      <c r="B42" s="274"/>
      <c r="C42" s="274"/>
      <c r="D42" s="274"/>
      <c r="E42" s="274"/>
      <c r="F42" s="274"/>
      <c r="G42" s="274"/>
      <c r="H42" s="274"/>
      <c r="I42" s="274"/>
      <c r="J42" s="274"/>
      <c r="K42" s="274"/>
      <c r="L42" s="274"/>
    </row>
    <row r="43" spans="2:12">
      <c r="B43" s="274"/>
      <c r="C43" s="274"/>
      <c r="D43" s="274"/>
      <c r="E43" s="274"/>
      <c r="F43" s="274"/>
      <c r="G43" s="274"/>
      <c r="H43" s="274"/>
      <c r="I43" s="274"/>
      <c r="J43" s="274"/>
      <c r="K43" s="274"/>
      <c r="L43" s="274"/>
    </row>
    <row r="44" spans="2:12">
      <c r="B44" s="274"/>
      <c r="C44" s="274"/>
      <c r="D44" s="274"/>
      <c r="E44" s="274"/>
      <c r="F44" s="274"/>
      <c r="G44" s="274"/>
      <c r="H44" s="274"/>
      <c r="I44" s="274"/>
      <c r="J44" s="274"/>
      <c r="K44" s="274"/>
      <c r="L44" s="274"/>
    </row>
  </sheetData>
  <sheetProtection selectLockedCells="1"/>
  <mergeCells count="34">
    <mergeCell ref="C37:L37"/>
    <mergeCell ref="C38:L38"/>
    <mergeCell ref="C39:L39"/>
    <mergeCell ref="C40:L40"/>
    <mergeCell ref="B30:E30"/>
    <mergeCell ref="C32:L32"/>
    <mergeCell ref="C33:L33"/>
    <mergeCell ref="C34:L34"/>
    <mergeCell ref="C35:L35"/>
    <mergeCell ref="C36:L36"/>
    <mergeCell ref="B29:E29"/>
    <mergeCell ref="B18:E18"/>
    <mergeCell ref="B19:E19"/>
    <mergeCell ref="B20:E20"/>
    <mergeCell ref="B21:E21"/>
    <mergeCell ref="B22:E22"/>
    <mergeCell ref="B23:E23"/>
    <mergeCell ref="B24:E24"/>
    <mergeCell ref="B25:E25"/>
    <mergeCell ref="B26:E26"/>
    <mergeCell ref="B27:E27"/>
    <mergeCell ref="B28:E28"/>
    <mergeCell ref="B17:E17"/>
    <mergeCell ref="B1:L1"/>
    <mergeCell ref="K2:L3"/>
    <mergeCell ref="H7:I7"/>
    <mergeCell ref="B9:L9"/>
    <mergeCell ref="B10:E10"/>
    <mergeCell ref="B11:E11"/>
    <mergeCell ref="B12:E12"/>
    <mergeCell ref="B13:E13"/>
    <mergeCell ref="B14:E14"/>
    <mergeCell ref="B15:E15"/>
    <mergeCell ref="B16:E16"/>
  </mergeCells>
  <conditionalFormatting sqref="K6 F5 D5:D6">
    <cfRule type="expression" dxfId="15" priority="1">
      <formula>#REF!=1</formula>
    </cfRule>
  </conditionalFormatting>
  <printOptions horizontalCentered="1"/>
  <pageMargins left="0.78740157480314965" right="0" top="0.59055118110236227" bottom="0.19685039370078741" header="0.31496062992125984" footer="0.31496062992125984"/>
  <pageSetup paperSize="9" scale="71" orientation="landscape" r:id="rId1"/>
  <headerFooter>
    <oddHeader>&amp;C&amp;"-,Gras"&amp;14Page &amp;P / &amp;N</oddHead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Feuil46">
    <pageSetUpPr fitToPage="1"/>
  </sheetPr>
  <dimension ref="B1:M32"/>
  <sheetViews>
    <sheetView showZeros="0" topLeftCell="A13" zoomScale="80" zoomScaleNormal="80" zoomScaleSheetLayoutView="100" workbookViewId="0">
      <selection activeCell="A11" sqref="A11:XFD11"/>
    </sheetView>
  </sheetViews>
  <sheetFormatPr baseColWidth="10" defaultColWidth="11.42578125" defaultRowHeight="15"/>
  <cols>
    <col min="1" max="1" width="12.42578125" style="2" customWidth="1"/>
    <col min="2" max="2" width="25" style="2" customWidth="1"/>
    <col min="3" max="3" width="12.28515625" style="2" customWidth="1"/>
    <col min="4" max="4" width="24.85546875" style="2" customWidth="1"/>
    <col min="5" max="5" width="22.7109375" style="2" customWidth="1"/>
    <col min="6" max="6" width="23.85546875" style="2" bestFit="1" customWidth="1"/>
    <col min="7" max="7" width="10.5703125" style="2" customWidth="1"/>
    <col min="8" max="10" width="0" style="2" hidden="1" customWidth="1"/>
    <col min="11" max="11" width="5.28515625" style="2" hidden="1" customWidth="1"/>
    <col min="12" max="16384" width="11.42578125" style="2"/>
  </cols>
  <sheetData>
    <row r="1" spans="2:13">
      <c r="B1" s="1649"/>
      <c r="C1" s="1649"/>
      <c r="D1" s="1649"/>
      <c r="E1" s="1649"/>
      <c r="F1" s="1649"/>
      <c r="G1" s="1649"/>
    </row>
    <row r="2" spans="2:13" ht="19.5" customHeight="1">
      <c r="B2" s="43"/>
      <c r="C2" s="43"/>
      <c r="D2" s="43"/>
      <c r="E2" s="43"/>
      <c r="F2" s="1650" t="str">
        <f>IF([1]ACCUEIL!B1=1,"NOTE 20
NORMAL SYSTEM","NOTE 20
SYSTEME NORMAL")</f>
        <v>NOTE 20
SYSTEME NORMAL</v>
      </c>
      <c r="G2" s="1651"/>
    </row>
    <row r="3" spans="2:13" ht="14.25" customHeight="1">
      <c r="F3" s="1652"/>
      <c r="G3" s="1653"/>
    </row>
    <row r="4" spans="2:13" ht="20.25" customHeight="1">
      <c r="B4" s="319" t="str">
        <f>'NOTE 19'!B4</f>
        <v>Désignation entité:</v>
      </c>
      <c r="C4" s="650" t="str">
        <f>'NOTE 14'!C6</f>
        <v/>
      </c>
      <c r="D4" s="650"/>
      <c r="E4" s="650"/>
      <c r="F4" s="652"/>
      <c r="G4" s="652"/>
      <c r="M4" s="235"/>
    </row>
    <row r="5" spans="2:13" ht="20.25" customHeight="1">
      <c r="B5" s="319" t="str">
        <f>'NOTE 19'!B5</f>
        <v>Sigle usuel :</v>
      </c>
      <c r="C5" s="650" t="str">
        <f>'NOTE 19'!C5</f>
        <v/>
      </c>
      <c r="E5" s="654"/>
      <c r="F5" s="655"/>
      <c r="G5" s="655"/>
      <c r="M5" s="235"/>
    </row>
    <row r="6" spans="2:13" ht="20.25" customHeight="1">
      <c r="B6" s="319" t="str">
        <f>'NOTE 19'!B6</f>
        <v>Adresse:</v>
      </c>
      <c r="C6" s="650">
        <f>'NOTE 19'!C6</f>
        <v>0</v>
      </c>
      <c r="D6" s="769"/>
      <c r="E6" s="653"/>
      <c r="F6" s="317" t="str">
        <f>'NOTE 19'!K6</f>
        <v>BP:</v>
      </c>
      <c r="G6" s="512" t="str">
        <f>'NOTE 19'!L6</f>
        <v/>
      </c>
      <c r="M6" s="235"/>
    </row>
    <row r="7" spans="2:13" ht="20.25" customHeight="1">
      <c r="B7" s="319" t="str">
        <f>'NOTE 19'!B7</f>
        <v>Numéro d'identification:</v>
      </c>
      <c r="C7" s="512" t="str">
        <f>'NOTE 14'!C9</f>
        <v/>
      </c>
      <c r="D7" s="481" t="str">
        <f>'NOTE 19'!H7</f>
        <v xml:space="preserve">   Exercice clos le 31 - 12- </v>
      </c>
      <c r="E7" s="650">
        <f>'NOTE 14'!E9</f>
        <v>2025</v>
      </c>
      <c r="F7" s="317" t="str">
        <f>'NOTE 19'!K7</f>
        <v xml:space="preserve">    Durée (en mois):</v>
      </c>
      <c r="G7" s="512">
        <f>'NOTE 14'!G9</f>
        <v>12</v>
      </c>
      <c r="M7" s="235"/>
    </row>
    <row r="8" spans="2:13" ht="20.25" customHeight="1">
      <c r="B8" s="144"/>
      <c r="C8" s="144"/>
      <c r="D8" s="144"/>
      <c r="E8" s="144"/>
      <c r="F8" s="144"/>
      <c r="G8" s="144"/>
    </row>
    <row r="9" spans="2:13" ht="20.25" customHeight="1">
      <c r="B9" s="1617" t="str">
        <f>IF([1]ACCUEIL!B1=1,"NOTE 20 BANK OF DISCOUNT AND CASH CREDIT","NOTE 20 BANQUE CREDIT D'ESCOMPTE ET DE TRESORERIE")</f>
        <v>NOTE 20 BANQUE CREDIT D'ESCOMPTE ET DE TRESORERIE</v>
      </c>
      <c r="C9" s="1617"/>
      <c r="D9" s="1617"/>
      <c r="E9" s="1617"/>
      <c r="F9" s="1617"/>
      <c r="G9" s="1617"/>
      <c r="H9" s="1617"/>
      <c r="I9" s="1617"/>
    </row>
    <row r="10" spans="2:13" ht="20.25" customHeight="1">
      <c r="B10" s="144"/>
      <c r="C10" s="144"/>
      <c r="D10" s="312"/>
      <c r="E10" s="144"/>
      <c r="F10" s="144"/>
      <c r="G10" s="144"/>
    </row>
    <row r="11" spans="2:13" s="14" customFormat="1" ht="31.5">
      <c r="B11" s="1969" t="str">
        <f>'NOTE 19'!B10:E10</f>
        <v xml:space="preserve">      RUBRIQUES</v>
      </c>
      <c r="C11" s="1970"/>
      <c r="D11" s="1971"/>
      <c r="E11" s="1185" t="str">
        <f>'NOTE 19'!F10</f>
        <v>Année 2025</v>
      </c>
      <c r="F11" s="1185" t="str">
        <f>'NOTE 19'!G10</f>
        <v>Année 2024</v>
      </c>
      <c r="G11" s="1244" t="str">
        <f>'NOTE 19'!I10</f>
        <v xml:space="preserve">Variation en % </v>
      </c>
    </row>
    <row r="12" spans="2:13" s="522" customFormat="1" ht="24.95" customHeight="1">
      <c r="B12" s="1349" t="str">
        <f>IF([1]ACCUEIL!B1=1,"Campaign credit discounts","Escomptes de crédit de campagne")</f>
        <v>Escomptes de crédit de campagne</v>
      </c>
      <c r="C12" s="1350"/>
      <c r="D12" s="1351"/>
      <c r="E12" s="1352">
        <f>'[1]CLASSE 5'!J109</f>
        <v>0</v>
      </c>
      <c r="F12" s="1352">
        <f>'[1]CLASSE 5'!F109</f>
        <v>0</v>
      </c>
      <c r="G12" s="1353">
        <f>IF(H12=0,0,K12)</f>
        <v>0</v>
      </c>
      <c r="H12" s="522">
        <f>E12-F12</f>
        <v>0</v>
      </c>
      <c r="I12" s="522">
        <f>IF(F12=0,1,IF(F12&lt;0,(E12-F12)/-F12,(E12-F12)/F12))</f>
        <v>1</v>
      </c>
      <c r="J12" s="522">
        <f>IF(H12=E12,IF(E12&lt;0,-1,0))</f>
        <v>0</v>
      </c>
      <c r="K12" s="522">
        <f>IF(J12=-1,-1,I12)</f>
        <v>1</v>
      </c>
    </row>
    <row r="13" spans="2:13" s="522" customFormat="1" ht="24.95" customHeight="1">
      <c r="B13" s="1349" t="str">
        <f>IF([1]ACCUEIL!B1=1,"Ordinary credit discounts","Escomptes de crédit ordinaires")</f>
        <v>Escomptes de crédit ordinaires</v>
      </c>
      <c r="C13" s="1350"/>
      <c r="D13" s="1351"/>
      <c r="E13" s="1352">
        <f>'[1]CLASSE 5'!J110</f>
        <v>0</v>
      </c>
      <c r="F13" s="1352">
        <f>'[1]CLASSE 5'!F110</f>
        <v>0</v>
      </c>
      <c r="G13" s="1353">
        <f t="shared" ref="G13:G21" si="0">IF(H13=0,0,K13)</f>
        <v>0</v>
      </c>
      <c r="H13" s="522">
        <f t="shared" ref="H13:H21" si="1">E13-F13</f>
        <v>0</v>
      </c>
      <c r="I13" s="522">
        <f t="shared" ref="I13:I21" si="2">IF(F13=0,1,IF(F13&lt;0,(E13-F13)/-F13,(E13-F13)/F13))</f>
        <v>1</v>
      </c>
      <c r="J13" s="522">
        <f t="shared" ref="J13:J21" si="3">IF(H13=E13,IF(E13&lt;0,-1,0))</f>
        <v>0</v>
      </c>
      <c r="K13" s="522">
        <f t="shared" ref="K13:K21" si="4">IF(J13=-1,-1,I13)</f>
        <v>1</v>
      </c>
    </row>
    <row r="14" spans="2:13" s="522" customFormat="1" ht="24.95" customHeight="1">
      <c r="B14" s="55" t="str">
        <f>IF([1]ACCUEIL!B1=1,"Total Bank Discount Credit and Cash","Total Banque crédit d'escompte et de tresorerie")</f>
        <v>Total Banque crédit d'escompte et de tresorerie</v>
      </c>
      <c r="C14" s="1357"/>
      <c r="D14" s="1358"/>
      <c r="E14" s="1359">
        <f>SUM(E12:E13)</f>
        <v>0</v>
      </c>
      <c r="F14" s="1359">
        <f>SUM(F12:F13)</f>
        <v>0</v>
      </c>
      <c r="G14" s="1353">
        <f t="shared" si="0"/>
        <v>0</v>
      </c>
      <c r="H14" s="522">
        <f t="shared" si="1"/>
        <v>0</v>
      </c>
      <c r="I14" s="522">
        <f t="shared" si="2"/>
        <v>1</v>
      </c>
      <c r="J14" s="522">
        <f t="shared" si="3"/>
        <v>0</v>
      </c>
      <c r="K14" s="522">
        <f t="shared" si="4"/>
        <v>1</v>
      </c>
    </row>
    <row r="15" spans="2:13" s="522" customFormat="1" ht="24.95" customHeight="1">
      <c r="B15" s="1349" t="str">
        <f>IF([1]ACCUEIL!B1=1,"Local banks","Banques locales")</f>
        <v>Banques locales</v>
      </c>
      <c r="C15" s="1350"/>
      <c r="D15" s="1351"/>
      <c r="E15" s="1352">
        <f>'[1]CLASSE 5'!J79</f>
        <v>0</v>
      </c>
      <c r="F15" s="1352">
        <f>'[1]CLASSE 5'!F80</f>
        <v>0</v>
      </c>
      <c r="G15" s="1353">
        <f t="shared" si="0"/>
        <v>0</v>
      </c>
      <c r="H15" s="522">
        <f t="shared" si="1"/>
        <v>0</v>
      </c>
      <c r="I15" s="522">
        <f t="shared" si="2"/>
        <v>1</v>
      </c>
      <c r="J15" s="522">
        <f t="shared" si="3"/>
        <v>0</v>
      </c>
      <c r="K15" s="522">
        <f t="shared" si="4"/>
        <v>1</v>
      </c>
    </row>
    <row r="16" spans="2:13" s="522" customFormat="1" ht="24.95" customHeight="1">
      <c r="B16" s="1349" t="str">
        <f>IF([1]ACCUEIL!B1=1,"Banks in other regional states","Banques autres Etats regions")</f>
        <v>Banques autres Etats regions</v>
      </c>
      <c r="C16" s="1350"/>
      <c r="D16" s="1351"/>
      <c r="E16" s="1352">
        <f>'[1]CLASSE 5'!J81</f>
        <v>0</v>
      </c>
      <c r="F16" s="1352">
        <f>'[1]CLASSE 5'!F81</f>
        <v>0</v>
      </c>
      <c r="G16" s="1353">
        <f t="shared" si="0"/>
        <v>0</v>
      </c>
      <c r="H16" s="522">
        <f t="shared" si="1"/>
        <v>0</v>
      </c>
      <c r="I16" s="522">
        <f t="shared" si="2"/>
        <v>1</v>
      </c>
      <c r="J16" s="522">
        <f t="shared" si="3"/>
        <v>0</v>
      </c>
      <c r="K16" s="522">
        <f t="shared" si="4"/>
        <v>1</v>
      </c>
    </row>
    <row r="17" spans="2:11" s="522" customFormat="1" ht="24.95" customHeight="1">
      <c r="B17" s="1349" t="str">
        <f>IF([1]ACCUEIL!B1=1,"Other banks","Autres banques")</f>
        <v>Autres banques</v>
      </c>
      <c r="C17" s="1350"/>
      <c r="D17" s="1351"/>
      <c r="E17" s="1352">
        <f>SUM('[1]CLASSE 5'!J82:J84)</f>
        <v>0</v>
      </c>
      <c r="F17" s="1352">
        <f>SUM('[1]CLASSE 5'!F82:F84)</f>
        <v>0</v>
      </c>
      <c r="G17" s="1353">
        <f t="shared" si="0"/>
        <v>0</v>
      </c>
      <c r="H17" s="522">
        <f t="shared" si="1"/>
        <v>0</v>
      </c>
      <c r="I17" s="522">
        <f t="shared" si="2"/>
        <v>1</v>
      </c>
      <c r="J17" s="522">
        <f t="shared" si="3"/>
        <v>0</v>
      </c>
      <c r="K17" s="522">
        <f t="shared" si="4"/>
        <v>1</v>
      </c>
    </row>
    <row r="18" spans="2:11" s="522" customFormat="1" ht="24.95" customHeight="1">
      <c r="B18" s="1349" t="str">
        <f>IF([1]ACCUEIL!B1=1,"Accrued interest banks","Banques intérêts courus")</f>
        <v>Banques intérêts courus</v>
      </c>
      <c r="C18" s="1350"/>
      <c r="D18" s="1351"/>
      <c r="E18" s="1352">
        <f>'[1]CLASSE 5'!J90</f>
        <v>0</v>
      </c>
      <c r="F18" s="1352">
        <f>'[1]CLASSE 5'!F90</f>
        <v>0</v>
      </c>
      <c r="G18" s="1353">
        <f t="shared" si="0"/>
        <v>0</v>
      </c>
      <c r="H18" s="522">
        <f t="shared" si="1"/>
        <v>0</v>
      </c>
      <c r="I18" s="522">
        <f t="shared" si="2"/>
        <v>1</v>
      </c>
      <c r="J18" s="522">
        <f t="shared" si="3"/>
        <v>0</v>
      </c>
      <c r="K18" s="522">
        <f t="shared" si="4"/>
        <v>1</v>
      </c>
    </row>
    <row r="19" spans="2:11" s="522" customFormat="1" ht="24.95" customHeight="1">
      <c r="B19" s="1349" t="str">
        <f>IF([1]ACCUEIL!B1=1,"Cash credit","Crédit de trésorerie")</f>
        <v>Crédit de trésorerie</v>
      </c>
      <c r="C19" s="1350"/>
      <c r="D19" s="1351"/>
      <c r="E19" s="1352">
        <f>'[1]CLASSE 5'!J108</f>
        <v>0</v>
      </c>
      <c r="F19" s="1352"/>
      <c r="G19" s="1353">
        <f t="shared" si="0"/>
        <v>0</v>
      </c>
      <c r="H19" s="522">
        <f t="shared" si="1"/>
        <v>0</v>
      </c>
      <c r="I19" s="522">
        <f t="shared" si="2"/>
        <v>1</v>
      </c>
      <c r="J19" s="522">
        <f t="shared" si="3"/>
        <v>0</v>
      </c>
      <c r="K19" s="522">
        <f t="shared" si="4"/>
        <v>1</v>
      </c>
    </row>
    <row r="20" spans="2:11" s="522" customFormat="1" ht="24.95" customHeight="1">
      <c r="B20" s="55" t="str">
        <f>IF([1]ACCUEIL!B1=1,"Total Bank Cash Flow","Total Banque crédit de tresorerie")</f>
        <v>Total Banque crédit de tresorerie</v>
      </c>
      <c r="C20" s="1357"/>
      <c r="D20" s="1358"/>
      <c r="E20" s="1359">
        <f>SUM(E15:E19)</f>
        <v>0</v>
      </c>
      <c r="F20" s="1359">
        <f>SUM(F15:F19)</f>
        <v>0</v>
      </c>
      <c r="G20" s="1360">
        <f t="shared" si="0"/>
        <v>0</v>
      </c>
      <c r="H20" s="522">
        <f t="shared" si="1"/>
        <v>0</v>
      </c>
      <c r="I20" s="522">
        <f t="shared" si="2"/>
        <v>1</v>
      </c>
      <c r="J20" s="522">
        <f t="shared" si="3"/>
        <v>0</v>
      </c>
      <c r="K20" s="522">
        <f t="shared" si="4"/>
        <v>1</v>
      </c>
    </row>
    <row r="21" spans="2:11" s="522" customFormat="1" ht="24.95" customHeight="1">
      <c r="B21" s="55" t="s">
        <v>58</v>
      </c>
      <c r="C21" s="1357"/>
      <c r="D21" s="1358"/>
      <c r="E21" s="1359">
        <f>E14+E20</f>
        <v>0</v>
      </c>
      <c r="F21" s="1359">
        <f>F14+F20</f>
        <v>0</v>
      </c>
      <c r="G21" s="1360">
        <f t="shared" si="0"/>
        <v>0</v>
      </c>
      <c r="H21" s="522">
        <f t="shared" si="1"/>
        <v>0</v>
      </c>
      <c r="I21" s="522">
        <f t="shared" si="2"/>
        <v>1</v>
      </c>
      <c r="J21" s="522">
        <f t="shared" si="3"/>
        <v>0</v>
      </c>
      <c r="K21" s="522">
        <f t="shared" si="4"/>
        <v>1</v>
      </c>
    </row>
    <row r="22" spans="2:11">
      <c r="B22" s="770" t="str">
        <f>IF([1]ACCUEIL!B1=1,"NW:  ","NB:  ")</f>
        <v xml:space="preserve">NB:  </v>
      </c>
      <c r="C22" s="771" t="str">
        <f>IF([1]ACCUEIL!B1=1,"Accrued banks and interests appear in this section if the main account attached is in credit.","Banques et intérèts courus figure dans cette rubrique si le compte principal attaché est créditeur.")</f>
        <v>Banques et intérèts courus figure dans cette rubrique si le compte principal attaché est créditeur.</v>
      </c>
      <c r="D22" s="274"/>
      <c r="E22" s="274"/>
      <c r="F22" s="274"/>
      <c r="G22" s="274"/>
    </row>
    <row r="23" spans="2:11">
      <c r="B23" s="743" t="str">
        <f>'NOTE 19'!B32</f>
        <v>COMMENTAIRE</v>
      </c>
      <c r="C23" s="1660">
        <f>'[1]NOTE 20'!C23:G23</f>
        <v>0</v>
      </c>
      <c r="D23" s="1660"/>
      <c r="E23" s="1660"/>
      <c r="F23" s="1660"/>
      <c r="G23" s="1660"/>
    </row>
    <row r="24" spans="2:11">
      <c r="B24" s="744"/>
      <c r="C24" s="1660">
        <f>'[1]NOTE 20'!C24:G24</f>
        <v>0</v>
      </c>
      <c r="D24" s="1660"/>
      <c r="E24" s="1660"/>
      <c r="F24" s="1660"/>
      <c r="G24" s="1660"/>
    </row>
    <row r="25" spans="2:11">
      <c r="B25" s="744"/>
      <c r="C25" s="1660">
        <f>'[1]NOTE 20'!C25:G25</f>
        <v>0</v>
      </c>
      <c r="D25" s="1660"/>
      <c r="E25" s="1660"/>
      <c r="F25" s="1660"/>
      <c r="G25" s="1660"/>
    </row>
    <row r="26" spans="2:11">
      <c r="B26" s="274"/>
      <c r="C26" s="1660">
        <f>'[1]NOTE 20'!C26:G26</f>
        <v>0</v>
      </c>
      <c r="D26" s="1660"/>
      <c r="E26" s="1660"/>
      <c r="F26" s="1660"/>
      <c r="G26" s="1660"/>
    </row>
    <row r="27" spans="2:11">
      <c r="B27" s="744"/>
      <c r="C27" s="1660">
        <f>'[1]NOTE 20'!C27:G27</f>
        <v>0</v>
      </c>
      <c r="D27" s="1660"/>
      <c r="E27" s="1660"/>
      <c r="F27" s="1660"/>
      <c r="G27" s="1660"/>
    </row>
    <row r="28" spans="2:11">
      <c r="B28" s="274"/>
      <c r="C28" s="1660">
        <f>'[1]NOTE 20'!C28:G28</f>
        <v>0</v>
      </c>
      <c r="D28" s="1660"/>
      <c r="E28" s="1660"/>
      <c r="F28" s="1660"/>
      <c r="G28" s="1660"/>
    </row>
    <row r="29" spans="2:11">
      <c r="C29" s="1660">
        <f>'[1]NOTE 20'!C29:G29</f>
        <v>0</v>
      </c>
      <c r="D29" s="1660"/>
      <c r="E29" s="1660"/>
      <c r="F29" s="1660"/>
      <c r="G29" s="1660"/>
    </row>
    <row r="30" spans="2:11">
      <c r="C30" s="1660">
        <f>'[1]NOTE 20'!C30:G30</f>
        <v>0</v>
      </c>
      <c r="D30" s="1660"/>
      <c r="E30" s="1660"/>
      <c r="F30" s="1660"/>
      <c r="G30" s="1660"/>
    </row>
    <row r="31" spans="2:11">
      <c r="C31" s="1660">
        <f>'[1]NOTE 20'!C31:G31</f>
        <v>0</v>
      </c>
      <c r="D31" s="1660"/>
      <c r="E31" s="1660"/>
      <c r="F31" s="1660"/>
      <c r="G31" s="1660"/>
    </row>
    <row r="32" spans="2:11">
      <c r="C32" s="1660">
        <f>'[1]NOTE 20'!C32:G32</f>
        <v>0</v>
      </c>
      <c r="D32" s="1660"/>
      <c r="E32" s="1660"/>
      <c r="F32" s="1660"/>
      <c r="G32" s="1660"/>
    </row>
  </sheetData>
  <sheetProtection selectLockedCells="1"/>
  <mergeCells count="14">
    <mergeCell ref="C31:G31"/>
    <mergeCell ref="C32:G32"/>
    <mergeCell ref="C25:G25"/>
    <mergeCell ref="C26:G26"/>
    <mergeCell ref="C27:G27"/>
    <mergeCell ref="C28:G28"/>
    <mergeCell ref="C29:G29"/>
    <mergeCell ref="C30:G30"/>
    <mergeCell ref="C24:G24"/>
    <mergeCell ref="B1:G1"/>
    <mergeCell ref="F2:G3"/>
    <mergeCell ref="B9:I9"/>
    <mergeCell ref="B11:D11"/>
    <mergeCell ref="C23:G23"/>
  </mergeCells>
  <conditionalFormatting sqref="F5:G5 D6 F6:F7">
    <cfRule type="expression" dxfId="14" priority="1">
      <formula>#REF!=1</formula>
    </cfRule>
  </conditionalFormatting>
  <printOptions horizontalCentered="1"/>
  <pageMargins left="0.78740157480314965" right="0" top="0.59055118110236227" bottom="0.19685039370078741" header="0.31496062992125984" footer="0.31496062992125984"/>
  <pageSetup paperSize="9" scale="77" orientation="portrait" r:id="rId1"/>
  <headerFooter>
    <oddHeader>&amp;C&amp;"-,Gras"&amp;14Page &amp;P / &amp;N</oddHead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Feuil47">
    <pageSetUpPr fitToPage="1"/>
  </sheetPr>
  <dimension ref="B1:P68"/>
  <sheetViews>
    <sheetView showGridLines="0" showZeros="0" topLeftCell="A2" zoomScale="80" zoomScaleNormal="80" zoomScaleSheetLayoutView="100" workbookViewId="0">
      <selection activeCell="O13" sqref="O13"/>
    </sheetView>
  </sheetViews>
  <sheetFormatPr baseColWidth="10" defaultColWidth="11.42578125" defaultRowHeight="15"/>
  <cols>
    <col min="1" max="1" width="13.140625" style="2" customWidth="1"/>
    <col min="2" max="2" width="24.85546875" style="2" customWidth="1"/>
    <col min="3" max="3" width="10.42578125" style="2" customWidth="1"/>
    <col min="4" max="4" width="8.85546875" style="2" customWidth="1"/>
    <col min="5" max="5" width="24.7109375" style="2" customWidth="1"/>
    <col min="6" max="6" width="6.140625" style="2" customWidth="1"/>
    <col min="7" max="7" width="21.140625" style="2" customWidth="1"/>
    <col min="8" max="8" width="23.85546875" style="2" bestFit="1" customWidth="1"/>
    <col min="9" max="9" width="11.140625" style="2" customWidth="1"/>
    <col min="10" max="10" width="9" style="2" hidden="1" customWidth="1"/>
    <col min="11" max="11" width="8.5703125" style="2" hidden="1" customWidth="1"/>
    <col min="12" max="12" width="7.140625" style="2" hidden="1" customWidth="1"/>
    <col min="13" max="13" width="8.7109375" style="2" hidden="1" customWidth="1"/>
    <col min="14" max="14" width="11.42578125" style="2"/>
    <col min="15" max="15" width="15.7109375" style="2" bestFit="1" customWidth="1"/>
    <col min="16" max="16" width="14" style="2" bestFit="1" customWidth="1"/>
    <col min="17" max="16384" width="11.42578125" style="2"/>
  </cols>
  <sheetData>
    <row r="1" spans="2:13">
      <c r="B1" s="716"/>
      <c r="C1" s="716"/>
      <c r="D1" s="716"/>
      <c r="E1" s="716"/>
      <c r="F1" s="716"/>
      <c r="G1" s="716"/>
      <c r="H1" s="716"/>
      <c r="I1" s="716"/>
    </row>
    <row r="2" spans="2:13">
      <c r="B2" s="144"/>
      <c r="C2" s="144"/>
      <c r="D2" s="144"/>
      <c r="E2" s="144"/>
      <c r="F2" s="144"/>
      <c r="G2" s="144"/>
      <c r="H2" s="1650" t="str">
        <f>IF([1]ACCUEIL!B1=1,"NOTE 21
NORMAL SYSTEM","NOTE 21
SYSTEME NORMAL")</f>
        <v>NOTE 21
SYSTEME NORMAL</v>
      </c>
      <c r="I2" s="1651"/>
    </row>
    <row r="3" spans="2:13">
      <c r="B3" s="144"/>
      <c r="C3" s="144"/>
      <c r="D3" s="144"/>
      <c r="E3" s="312"/>
      <c r="F3" s="144"/>
      <c r="G3" s="144"/>
      <c r="H3" s="1652"/>
      <c r="I3" s="1653"/>
    </row>
    <row r="4" spans="2:13">
      <c r="B4" s="319" t="str">
        <f>'NOTE 20'!B4</f>
        <v>Désignation entité:</v>
      </c>
      <c r="C4" s="745" t="str">
        <f>'NOTE 14'!C6</f>
        <v/>
      </c>
      <c r="D4" s="650"/>
      <c r="E4" s="651"/>
      <c r="F4" s="651"/>
      <c r="G4" s="652"/>
      <c r="H4" s="144"/>
      <c r="I4" s="651"/>
    </row>
    <row r="5" spans="2:13" ht="18.75" customHeight="1">
      <c r="B5" s="319" t="str">
        <f>'NOTE 20'!B5</f>
        <v>Sigle usuel :</v>
      </c>
      <c r="C5" s="746" t="str">
        <f>'NOTE 20'!C5</f>
        <v/>
      </c>
      <c r="D5" s="653"/>
      <c r="E5" s="653"/>
      <c r="F5" s="655"/>
      <c r="G5" s="512"/>
      <c r="H5" s="512"/>
      <c r="I5" s="703"/>
    </row>
    <row r="6" spans="2:13" ht="18.75" customHeight="1">
      <c r="B6" s="319" t="str">
        <f>'NOTE 20'!B6</f>
        <v>Adresse:</v>
      </c>
      <c r="C6" s="745">
        <f>'NOTE 20'!C6</f>
        <v>0</v>
      </c>
      <c r="D6" s="745"/>
      <c r="E6" s="43"/>
      <c r="F6" s="705"/>
      <c r="H6" s="704" t="str">
        <f>'NOTE 20'!F6</f>
        <v>BP:</v>
      </c>
      <c r="I6" s="772" t="str">
        <f>'NOTE 20'!G6</f>
        <v/>
      </c>
    </row>
    <row r="7" spans="2:13" ht="23.25" customHeight="1">
      <c r="B7" s="319" t="str">
        <f>'NOTE 20'!B7</f>
        <v>Numéro d'identification:</v>
      </c>
      <c r="C7" s="773" t="str">
        <f>'NOTE 14'!C9</f>
        <v/>
      </c>
      <c r="D7" s="319"/>
      <c r="E7" s="1737" t="str">
        <f>'NOTE 20'!D7</f>
        <v xml:space="preserve">   Exercice clos le 31 - 12- </v>
      </c>
      <c r="F7" s="1654"/>
      <c r="G7" s="774">
        <f>'NOTE 14'!E9</f>
        <v>2025</v>
      </c>
      <c r="H7" s="317" t="str">
        <f>'NOTE 20'!F7</f>
        <v xml:space="preserve">    Durée (en mois):</v>
      </c>
      <c r="I7" s="772">
        <f>'NOTE 14'!G9</f>
        <v>12</v>
      </c>
    </row>
    <row r="8" spans="2:13" ht="13.5" customHeight="1">
      <c r="B8" s="144"/>
      <c r="C8" s="705"/>
      <c r="D8" s="705"/>
      <c r="E8" s="144"/>
      <c r="F8" s="43"/>
      <c r="G8" s="43"/>
      <c r="H8" s="43"/>
      <c r="I8" s="43"/>
    </row>
    <row r="9" spans="2:13" ht="28.5" customHeight="1">
      <c r="B9" s="1789" t="str">
        <f>IF([1]ACCUEIL!B1=1,"NOTE 21 SALES AND OTHER REVENUES","NOTE 21 CHIFFRE D'AFFAIRES  ET AUTRES PRODUITS")</f>
        <v>NOTE 21 CHIFFRE D'AFFAIRES  ET AUTRES PRODUITS</v>
      </c>
      <c r="C9" s="1789"/>
      <c r="D9" s="1789"/>
      <c r="E9" s="1789"/>
      <c r="F9" s="1789"/>
      <c r="G9" s="1789"/>
      <c r="H9" s="1789"/>
      <c r="I9" s="1789"/>
    </row>
    <row r="10" spans="2:13" ht="25.5">
      <c r="B10" s="1795" t="str">
        <f>'NOTE 20'!B11:D11</f>
        <v xml:space="preserve">      RUBRIQUES</v>
      </c>
      <c r="C10" s="1793"/>
      <c r="D10" s="1793"/>
      <c r="E10" s="1793"/>
      <c r="F10" s="1796"/>
      <c r="G10" s="775" t="str">
        <f>'NOTE 20'!E11</f>
        <v>Année 2025</v>
      </c>
      <c r="H10" s="776" t="str">
        <f>'NOTE 20'!F11</f>
        <v>Année 2024</v>
      </c>
      <c r="I10" s="763" t="str">
        <f>'NOTE 20'!G11</f>
        <v xml:space="preserve">Variation en % </v>
      </c>
    </row>
    <row r="11" spans="2:13" s="522" customFormat="1" ht="24.95" customHeight="1">
      <c r="B11" s="1961" t="str">
        <f>IF([1]ACCUEIL!B1=1,"Sales of goods in the State Party","Ventes de marchandises dans l'Etat partie")</f>
        <v>Ventes de marchandises dans l'Etat partie</v>
      </c>
      <c r="C11" s="1962"/>
      <c r="D11" s="1962"/>
      <c r="E11" s="1962"/>
      <c r="F11" s="1963"/>
      <c r="G11" s="484">
        <f>+'[1]CLASSE 7'!J6</f>
        <v>0</v>
      </c>
      <c r="H11" s="484">
        <f>'[1]CLASSE 7'!F6</f>
        <v>0</v>
      </c>
      <c r="I11" s="570">
        <f>IF(J11=0,0,M11)</f>
        <v>0</v>
      </c>
      <c r="J11" s="580">
        <f>G11-H11</f>
        <v>0</v>
      </c>
      <c r="K11" s="522">
        <f>IF(H11=0,1,IF(H11&lt;0,(G11-H11)/-H11,(G11-H11)/H11))</f>
        <v>1</v>
      </c>
      <c r="L11" s="522">
        <f>IF(J11=G11,IF(G11&lt;0,-1,0))</f>
        <v>0</v>
      </c>
      <c r="M11" s="522">
        <f>IF(L11=-1,-1,K11)</f>
        <v>1</v>
      </c>
    </row>
    <row r="12" spans="2:13" s="522" customFormat="1" ht="24.95" customHeight="1">
      <c r="B12" s="1961" t="str">
        <f>IF([1]ACCUEIL!B1=1,"Sales of goods in other States Parties of the Region (2)","Ventes de marchandises dans les autres Etats parties de la Région (2)")</f>
        <v>Ventes de marchandises dans les autres Etats parties de la Région (2)</v>
      </c>
      <c r="C12" s="1962"/>
      <c r="D12" s="1962"/>
      <c r="E12" s="1962"/>
      <c r="F12" s="1963"/>
      <c r="G12" s="485">
        <f>'[1]NOTE 21'!G12</f>
        <v>0</v>
      </c>
      <c r="H12" s="485">
        <f>'[1]NOTE 21'!H12</f>
        <v>0</v>
      </c>
      <c r="I12" s="570">
        <f t="shared" ref="I12:I46" si="0">IF(J12=0,0,M12)</f>
        <v>0</v>
      </c>
      <c r="J12" s="580">
        <f t="shared" ref="J12:J46" si="1">G12-H12</f>
        <v>0</v>
      </c>
      <c r="K12" s="522">
        <f t="shared" ref="K12:K46" si="2">IF(H12=0,1,IF(H12&lt;0,(G12-H12)/-H12,(G12-H12)/H12))</f>
        <v>1</v>
      </c>
      <c r="L12" s="522">
        <f t="shared" ref="L12:L46" si="3">IF(J12=G12,IF(G12&lt;0,-1,0))</f>
        <v>0</v>
      </c>
      <c r="M12" s="522">
        <f t="shared" ref="M12:M46" si="4">IF(L12=-1,-1,K12)</f>
        <v>1</v>
      </c>
    </row>
    <row r="13" spans="2:13" s="522" customFormat="1" ht="24.95" customHeight="1">
      <c r="B13" s="567" t="str">
        <f>IF([1]ACCUEIL!B1=1,"Sales of goods outside the Region (2)","Ventes de marchandises hors Région (2)")</f>
        <v>Ventes de marchandises hors Région (2)</v>
      </c>
      <c r="C13" s="568"/>
      <c r="D13" s="568"/>
      <c r="E13" s="568"/>
      <c r="F13" s="620"/>
      <c r="G13" s="484">
        <f>'[1]CLASSE 7'!J8</f>
        <v>0</v>
      </c>
      <c r="H13" s="484">
        <f>'[1]CLASSE 7'!F8</f>
        <v>0</v>
      </c>
      <c r="I13" s="570">
        <f t="shared" si="0"/>
        <v>0</v>
      </c>
      <c r="J13" s="580">
        <f t="shared" si="1"/>
        <v>0</v>
      </c>
      <c r="K13" s="522">
        <f t="shared" si="2"/>
        <v>1</v>
      </c>
      <c r="L13" s="522">
        <f t="shared" si="3"/>
        <v>0</v>
      </c>
      <c r="M13" s="522">
        <f t="shared" si="4"/>
        <v>1</v>
      </c>
    </row>
    <row r="14" spans="2:13" s="522" customFormat="1" ht="24.95" customHeight="1">
      <c r="B14" s="567" t="str">
        <f>IF([1]ACCUEIL!B1=1,"Group merchandise sales","Ventes de marchandises groupe")</f>
        <v>Ventes de marchandises groupe</v>
      </c>
      <c r="C14" s="568"/>
      <c r="D14" s="568"/>
      <c r="E14" s="568"/>
      <c r="F14" s="620"/>
      <c r="G14" s="484">
        <f>'[1]CLASSE 7'!J10+'[1]CLASSE 7'!J12</f>
        <v>0</v>
      </c>
      <c r="H14" s="484">
        <f>'[1]CLASSE 7'!F10+'[1]CLASSE 7'!F12</f>
        <v>0</v>
      </c>
      <c r="I14" s="570">
        <f t="shared" si="0"/>
        <v>0</v>
      </c>
      <c r="J14" s="580">
        <f t="shared" si="1"/>
        <v>0</v>
      </c>
      <c r="K14" s="522">
        <f t="shared" si="2"/>
        <v>1</v>
      </c>
      <c r="L14" s="522">
        <f t="shared" si="3"/>
        <v>0</v>
      </c>
      <c r="M14" s="522">
        <f t="shared" si="4"/>
        <v>1</v>
      </c>
    </row>
    <row r="15" spans="2:13" s="522" customFormat="1" ht="24.95" customHeight="1">
      <c r="B15" s="567" t="str">
        <f>IF([1]ACCUEIL!B1=1,"Internet merchandise sales","Ventes de marchandises sur internet")</f>
        <v>Ventes de marchandises sur internet</v>
      </c>
      <c r="C15" s="568"/>
      <c r="D15" s="568"/>
      <c r="E15" s="568"/>
      <c r="F15" s="620"/>
      <c r="G15" s="484">
        <f>'[1]CLASSE 7'!J14</f>
        <v>0</v>
      </c>
      <c r="H15" s="484">
        <f>'[1]CLASSE 7'!F14</f>
        <v>0</v>
      </c>
      <c r="I15" s="570">
        <f t="shared" si="0"/>
        <v>0</v>
      </c>
      <c r="J15" s="580">
        <f t="shared" si="1"/>
        <v>0</v>
      </c>
      <c r="K15" s="522">
        <f t="shared" si="2"/>
        <v>1</v>
      </c>
      <c r="L15" s="522">
        <f t="shared" si="3"/>
        <v>0</v>
      </c>
      <c r="M15" s="522">
        <f t="shared" si="4"/>
        <v>1</v>
      </c>
    </row>
    <row r="16" spans="2:13" s="522" customFormat="1" ht="24.95" customHeight="1">
      <c r="B16" s="567" t="s">
        <v>276</v>
      </c>
      <c r="C16" s="568"/>
      <c r="D16" s="568"/>
      <c r="E16" s="568"/>
      <c r="F16" s="620"/>
      <c r="G16" s="484">
        <f>'[1]CLASSE 7'!I16</f>
        <v>0</v>
      </c>
      <c r="H16" s="484">
        <f>'[1]CLASSE 7'!E16</f>
        <v>0</v>
      </c>
      <c r="I16" s="570">
        <f t="shared" si="0"/>
        <v>0</v>
      </c>
      <c r="J16" s="580">
        <f t="shared" si="1"/>
        <v>0</v>
      </c>
      <c r="K16" s="522">
        <f t="shared" si="2"/>
        <v>1</v>
      </c>
      <c r="L16" s="522">
        <f t="shared" si="3"/>
        <v>0</v>
      </c>
      <c r="M16" s="522">
        <f t="shared" si="4"/>
        <v>1</v>
      </c>
    </row>
    <row r="17" spans="2:13" s="522" customFormat="1" ht="24.95" customHeight="1">
      <c r="B17" s="1932" t="str">
        <f>IF([1]ACCUEIL!B11,"TOTAL: SALES OF GOODS","TOTAL : VENTES MARCHANDISES")</f>
        <v>TOTAL : VENTES MARCHANDISES</v>
      </c>
      <c r="C17" s="1933"/>
      <c r="D17" s="1933"/>
      <c r="E17" s="1933"/>
      <c r="F17" s="1958"/>
      <c r="G17" s="483">
        <f>SUM(G11:G15)-G16</f>
        <v>0</v>
      </c>
      <c r="H17" s="483">
        <f>SUM(H11:H15)-H16</f>
        <v>0</v>
      </c>
      <c r="I17" s="570">
        <f t="shared" si="0"/>
        <v>0</v>
      </c>
      <c r="J17" s="580">
        <f t="shared" si="1"/>
        <v>0</v>
      </c>
      <c r="K17" s="522">
        <f t="shared" si="2"/>
        <v>1</v>
      </c>
      <c r="L17" s="522">
        <f t="shared" si="3"/>
        <v>0</v>
      </c>
      <c r="M17" s="522">
        <f t="shared" si="4"/>
        <v>1</v>
      </c>
    </row>
    <row r="18" spans="2:13" s="522" customFormat="1" ht="24.95" customHeight="1">
      <c r="B18" s="567" t="str">
        <f>IF([1]ACCUEIL!B1=1,"Sales of products manufactured in the State Party","Ventes de produits fabriqués dans l'Etat partie")</f>
        <v>Ventes de produits fabriqués dans l'Etat partie</v>
      </c>
      <c r="C18" s="568"/>
      <c r="D18" s="568"/>
      <c r="E18" s="568"/>
      <c r="F18" s="620"/>
      <c r="G18" s="484">
        <f>'[1]CLASSE 7'!J20+'[1]CLASSE 7'!J34+'[1]CLASSE 7'!J48</f>
        <v>0</v>
      </c>
      <c r="H18" s="484">
        <f>'[1]CLASSE 7'!F20+'[1]CLASSE 7'!F34+'[1]CLASSE 7'!F48</f>
        <v>0</v>
      </c>
      <c r="I18" s="570">
        <f t="shared" si="0"/>
        <v>0</v>
      </c>
      <c r="J18" s="580">
        <f t="shared" si="1"/>
        <v>0</v>
      </c>
      <c r="K18" s="522">
        <f t="shared" si="2"/>
        <v>1</v>
      </c>
      <c r="L18" s="522">
        <f t="shared" si="3"/>
        <v>0</v>
      </c>
      <c r="M18" s="522">
        <f t="shared" si="4"/>
        <v>1</v>
      </c>
    </row>
    <row r="19" spans="2:13" s="522" customFormat="1" ht="24.95" customHeight="1">
      <c r="B19" s="567" t="str">
        <f>IF([1]ACCUEIL!B1=1,"Sales of products manufactured in the other States Parties of the Region (2)","Ventes de produits fabriqués dans les autres Etats parties de la Région (2)")</f>
        <v>Ventes de produits fabriqués dans les autres Etats parties de la Région (2)</v>
      </c>
      <c r="C19" s="568"/>
      <c r="D19" s="568"/>
      <c r="E19" s="568"/>
      <c r="F19" s="620"/>
      <c r="G19" s="485">
        <f>'[1]NOTE 21'!G19</f>
        <v>0</v>
      </c>
      <c r="H19" s="485">
        <f>'[1]NOTE 21'!H19</f>
        <v>0</v>
      </c>
      <c r="I19" s="570">
        <f t="shared" si="0"/>
        <v>0</v>
      </c>
      <c r="J19" s="580">
        <f t="shared" si="1"/>
        <v>0</v>
      </c>
      <c r="K19" s="522">
        <f t="shared" si="2"/>
        <v>1</v>
      </c>
      <c r="L19" s="522">
        <f t="shared" si="3"/>
        <v>0</v>
      </c>
      <c r="M19" s="522">
        <f t="shared" si="4"/>
        <v>1</v>
      </c>
    </row>
    <row r="20" spans="2:13" s="522" customFormat="1" ht="24.95" customHeight="1">
      <c r="B20" s="567" t="str">
        <f>IF([1]ACCUEIL!B1=1,"Sales of products manufactured outside the Region (2)","Ventes de produits fabriqués hors Région (2)")</f>
        <v>Ventes de produits fabriqués hors Région (2)</v>
      </c>
      <c r="C20" s="568"/>
      <c r="D20" s="568"/>
      <c r="E20" s="568"/>
      <c r="F20" s="620"/>
      <c r="G20" s="484">
        <f>'[1]CLASSE 7'!J22+'[1]CLASSE 7'!J36+'[1]CLASSE 7'!J50</f>
        <v>0</v>
      </c>
      <c r="H20" s="484">
        <f>'[1]CLASSE 7'!F22+'[1]CLASSE 7'!F36+'[1]CLASSE 7'!F50</f>
        <v>0</v>
      </c>
      <c r="I20" s="570">
        <f t="shared" si="0"/>
        <v>0</v>
      </c>
      <c r="J20" s="580">
        <f t="shared" si="1"/>
        <v>0</v>
      </c>
      <c r="K20" s="522">
        <f t="shared" si="2"/>
        <v>1</v>
      </c>
      <c r="L20" s="522">
        <f t="shared" si="3"/>
        <v>0</v>
      </c>
      <c r="M20" s="522">
        <f t="shared" si="4"/>
        <v>1</v>
      </c>
    </row>
    <row r="21" spans="2:13" s="522" customFormat="1" ht="24.95" customHeight="1">
      <c r="B21" s="567" t="str">
        <f>IF([1]ACCUEIL!B1=1,"Sales of group manufactured products","Ventes de produits fabriqués groupe")</f>
        <v>Ventes de produits fabriqués groupe</v>
      </c>
      <c r="C21" s="568"/>
      <c r="D21" s="568"/>
      <c r="E21" s="568"/>
      <c r="F21" s="620"/>
      <c r="G21" s="484">
        <f>'[1]CLASSE 7'!J24+'[1]CLASSE 7'!J26+'[1]CLASSE 7'!J38+'[1]CLASSE 7'!J40+'[1]CLASSE 7'!J52+'[1]CLASSE 7'!J54</f>
        <v>0</v>
      </c>
      <c r="H21" s="484">
        <f>'[1]CLASSE 7'!F24+'[1]CLASSE 7'!F26+'[1]CLASSE 7'!F38+'[1]CLASSE 7'!F40+'[1]CLASSE 7'!F52+'[1]CLASSE 7'!F54</f>
        <v>0</v>
      </c>
      <c r="I21" s="570">
        <f t="shared" si="0"/>
        <v>0</v>
      </c>
      <c r="J21" s="580">
        <f t="shared" si="1"/>
        <v>0</v>
      </c>
      <c r="K21" s="522">
        <f t="shared" si="2"/>
        <v>1</v>
      </c>
      <c r="L21" s="522">
        <f t="shared" si="3"/>
        <v>0</v>
      </c>
      <c r="M21" s="522">
        <f t="shared" si="4"/>
        <v>1</v>
      </c>
    </row>
    <row r="22" spans="2:13" s="522" customFormat="1" ht="24.95" customHeight="1">
      <c r="B22" s="567" t="str">
        <f>IF([1]ACCUEIL!B1=1,"Sales of products made on the internet","Ventes de produits fabriqués sur internet")</f>
        <v>Ventes de produits fabriqués sur internet</v>
      </c>
      <c r="C22" s="568"/>
      <c r="D22" s="568"/>
      <c r="E22" s="568"/>
      <c r="F22" s="620"/>
      <c r="G22" s="484">
        <f>'[1]CLASSE 7'!J28+'[1]CLASSE 7'!J42+'[1]CLASSE 7'!J56</f>
        <v>0</v>
      </c>
      <c r="H22" s="484">
        <f>'[1]CLASSE 7'!F28+'[1]CLASSE 7'!F42+'[1]CLASSE 7'!F56</f>
        <v>0</v>
      </c>
      <c r="I22" s="570">
        <f t="shared" si="0"/>
        <v>0</v>
      </c>
      <c r="J22" s="580">
        <f t="shared" si="1"/>
        <v>0</v>
      </c>
      <c r="K22" s="522">
        <f t="shared" si="2"/>
        <v>1</v>
      </c>
      <c r="L22" s="522">
        <f t="shared" si="3"/>
        <v>0</v>
      </c>
      <c r="M22" s="522">
        <f t="shared" si="4"/>
        <v>1</v>
      </c>
    </row>
    <row r="23" spans="2:13" s="522" customFormat="1" ht="24.95" customHeight="1">
      <c r="B23" s="567" t="s">
        <v>276</v>
      </c>
      <c r="C23" s="568"/>
      <c r="D23" s="568"/>
      <c r="E23" s="568"/>
      <c r="F23" s="620"/>
      <c r="G23" s="484">
        <f>'[1]CLASSE 7'!I30</f>
        <v>0</v>
      </c>
      <c r="H23" s="484">
        <f>'[1]CLASSE 7'!E30</f>
        <v>0</v>
      </c>
      <c r="I23" s="570">
        <f t="shared" si="0"/>
        <v>0</v>
      </c>
      <c r="J23" s="580">
        <f t="shared" si="1"/>
        <v>0</v>
      </c>
      <c r="K23" s="522">
        <f t="shared" si="2"/>
        <v>1</v>
      </c>
      <c r="L23" s="522">
        <f t="shared" si="3"/>
        <v>0</v>
      </c>
      <c r="M23" s="522">
        <f t="shared" si="4"/>
        <v>1</v>
      </c>
    </row>
    <row r="24" spans="2:13" s="522" customFormat="1" ht="24.95" customHeight="1">
      <c r="B24" s="1932" t="str">
        <f>IF([1]ACCUEIL!B1=1,"TOTAL: SALES OF PRODUCTS MANUFACTURED","TOTAL: VENTES DE PRODUITS FABRIQUES")</f>
        <v>TOTAL: VENTES DE PRODUITS FABRIQUES</v>
      </c>
      <c r="C24" s="1933"/>
      <c r="D24" s="1933"/>
      <c r="E24" s="1933"/>
      <c r="F24" s="1958"/>
      <c r="G24" s="483">
        <f>SUM(G18:G22)-G23</f>
        <v>0</v>
      </c>
      <c r="H24" s="483">
        <f>SUM(H18:H22)-H23</f>
        <v>0</v>
      </c>
      <c r="I24" s="570">
        <f t="shared" si="0"/>
        <v>0</v>
      </c>
      <c r="J24" s="580">
        <f t="shared" si="1"/>
        <v>0</v>
      </c>
      <c r="K24" s="522">
        <f t="shared" si="2"/>
        <v>1</v>
      </c>
      <c r="L24" s="522">
        <f t="shared" si="3"/>
        <v>0</v>
      </c>
      <c r="M24" s="522">
        <f t="shared" si="4"/>
        <v>1</v>
      </c>
    </row>
    <row r="25" spans="2:13" s="522" customFormat="1" ht="24.95" customHeight="1">
      <c r="B25" s="567" t="str">
        <f>IF([1]ACCUEIL!B1=1,"Sales of works and services in the State Party","Ventes  de travaux et services dans l'Etat partie")</f>
        <v>Ventes  de travaux et services dans l'Etat partie</v>
      </c>
      <c r="C25" s="568"/>
      <c r="D25" s="568"/>
      <c r="E25" s="568"/>
      <c r="F25" s="620"/>
      <c r="G25" s="484">
        <f>'[1]CLASSE 7'!J62+'[1]CLASSE 7'!J76-'[1]CLASSE 7'!I86</f>
        <v>0</v>
      </c>
      <c r="H25" s="484">
        <f>'[1]CLASSE 7'!F62+'[1]CLASSE 7'!F76</f>
        <v>0</v>
      </c>
      <c r="I25" s="570">
        <f t="shared" si="0"/>
        <v>0</v>
      </c>
      <c r="J25" s="580">
        <f t="shared" si="1"/>
        <v>0</v>
      </c>
      <c r="K25" s="522">
        <f t="shared" si="2"/>
        <v>1</v>
      </c>
      <c r="L25" s="522">
        <f t="shared" si="3"/>
        <v>0</v>
      </c>
      <c r="M25" s="522">
        <f t="shared" si="4"/>
        <v>1</v>
      </c>
    </row>
    <row r="26" spans="2:13" s="522" customFormat="1" ht="24.95" customHeight="1">
      <c r="B26" s="567" t="str">
        <f>IF([1]ACCUEIL!B1=1,"Sales of works and services in the other States Parties of the Region (2)","Ventes  de travaux et services dans les autres Etats parties de la Région (2)")</f>
        <v>Ventes  de travaux et services dans les autres Etats parties de la Région (2)</v>
      </c>
      <c r="C26" s="568"/>
      <c r="D26" s="568"/>
      <c r="E26" s="568"/>
      <c r="F26" s="620"/>
      <c r="G26" s="485">
        <f>'[1]CLASSE 7'!J64+'[1]CLASSE 7'!J78</f>
        <v>0</v>
      </c>
      <c r="H26" s="485">
        <f>'[1]CLASSE 7'!F64+'[1]CLASSE 7'!F78</f>
        <v>0</v>
      </c>
      <c r="I26" s="570">
        <f t="shared" si="0"/>
        <v>0</v>
      </c>
      <c r="J26" s="580">
        <f t="shared" si="1"/>
        <v>0</v>
      </c>
      <c r="K26" s="522">
        <f t="shared" si="2"/>
        <v>1</v>
      </c>
      <c r="L26" s="522">
        <f t="shared" si="3"/>
        <v>0</v>
      </c>
      <c r="M26" s="522">
        <f t="shared" si="4"/>
        <v>1</v>
      </c>
    </row>
    <row r="27" spans="2:13" s="522" customFormat="1" ht="24.95" customHeight="1">
      <c r="B27" s="567" t="str">
        <f>IF([1]ACCUEIL!B1=1,"Sales of works and services outside the Region (2)","Ventes de travaux et services hors Région (2)")</f>
        <v>Ventes de travaux et services hors Région (2)</v>
      </c>
      <c r="C27" s="568"/>
      <c r="D27" s="568"/>
      <c r="E27" s="568"/>
      <c r="F27" s="620"/>
      <c r="G27" s="484">
        <f>'[1]CLASSE 7'!J66+'[1]CLASSE 7'!J68+'[1]CLASSE 7'!J80+'[1]CLASSE 7'!J82</f>
        <v>0</v>
      </c>
      <c r="H27" s="484">
        <f>'[1]CLASSE 7'!F66+'[1]CLASSE 7'!F68+'[1]CLASSE 7'!F80+'[1]CLASSE 7'!F82</f>
        <v>0</v>
      </c>
      <c r="I27" s="570">
        <f t="shared" si="0"/>
        <v>0</v>
      </c>
      <c r="J27" s="580">
        <f t="shared" si="1"/>
        <v>0</v>
      </c>
      <c r="K27" s="522">
        <f t="shared" si="2"/>
        <v>1</v>
      </c>
      <c r="L27" s="522">
        <f t="shared" si="3"/>
        <v>0</v>
      </c>
      <c r="M27" s="522">
        <f t="shared" si="4"/>
        <v>1</v>
      </c>
    </row>
    <row r="28" spans="2:13" s="522" customFormat="1" ht="24.95" customHeight="1">
      <c r="B28" s="567" t="str">
        <f>IF([1]ACCUEIL!B1=1,"Sales of works and group services","Ventes de travaux et services  groupe")</f>
        <v>Ventes de travaux et services  groupe</v>
      </c>
      <c r="C28" s="568"/>
      <c r="D28" s="568"/>
      <c r="E28" s="568"/>
      <c r="F28" s="620"/>
      <c r="G28" s="484"/>
      <c r="H28" s="484"/>
      <c r="I28" s="570">
        <f t="shared" si="0"/>
        <v>0</v>
      </c>
      <c r="J28" s="580">
        <f t="shared" si="1"/>
        <v>0</v>
      </c>
      <c r="K28" s="522">
        <f t="shared" si="2"/>
        <v>1</v>
      </c>
      <c r="L28" s="522">
        <f t="shared" si="3"/>
        <v>0</v>
      </c>
      <c r="M28" s="522">
        <f t="shared" si="4"/>
        <v>1</v>
      </c>
    </row>
    <row r="29" spans="2:13" s="522" customFormat="1" ht="24.95" customHeight="1">
      <c r="B29" s="567" t="str">
        <f>IF([1]ACCUEIL!B1=1,"Sales of works and services on the internet","Ventes de travaux et services  sur internet")</f>
        <v>Ventes de travaux et services  sur internet</v>
      </c>
      <c r="C29" s="568"/>
      <c r="D29" s="568"/>
      <c r="E29" s="568"/>
      <c r="F29" s="620"/>
      <c r="G29" s="484">
        <f>'[1]CLASSE 7'!J84+'[1]CLASSE 7'!J70</f>
        <v>0</v>
      </c>
      <c r="H29" s="484">
        <f>'[1]CLASSE 7'!F84+'[1]CLASSE 7'!F70</f>
        <v>0</v>
      </c>
      <c r="I29" s="570">
        <f t="shared" si="0"/>
        <v>0</v>
      </c>
      <c r="J29" s="580">
        <f t="shared" si="1"/>
        <v>0</v>
      </c>
      <c r="K29" s="522">
        <f t="shared" si="2"/>
        <v>1</v>
      </c>
      <c r="L29" s="522">
        <f t="shared" si="3"/>
        <v>0</v>
      </c>
      <c r="M29" s="522">
        <f t="shared" si="4"/>
        <v>1</v>
      </c>
    </row>
    <row r="30" spans="2:13" s="522" customFormat="1" ht="24.95" customHeight="1">
      <c r="B30" s="567" t="s">
        <v>276</v>
      </c>
      <c r="C30" s="568"/>
      <c r="D30" s="568"/>
      <c r="E30" s="568"/>
      <c r="F30" s="620"/>
      <c r="G30" s="752">
        <f>'[1]CLASSE 7'!I44+'[1]CLASSE 7'!I58+'[1]CLASSE 7'!I72+'[1]CLASSE 7'!I86</f>
        <v>0</v>
      </c>
      <c r="H30" s="752">
        <f>'[1]CLASSE 7'!E44+'[1]CLASSE 7'!E58+'[1]CLASSE 7'!E72+'[1]CLASSE 7'!E86</f>
        <v>0</v>
      </c>
      <c r="I30" s="570">
        <f t="shared" si="0"/>
        <v>0</v>
      </c>
      <c r="J30" s="580">
        <f t="shared" si="1"/>
        <v>0</v>
      </c>
      <c r="K30" s="522">
        <f t="shared" si="2"/>
        <v>1</v>
      </c>
      <c r="L30" s="522">
        <f t="shared" si="3"/>
        <v>0</v>
      </c>
      <c r="M30" s="522">
        <f t="shared" si="4"/>
        <v>1</v>
      </c>
    </row>
    <row r="31" spans="2:13" s="522" customFormat="1" ht="24.95" customHeight="1">
      <c r="B31" s="1932" t="str">
        <f>IF([1]ACCUEIL!B1=1,"TOTAL: WORK SALES AND SERVICES SOLD","TOTAL: VENTES DE TRAVAUX ET SERVICES VENDUS ")</f>
        <v xml:space="preserve">TOTAL: VENTES DE TRAVAUX ET SERVICES VENDUS </v>
      </c>
      <c r="C31" s="1933"/>
      <c r="D31" s="1933"/>
      <c r="E31" s="1933"/>
      <c r="F31" s="1958"/>
      <c r="G31" s="1343">
        <f>SUM(G25:G29)-G30</f>
        <v>0</v>
      </c>
      <c r="H31" s="1343">
        <f>SUM(H25:H29)-H30</f>
        <v>0</v>
      </c>
      <c r="I31" s="570">
        <f>IF(J31=0,0,M31)</f>
        <v>0</v>
      </c>
      <c r="J31" s="580">
        <f t="shared" si="1"/>
        <v>0</v>
      </c>
      <c r="K31" s="522">
        <f t="shared" si="2"/>
        <v>1</v>
      </c>
      <c r="L31" s="522">
        <f t="shared" si="3"/>
        <v>0</v>
      </c>
      <c r="M31" s="522">
        <f t="shared" si="4"/>
        <v>1</v>
      </c>
    </row>
    <row r="32" spans="2:13" s="522" customFormat="1" ht="24.95" customHeight="1">
      <c r="B32" s="1972" t="str">
        <f>IF([1]ACCUEIL!B1=1,"Accessory products to be detailed by type of economic activity:
including details of the 'Miscellaneous' section of FIRD 2","Produits accessoires à détailler par nature d'activité économique :
dont le détail de la rubrique 'Divers' de la FIRD 2")</f>
        <v>Produits accessoires à détailler par nature d'activité économique :
dont le détail de la rubrique 'Divers' de la FIRD 2</v>
      </c>
      <c r="C32" s="1973"/>
      <c r="D32" s="1973"/>
      <c r="E32" s="1973"/>
      <c r="F32" s="1974"/>
      <c r="G32" s="484"/>
      <c r="H32" s="484"/>
      <c r="I32" s="570">
        <f t="shared" si="0"/>
        <v>0</v>
      </c>
      <c r="J32" s="580">
        <f t="shared" si="1"/>
        <v>0</v>
      </c>
      <c r="K32" s="522">
        <f t="shared" si="2"/>
        <v>1</v>
      </c>
      <c r="L32" s="522">
        <f t="shared" si="3"/>
        <v>0</v>
      </c>
      <c r="M32" s="522">
        <f t="shared" si="4"/>
        <v>1</v>
      </c>
    </row>
    <row r="33" spans="2:16" s="522" customFormat="1" ht="24.95" customHeight="1">
      <c r="B33" s="567" t="str">
        <f>IF([1]ACCUEIL!B1=1,"Ports, lost packaging and other fees charged","Ports, emballages perdus et autres frais facturés")</f>
        <v>Ports, emballages perdus et autres frais facturés</v>
      </c>
      <c r="C33" s="568"/>
      <c r="D33" s="568"/>
      <c r="E33" s="568"/>
      <c r="F33" s="620"/>
      <c r="G33" s="484">
        <f>+'[1]CLASSE 7'!J90</f>
        <v>0</v>
      </c>
      <c r="H33" s="484">
        <f>+'[1]CLASSE 7'!F90</f>
        <v>0</v>
      </c>
      <c r="I33" s="570">
        <f t="shared" si="0"/>
        <v>0</v>
      </c>
      <c r="J33" s="522">
        <f t="shared" si="1"/>
        <v>0</v>
      </c>
      <c r="K33" s="522">
        <f t="shared" si="2"/>
        <v>1</v>
      </c>
      <c r="L33" s="522">
        <f t="shared" si="3"/>
        <v>0</v>
      </c>
      <c r="M33" s="522">
        <f t="shared" si="4"/>
        <v>1</v>
      </c>
    </row>
    <row r="34" spans="2:16" s="522" customFormat="1" ht="24.95" customHeight="1">
      <c r="B34" s="567" t="str">
        <f>IF([1]ACCUEIL!B1=1,"Commissions and brokerages","Commissions et courtages")</f>
        <v>Commissions et courtages</v>
      </c>
      <c r="C34" s="568"/>
      <c r="D34" s="568"/>
      <c r="E34" s="568"/>
      <c r="F34" s="620"/>
      <c r="G34" s="484">
        <f>+'[1]CLASSE 7'!J92</f>
        <v>0</v>
      </c>
      <c r="H34" s="484">
        <f>+'[1]CLASSE 7'!F92</f>
        <v>0</v>
      </c>
      <c r="I34" s="570">
        <f t="shared" si="0"/>
        <v>0</v>
      </c>
      <c r="J34" s="522">
        <f t="shared" si="1"/>
        <v>0</v>
      </c>
      <c r="K34" s="522">
        <f t="shared" si="2"/>
        <v>1</v>
      </c>
      <c r="L34" s="522">
        <f t="shared" si="3"/>
        <v>0</v>
      </c>
      <c r="M34" s="522">
        <f t="shared" si="4"/>
        <v>1</v>
      </c>
    </row>
    <row r="35" spans="2:16" s="522" customFormat="1" ht="24.95" customHeight="1">
      <c r="B35" s="567" t="str">
        <f>IF([1]ACCUEIL!B1=1,"Rentals and rental fees - financing","Locations et redevances de location - financement")</f>
        <v>Locations et redevances de location - financement</v>
      </c>
      <c r="C35" s="568"/>
      <c r="D35" s="568"/>
      <c r="E35" s="568"/>
      <c r="F35" s="620"/>
      <c r="G35" s="484">
        <f>+'[1]CLASSE 7'!J94</f>
        <v>0</v>
      </c>
      <c r="H35" s="484">
        <f>+'[1]CLASSE 7'!F94</f>
        <v>0</v>
      </c>
      <c r="I35" s="570">
        <f t="shared" si="0"/>
        <v>0</v>
      </c>
      <c r="J35" s="522">
        <f t="shared" si="1"/>
        <v>0</v>
      </c>
      <c r="K35" s="522">
        <f t="shared" si="2"/>
        <v>1</v>
      </c>
      <c r="L35" s="522">
        <f t="shared" si="3"/>
        <v>0</v>
      </c>
      <c r="M35" s="522">
        <f t="shared" si="4"/>
        <v>1</v>
      </c>
    </row>
    <row r="36" spans="2:16" s="522" customFormat="1" ht="24.95" customHeight="1">
      <c r="B36" s="567" t="str">
        <f>IF([1]ACCUEIL!B1=1,"Bonuses on recovery and disposal of packaging","Bonis sur reprises et cessions d' emballages")</f>
        <v>Bonis sur reprises et cessions d' emballages</v>
      </c>
      <c r="C36" s="568"/>
      <c r="D36" s="568"/>
      <c r="E36" s="568"/>
      <c r="F36" s="620"/>
      <c r="G36" s="484">
        <f>+'[1]CLASSE 7'!J96</f>
        <v>0</v>
      </c>
      <c r="H36" s="484">
        <f>+'[1]CLASSE 7'!F96</f>
        <v>0</v>
      </c>
      <c r="I36" s="570">
        <f t="shared" si="0"/>
        <v>0</v>
      </c>
      <c r="J36" s="522">
        <f t="shared" si="1"/>
        <v>0</v>
      </c>
      <c r="K36" s="522">
        <f t="shared" si="2"/>
        <v>1</v>
      </c>
      <c r="L36" s="522">
        <f t="shared" si="3"/>
        <v>0</v>
      </c>
      <c r="M36" s="522">
        <f t="shared" si="4"/>
        <v>1</v>
      </c>
    </row>
    <row r="37" spans="2:16" s="522" customFormat="1" ht="24.95" customHeight="1">
      <c r="B37" s="567" t="str">
        <f>IF([1]ACCUEIL!B1=1,"Provision of staff","Mise à disposition de personnel")</f>
        <v>Mise à disposition de personnel</v>
      </c>
      <c r="C37" s="568"/>
      <c r="D37" s="568"/>
      <c r="E37" s="568"/>
      <c r="F37" s="620"/>
      <c r="G37" s="484">
        <f>+'[1]CLASSE 7'!J98</f>
        <v>0</v>
      </c>
      <c r="H37" s="484">
        <f>+'[1]CLASSE 7'!F98</f>
        <v>0</v>
      </c>
      <c r="I37" s="570">
        <f t="shared" si="0"/>
        <v>0</v>
      </c>
      <c r="J37" s="522">
        <f t="shared" si="1"/>
        <v>0</v>
      </c>
      <c r="K37" s="522">
        <f t="shared" si="2"/>
        <v>1</v>
      </c>
      <c r="L37" s="522">
        <f t="shared" si="3"/>
        <v>0</v>
      </c>
      <c r="M37" s="522">
        <f t="shared" si="4"/>
        <v>1</v>
      </c>
    </row>
    <row r="38" spans="2:16" s="522" customFormat="1" ht="24.95" customHeight="1">
      <c r="B38" s="567" t="str">
        <f>IF([1]ACCUEIL!B1=1,"Royalties for patents, software, trademarks and similar rights","Redevances pour brevets , logiciels , marques et droits similaires")</f>
        <v>Redevances pour brevets , logiciels , marques et droits similaires</v>
      </c>
      <c r="C38" s="568"/>
      <c r="D38" s="568"/>
      <c r="E38" s="568"/>
      <c r="F38" s="620"/>
      <c r="G38" s="484">
        <f>+'[1]CLASSE 7'!J100</f>
        <v>0</v>
      </c>
      <c r="H38" s="484">
        <f>+'[1]CLASSE 7'!F100</f>
        <v>0</v>
      </c>
      <c r="I38" s="570">
        <f t="shared" si="0"/>
        <v>0</v>
      </c>
      <c r="J38" s="522">
        <f t="shared" si="1"/>
        <v>0</v>
      </c>
      <c r="K38" s="522">
        <f t="shared" si="2"/>
        <v>1</v>
      </c>
      <c r="L38" s="522">
        <f t="shared" si="3"/>
        <v>0</v>
      </c>
      <c r="M38" s="522">
        <f t="shared" si="4"/>
        <v>1</v>
      </c>
    </row>
    <row r="39" spans="2:16" s="522" customFormat="1" ht="24.95" customHeight="1">
      <c r="B39" s="567" t="str">
        <f>IF([1]ACCUEIL!B1=1,"Services operated in the interest of personnel","Services exploités dans l' interêt du personnel")</f>
        <v>Services exploités dans l' interêt du personnel</v>
      </c>
      <c r="C39" s="564"/>
      <c r="D39" s="564"/>
      <c r="E39" s="564"/>
      <c r="F39" s="1361"/>
      <c r="G39" s="484">
        <f>+'[1]CLASSE 7'!J102</f>
        <v>0</v>
      </c>
      <c r="H39" s="484">
        <f>+'[1]CLASSE 7'!F102</f>
        <v>0</v>
      </c>
      <c r="I39" s="570">
        <f t="shared" si="0"/>
        <v>0</v>
      </c>
      <c r="J39" s="522">
        <f t="shared" si="1"/>
        <v>0</v>
      </c>
      <c r="K39" s="522">
        <f t="shared" si="2"/>
        <v>1</v>
      </c>
      <c r="L39" s="522">
        <f t="shared" si="3"/>
        <v>0</v>
      </c>
      <c r="M39" s="522">
        <f t="shared" si="4"/>
        <v>1</v>
      </c>
    </row>
    <row r="40" spans="2:16" s="522" customFormat="1" ht="24.95" customHeight="1">
      <c r="B40" s="567" t="str">
        <f>IF([1]ACCUEIL!B1=1,"Other accessory products","Autres produits accessoires")</f>
        <v>Autres produits accessoires</v>
      </c>
      <c r="C40" s="568"/>
      <c r="D40" s="568"/>
      <c r="E40" s="568"/>
      <c r="F40" s="620"/>
      <c r="G40" s="484">
        <f>+'[1]CLASSE 7'!J104</f>
        <v>0</v>
      </c>
      <c r="H40" s="484">
        <f>+'[1]CLASSE 7'!F104</f>
        <v>0</v>
      </c>
      <c r="I40" s="570">
        <f t="shared" si="0"/>
        <v>0</v>
      </c>
      <c r="J40" s="522">
        <f t="shared" si="1"/>
        <v>0</v>
      </c>
      <c r="K40" s="522">
        <f t="shared" si="2"/>
        <v>1</v>
      </c>
      <c r="L40" s="522">
        <f t="shared" si="3"/>
        <v>0</v>
      </c>
      <c r="M40" s="522">
        <f t="shared" si="4"/>
        <v>1</v>
      </c>
    </row>
    <row r="41" spans="2:16" s="522" customFormat="1" ht="24.95" customHeight="1">
      <c r="B41" s="1932" t="str">
        <f>IF([1]ACCUEIL!B1=1,"TOTAL: TURNOVER","TOTAL : CHIFFRES D'AFFAIRES")</f>
        <v>TOTAL : CHIFFRES D'AFFAIRES</v>
      </c>
      <c r="C41" s="1933"/>
      <c r="D41" s="1933"/>
      <c r="E41" s="1933"/>
      <c r="F41" s="1958"/>
      <c r="G41" s="483">
        <f>G17+G24+G31+SUM(G32:G40)</f>
        <v>0</v>
      </c>
      <c r="H41" s="483">
        <f>H17+H24+H31+SUM(H32:H40)</f>
        <v>0</v>
      </c>
      <c r="I41" s="570">
        <f t="shared" si="0"/>
        <v>0</v>
      </c>
      <c r="J41" s="522">
        <f t="shared" si="1"/>
        <v>0</v>
      </c>
      <c r="K41" s="522">
        <f t="shared" si="2"/>
        <v>1</v>
      </c>
      <c r="L41" s="522">
        <f t="shared" si="3"/>
        <v>0</v>
      </c>
      <c r="M41" s="522">
        <f t="shared" si="4"/>
        <v>1</v>
      </c>
    </row>
    <row r="42" spans="2:16" s="522" customFormat="1" ht="24.95" customHeight="1">
      <c r="B42" s="1961" t="str">
        <f>IF([1]ACCUEIL!B1=1,"Immobilised production","Production immobilisée")</f>
        <v>Production immobilisée</v>
      </c>
      <c r="C42" s="1962"/>
      <c r="D42" s="1962"/>
      <c r="E42" s="1962"/>
      <c r="F42" s="1963"/>
      <c r="G42" s="484">
        <f>'[1]CLASSE 7'!J119+'[1]CLASSE 7'!J125+'[1]CLASSE 7'!J126+'[1]CLASSE 7'!J127</f>
        <v>0</v>
      </c>
      <c r="H42" s="484">
        <f ca="1">'[1]CLASSE 7'!F119+'[1]CLASSE 7'!F125+'[1]CLASSE 7'!F126+'[1]CLASSE 7'!F127</f>
        <v>0</v>
      </c>
      <c r="I42" s="570">
        <f t="shared" ca="1" si="0"/>
        <v>0</v>
      </c>
      <c r="J42" s="522">
        <f t="shared" ca="1" si="1"/>
        <v>0</v>
      </c>
      <c r="K42" s="522">
        <f t="shared" ca="1" si="2"/>
        <v>1</v>
      </c>
      <c r="L42" s="522">
        <f t="shared" ca="1" si="3"/>
        <v>0</v>
      </c>
      <c r="M42" s="522">
        <f t="shared" ca="1" si="4"/>
        <v>1</v>
      </c>
    </row>
    <row r="43" spans="2:16" s="522" customFormat="1" ht="24.95" customHeight="1">
      <c r="B43" s="1961" t="str">
        <f>IF([1]ACCUEIL!B1=1,"Operating grants","Subventions d'exploitation")</f>
        <v>Subventions d'exploitation</v>
      </c>
      <c r="C43" s="1962"/>
      <c r="D43" s="1962"/>
      <c r="E43" s="1962"/>
      <c r="F43" s="1963"/>
      <c r="G43" s="484">
        <f>SUM('[1]CLASSE 7'!J107:J110)+'[1]CLASSE 7'!J118</f>
        <v>0</v>
      </c>
      <c r="H43" s="484">
        <f>SUM('[1]CLASSE 7'!F107:F110)+'[1]CLASSE 7'!F118</f>
        <v>0</v>
      </c>
      <c r="I43" s="570">
        <f t="shared" si="0"/>
        <v>0</v>
      </c>
      <c r="J43" s="522">
        <f t="shared" si="1"/>
        <v>0</v>
      </c>
      <c r="K43" s="522">
        <f t="shared" si="2"/>
        <v>1</v>
      </c>
      <c r="L43" s="522">
        <f t="shared" si="3"/>
        <v>0</v>
      </c>
      <c r="M43" s="522">
        <f t="shared" si="4"/>
        <v>1</v>
      </c>
    </row>
    <row r="44" spans="2:16" s="522" customFormat="1" ht="24.95" customHeight="1">
      <c r="B44" s="1961" t="str">
        <f>IF([1]ACCUEIL!B1=1,"Other products (1)","Autres produits (1)")</f>
        <v>Autres produits (1)</v>
      </c>
      <c r="C44" s="1962"/>
      <c r="D44" s="1962"/>
      <c r="E44" s="1962"/>
      <c r="F44" s="1963"/>
      <c r="G44" s="484">
        <f>'[1]CLASSE 7'!J147+'[1]CLASSE 7'!J153+'[1]CLASSE 7'!J159+'[1]CLASSE 7'!J160+'[1]CLASSE 7'!J168+'[1]CLASSE 7'!J178+'[1]CLASSE 7'!J217</f>
        <v>0</v>
      </c>
      <c r="H44" s="484">
        <f>'[1]CLASSE 7'!F147+'[1]CLASSE 7'!F153+'[1]CLASSE 7'!F159+'[1]CLASSE 7'!F160+'[1]CLASSE 7'!F168+'[1]CLASSE 7'!F178+'[1]CLASSE 7'!F217</f>
        <v>0</v>
      </c>
      <c r="I44" s="570">
        <f t="shared" si="0"/>
        <v>0</v>
      </c>
      <c r="J44" s="522">
        <f t="shared" si="1"/>
        <v>0</v>
      </c>
      <c r="K44" s="522">
        <f t="shared" si="2"/>
        <v>1</v>
      </c>
      <c r="L44" s="522">
        <f t="shared" si="3"/>
        <v>0</v>
      </c>
      <c r="M44" s="522">
        <f t="shared" si="4"/>
        <v>1</v>
      </c>
    </row>
    <row r="45" spans="2:16" s="522" customFormat="1" ht="24.95" customHeight="1">
      <c r="B45" s="1932" t="str">
        <f>IF([1]ACCUEIL!B1=1,"TOTAL: OTHER PRODUCTS","TOTAL: AUTRES PRODUITS ")</f>
        <v xml:space="preserve">TOTAL: AUTRES PRODUITS </v>
      </c>
      <c r="C45" s="1933"/>
      <c r="D45" s="1933"/>
      <c r="E45" s="1933"/>
      <c r="F45" s="1958"/>
      <c r="G45" s="483">
        <f>SUM(G42:G44)</f>
        <v>0</v>
      </c>
      <c r="H45" s="483">
        <f ca="1">SUM(H42:H44)</f>
        <v>0</v>
      </c>
      <c r="I45" s="570">
        <f t="shared" ca="1" si="0"/>
        <v>0</v>
      </c>
      <c r="J45" s="522">
        <f t="shared" ca="1" si="1"/>
        <v>0</v>
      </c>
      <c r="K45" s="522">
        <f t="shared" ca="1" si="2"/>
        <v>1</v>
      </c>
      <c r="L45" s="522">
        <f t="shared" ca="1" si="3"/>
        <v>0</v>
      </c>
      <c r="M45" s="522">
        <f t="shared" ca="1" si="4"/>
        <v>1</v>
      </c>
    </row>
    <row r="46" spans="2:16" s="522" customFormat="1" ht="24.95" customHeight="1">
      <c r="B46" s="1932" t="s">
        <v>25</v>
      </c>
      <c r="C46" s="1933"/>
      <c r="D46" s="1933"/>
      <c r="E46" s="1933"/>
      <c r="F46" s="1958"/>
      <c r="G46" s="483">
        <f>SUM(G17+G24+G31+G45)+SUM(G32:G40)</f>
        <v>0</v>
      </c>
      <c r="H46" s="483">
        <f ca="1">SUM(H17+H24+H31+H45)+SUM(H32:H40)</f>
        <v>0</v>
      </c>
      <c r="I46" s="570">
        <f t="shared" ca="1" si="0"/>
        <v>0</v>
      </c>
      <c r="J46" s="522">
        <f t="shared" ca="1" si="1"/>
        <v>0</v>
      </c>
      <c r="K46" s="522">
        <f t="shared" ca="1" si="2"/>
        <v>1</v>
      </c>
      <c r="L46" s="522">
        <f t="shared" ca="1" si="3"/>
        <v>0</v>
      </c>
      <c r="M46" s="522">
        <f t="shared" ca="1" si="4"/>
        <v>1</v>
      </c>
      <c r="O46" s="580"/>
      <c r="P46" s="580"/>
    </row>
    <row r="47" spans="2:16">
      <c r="B47" s="81" t="str">
        <f>IF([1]ACCUEIL!B1=1,"(1): Under this heading, the 'Miscellaneous' of FIRD 2 must not appear. These are accounts 75 AND 781…","(1): Sous cette rubrique, les 'Divers' de la FIRD 2 ne doivent pas figurer. Il s'agit ici des comptes 75 ET 781 …")</f>
        <v>(1): Sous cette rubrique, les 'Divers' de la FIRD 2 ne doivent pas figurer. Il s'agit ici des comptes 75 ET 781 …</v>
      </c>
      <c r="C47" s="81"/>
      <c r="D47" s="81"/>
      <c r="E47" s="81"/>
      <c r="F47" s="81"/>
      <c r="G47" s="81"/>
      <c r="H47" s="81"/>
      <c r="I47" s="81"/>
    </row>
    <row r="48" spans="2:16">
      <c r="B48" s="81" t="str">
        <f>IF([1]ACCUEIL!B1=1,"
'(2): 'Region' indicates the WAEMU or CAEMC zone","'(2): 'Région' indique la zone UEMOA ou CEMAC")</f>
        <v>'(2): 'Région' indique la zone UEMOA ou CEMAC</v>
      </c>
      <c r="C48" s="81"/>
      <c r="D48" s="81"/>
      <c r="E48" s="81"/>
      <c r="F48" s="81"/>
      <c r="G48" s="81"/>
      <c r="H48" s="81"/>
      <c r="I48" s="81"/>
    </row>
    <row r="49" spans="2:9">
      <c r="B49" s="81" t="str">
        <f>IF([1]ACCUEIL!B1=1,"● Justify any significant variation.","●   Justifier toute variation significative.")</f>
        <v>●   Justifier toute variation significative.</v>
      </c>
      <c r="C49" s="81"/>
      <c r="D49" s="81"/>
      <c r="E49" s="81"/>
      <c r="F49" s="81"/>
      <c r="G49" s="81"/>
      <c r="H49" s="81"/>
      <c r="I49" s="81"/>
    </row>
    <row r="50" spans="2:9">
      <c r="B50" s="81" t="str">
        <f>IF([1]ACCUEIL!B1=1,"● Detail: intermediate products, residual products, accessory products and other significant products.","●   Détailler: produits intermédiaires, produits résiduels, produits accessoires et autres produits si significatifs.")</f>
        <v>●   Détailler: produits intermédiaires, produits résiduels, produits accessoires et autres produits si significatifs.</v>
      </c>
      <c r="C50" s="81"/>
      <c r="D50" s="81"/>
      <c r="E50" s="81"/>
      <c r="F50" s="81"/>
      <c r="G50" s="81"/>
      <c r="H50" s="81"/>
      <c r="I50" s="81"/>
    </row>
    <row r="51" spans="2:9">
      <c r="B51" s="81" t="str">
        <f>IF([1]ACCUEIL!B1=1,"● In the case of finance lease provide the following information:","●   Dans le cas de location-financement fournir les informations suivantes : ")</f>
        <v xml:space="preserve">●   Dans le cas de location-financement fournir les informations suivantes : </v>
      </c>
      <c r="C51" s="81"/>
      <c r="D51" s="81"/>
      <c r="E51" s="81"/>
      <c r="F51" s="81"/>
      <c r="G51" s="81"/>
      <c r="H51" s="81"/>
      <c r="I51" s="81"/>
    </row>
    <row r="52" spans="2:9">
      <c r="B52" s="81" t="str">
        <f>IF([1]ACCUEIL!B1=1,"           - Result of the sale","            - Résultat de la vente ")</f>
        <v xml:space="preserve">            - Résultat de la vente </v>
      </c>
      <c r="C52" s="81"/>
      <c r="D52" s="81"/>
      <c r="E52" s="81"/>
      <c r="F52" s="81"/>
      <c r="G52" s="81"/>
      <c r="H52" s="81"/>
      <c r="I52" s="81"/>
    </row>
    <row r="53" spans="2:9">
      <c r="B53" s="81" t="str">
        <f>IF([1]ACCUEIL!B1=1,"           - Financial products on net investment","            - Produits financiers sur l’investissement net")</f>
        <v xml:space="preserve">            - Produits financiers sur l’investissement net</v>
      </c>
      <c r="C53" s="81"/>
      <c r="D53" s="81"/>
      <c r="E53" s="81"/>
      <c r="F53" s="81"/>
      <c r="G53" s="81"/>
      <c r="H53" s="81"/>
      <c r="I53" s="81"/>
    </row>
    <row r="54" spans="2:9">
      <c r="B54" s="81" t="str">
        <f>IF([1]ACCUEIL!B1=1,"            - Rental income linked to variable rents not included in net investment","            - Revenus locatifs liés aux loyers variables  non inclus dans l’investissement net")</f>
        <v xml:space="preserve">            - Revenus locatifs liés aux loyers variables  non inclus dans l’investissement net</v>
      </c>
      <c r="C54" s="81"/>
      <c r="D54" s="81"/>
      <c r="E54" s="81"/>
      <c r="F54" s="81"/>
      <c r="G54" s="81"/>
      <c r="H54" s="81"/>
      <c r="I54" s="81"/>
    </row>
    <row r="55" spans="2:9">
      <c r="B55" s="81" t="str">
        <f>IF([1]ACCUEIL!B1=1,"            - Payment due dates:","            - Echéances des  loyers à recevoir :")</f>
        <v xml:space="preserve">            - Echéances des  loyers à recevoir :</v>
      </c>
      <c r="C55" s="81"/>
      <c r="D55" s="81"/>
      <c r="E55" s="81"/>
      <c r="F55" s="81"/>
      <c r="G55" s="81"/>
      <c r="H55" s="81"/>
      <c r="I55" s="81"/>
    </row>
    <row r="56" spans="2:9" ht="15" customHeight="1">
      <c r="B56" s="1975" t="str">
        <f>IF([1]ACCUEIL!B1=1,"    • up to 1 year
         • from 1 year to 5 years
         • over 5 years","    • jusqu’à 1 an 
         • de 1 an à 5 ans
         • à plus de 5 ans ")</f>
        <v xml:space="preserve">    • jusqu’à 1 an 
         • de 1 an à 5 ans
         • à plus de 5 ans </v>
      </c>
      <c r="C56" s="81"/>
      <c r="D56" s="81"/>
      <c r="E56" s="81"/>
      <c r="F56" s="81"/>
      <c r="G56" s="81"/>
      <c r="H56" s="81"/>
      <c r="I56" s="81"/>
    </row>
    <row r="57" spans="2:9" ht="20.25" customHeight="1">
      <c r="B57" s="1975"/>
      <c r="C57" s="81"/>
      <c r="D57" s="81"/>
      <c r="E57" s="81"/>
      <c r="F57" s="81"/>
      <c r="G57" s="81"/>
      <c r="H57" s="81"/>
      <c r="I57" s="81"/>
    </row>
    <row r="58" spans="2:9" ht="22.5" customHeight="1">
      <c r="B58" s="1975"/>
      <c r="C58" s="81"/>
      <c r="D58" s="81"/>
      <c r="E58" s="81"/>
      <c r="F58" s="81"/>
      <c r="G58" s="81"/>
      <c r="H58" s="81"/>
      <c r="I58" s="81"/>
    </row>
    <row r="59" spans="2:9">
      <c r="B59" s="558" t="str">
        <f>'NOTE 20'!B23</f>
        <v>COMMENTAIRE</v>
      </c>
      <c r="C59" s="1660">
        <f>'[1]NOTE 21'!C59:I59</f>
        <v>0</v>
      </c>
      <c r="D59" s="1660"/>
      <c r="E59" s="1660"/>
      <c r="F59" s="1660"/>
      <c r="G59" s="1660"/>
      <c r="H59" s="1660"/>
      <c r="I59" s="1660"/>
    </row>
    <row r="60" spans="2:9">
      <c r="B60" s="560"/>
      <c r="C60" s="1660">
        <f>'[1]NOTE 21'!C60:I60</f>
        <v>0</v>
      </c>
      <c r="D60" s="1660"/>
      <c r="E60" s="1660"/>
      <c r="F60" s="1660"/>
      <c r="G60" s="1660"/>
      <c r="H60" s="1660"/>
      <c r="I60" s="1660"/>
    </row>
    <row r="61" spans="2:9">
      <c r="B61" s="560"/>
      <c r="C61" s="1660">
        <f>'[1]NOTE 21'!C61:I61</f>
        <v>0</v>
      </c>
      <c r="D61" s="1660"/>
      <c r="E61" s="1660"/>
      <c r="F61" s="1660"/>
      <c r="G61" s="1660"/>
      <c r="H61" s="1660"/>
      <c r="I61" s="1660"/>
    </row>
    <row r="62" spans="2:9">
      <c r="B62" s="81"/>
      <c r="C62" s="1660">
        <f>'[1]NOTE 21'!C62:I62</f>
        <v>0</v>
      </c>
      <c r="D62" s="1660"/>
      <c r="E62" s="1660"/>
      <c r="F62" s="1660"/>
      <c r="G62" s="1660"/>
      <c r="H62" s="1660"/>
      <c r="I62" s="1660"/>
    </row>
    <row r="63" spans="2:9">
      <c r="B63" s="81"/>
      <c r="C63" s="1660">
        <f>'[1]NOTE 21'!C63:I63</f>
        <v>0</v>
      </c>
      <c r="D63" s="1660"/>
      <c r="E63" s="1660"/>
      <c r="F63" s="1660"/>
      <c r="G63" s="1660"/>
      <c r="H63" s="1660"/>
      <c r="I63" s="1660"/>
    </row>
    <row r="64" spans="2:9">
      <c r="C64" s="1660">
        <f>'[1]NOTE 21'!C64:I64</f>
        <v>0</v>
      </c>
      <c r="D64" s="1660"/>
      <c r="E64" s="1660"/>
      <c r="F64" s="1660"/>
      <c r="G64" s="1660"/>
      <c r="H64" s="1660"/>
      <c r="I64" s="1660"/>
    </row>
    <row r="65" spans="3:9">
      <c r="C65" s="1660">
        <f>'[1]NOTE 21'!C65:I65</f>
        <v>0</v>
      </c>
      <c r="D65" s="1660"/>
      <c r="E65" s="1660"/>
      <c r="F65" s="1660"/>
      <c r="G65" s="1660"/>
      <c r="H65" s="1660"/>
      <c r="I65" s="1660"/>
    </row>
    <row r="66" spans="3:9">
      <c r="C66" s="1660">
        <f>'[1]NOTE 21'!C66:I66</f>
        <v>0</v>
      </c>
      <c r="D66" s="1660"/>
      <c r="E66" s="1660"/>
      <c r="F66" s="1660"/>
      <c r="G66" s="1660"/>
      <c r="H66" s="1660"/>
      <c r="I66" s="1660"/>
    </row>
    <row r="67" spans="3:9">
      <c r="C67" s="1660">
        <f>'[1]NOTE 21'!C67:I67</f>
        <v>0</v>
      </c>
      <c r="D67" s="1660"/>
      <c r="E67" s="1660"/>
      <c r="F67" s="1660"/>
      <c r="G67" s="1660"/>
      <c r="H67" s="1660"/>
      <c r="I67" s="1660"/>
    </row>
    <row r="68" spans="3:9">
      <c r="C68" s="1660">
        <f>'[1]NOTE 21'!C68:I68</f>
        <v>0</v>
      </c>
      <c r="D68" s="1660"/>
      <c r="E68" s="1660"/>
      <c r="F68" s="1660"/>
      <c r="G68" s="1660"/>
      <c r="H68" s="1660"/>
      <c r="I68" s="1660"/>
    </row>
  </sheetData>
  <sheetProtection selectLockedCells="1"/>
  <mergeCells count="27">
    <mergeCell ref="C66:I66"/>
    <mergeCell ref="C67:I67"/>
    <mergeCell ref="C68:I68"/>
    <mergeCell ref="C60:I60"/>
    <mergeCell ref="C61:I61"/>
    <mergeCell ref="C62:I62"/>
    <mergeCell ref="C63:I63"/>
    <mergeCell ref="C64:I64"/>
    <mergeCell ref="C65:I65"/>
    <mergeCell ref="C59:I59"/>
    <mergeCell ref="B17:F17"/>
    <mergeCell ref="B24:F24"/>
    <mergeCell ref="B31:F31"/>
    <mergeCell ref="B32:F32"/>
    <mergeCell ref="B41:F41"/>
    <mergeCell ref="B42:F42"/>
    <mergeCell ref="B43:F43"/>
    <mergeCell ref="B44:F44"/>
    <mergeCell ref="B45:F45"/>
    <mergeCell ref="B46:F46"/>
    <mergeCell ref="B56:B58"/>
    <mergeCell ref="B12:F12"/>
    <mergeCell ref="H2:I3"/>
    <mergeCell ref="E7:F7"/>
    <mergeCell ref="B9:I9"/>
    <mergeCell ref="B10:F10"/>
    <mergeCell ref="B11:F11"/>
  </mergeCells>
  <conditionalFormatting sqref="F5 H6:H7">
    <cfRule type="expression" dxfId="13" priority="1">
      <formula>#REF!=1</formula>
    </cfRule>
  </conditionalFormatting>
  <printOptions horizontalCentered="1"/>
  <pageMargins left="0.78740157480314965" right="0" top="0.59055118110236227" bottom="0.19685039370078741" header="0.31496062992125984" footer="0.31496062992125984"/>
  <pageSetup paperSize="9" scale="56" orientation="portrait" r:id="rId1"/>
  <headerFooter>
    <oddHeader>&amp;C&amp;"-,Gras"&amp;14Page &amp;P / &amp;N</oddHead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Feuil48">
    <pageSetUpPr fitToPage="1"/>
  </sheetPr>
  <dimension ref="B1:N53"/>
  <sheetViews>
    <sheetView showGridLines="0" showZeros="0" zoomScale="70" zoomScaleNormal="70" zoomScaleSheetLayoutView="100" workbookViewId="0">
      <selection activeCell="P19" sqref="P19"/>
    </sheetView>
  </sheetViews>
  <sheetFormatPr baseColWidth="10" defaultColWidth="11.42578125" defaultRowHeight="15.75"/>
  <cols>
    <col min="1" max="1" width="8.42578125" style="9" customWidth="1"/>
    <col min="2" max="2" width="26.5703125" style="9" customWidth="1"/>
    <col min="3" max="3" width="18" style="9" customWidth="1"/>
    <col min="4" max="4" width="10.5703125" style="9" customWidth="1"/>
    <col min="5" max="5" width="25.140625" style="9" customWidth="1"/>
    <col min="6" max="6" width="18.5703125" style="9" customWidth="1"/>
    <col min="7" max="7" width="22.42578125" style="9" bestFit="1" customWidth="1"/>
    <col min="8" max="8" width="10.5703125" style="9" customWidth="1"/>
    <col min="9" max="9" width="5.5703125" style="9" hidden="1" customWidth="1"/>
    <col min="10" max="10" width="4.85546875" style="9" hidden="1" customWidth="1"/>
    <col min="11" max="11" width="5.85546875" style="9" hidden="1" customWidth="1"/>
    <col min="12" max="12" width="8.5703125" style="9" hidden="1" customWidth="1"/>
    <col min="13" max="13" width="7.140625" style="9" hidden="1" customWidth="1"/>
    <col min="14" max="14" width="0" style="9" hidden="1" customWidth="1"/>
    <col min="15" max="16384" width="11.42578125" style="9"/>
  </cols>
  <sheetData>
    <row r="1" spans="2:12">
      <c r="B1" s="1977"/>
      <c r="C1" s="1977"/>
      <c r="D1" s="1977"/>
      <c r="E1" s="1977"/>
      <c r="F1" s="1977"/>
      <c r="G1" s="1977"/>
      <c r="H1" s="1977"/>
    </row>
    <row r="2" spans="2:12">
      <c r="B2" s="118"/>
      <c r="C2" s="118"/>
      <c r="D2" s="118"/>
      <c r="E2" s="118"/>
      <c r="F2" s="118"/>
      <c r="G2" s="1724" t="str">
        <f>IF([1]ACCUEIL!B1=1,"NOTE 22
NORMAL SYSTEM","NOTE 22
SYSTEME NORMAL")</f>
        <v>NOTE 22
SYSTEME NORMAL</v>
      </c>
      <c r="H2" s="1725"/>
    </row>
    <row r="3" spans="2:12">
      <c r="B3" s="118"/>
      <c r="C3" s="118"/>
      <c r="D3" s="115"/>
      <c r="E3" s="1099"/>
      <c r="F3" s="118"/>
      <c r="G3" s="1726"/>
      <c r="H3" s="1727"/>
    </row>
    <row r="4" spans="2:12">
      <c r="B4" s="127" t="str">
        <f>'NOTE 21'!B4</f>
        <v>Désignation entité:</v>
      </c>
      <c r="C4" s="1105" t="str">
        <f>'NOTE 14'!C6</f>
        <v/>
      </c>
      <c r="D4" s="1105"/>
      <c r="E4" s="1105"/>
      <c r="F4" s="1107"/>
      <c r="G4" s="1180"/>
      <c r="H4" s="1180"/>
    </row>
    <row r="5" spans="2:12">
      <c r="B5" s="127" t="str">
        <f>'NOTE 21'!B5</f>
        <v>Sigle usuel :</v>
      </c>
      <c r="C5" s="1105" t="str">
        <f>'NOTE 21'!C5</f>
        <v/>
      </c>
      <c r="D5" s="1181"/>
      <c r="F5" s="1109"/>
      <c r="G5" s="1182"/>
      <c r="H5" s="1182"/>
    </row>
    <row r="6" spans="2:12">
      <c r="B6" s="127" t="str">
        <f>'NOTE 21'!B6</f>
        <v>Adresse:</v>
      </c>
      <c r="C6" s="1105">
        <f>'NOTE 21'!C6</f>
        <v>0</v>
      </c>
      <c r="D6" s="1247"/>
      <c r="E6" s="123"/>
      <c r="F6" s="1101"/>
      <c r="G6" s="1106" t="str">
        <f>'NOTE 21'!H6</f>
        <v>BP:</v>
      </c>
      <c r="H6" s="1103" t="str">
        <f>'NOTE 21'!I6</f>
        <v/>
      </c>
    </row>
    <row r="7" spans="2:12">
      <c r="B7" s="127" t="str">
        <f>'NOTE 21'!B7</f>
        <v>Numéro d'identification:</v>
      </c>
      <c r="C7" s="1105" t="str">
        <f>'NOTE 14'!C9</f>
        <v/>
      </c>
      <c r="D7" s="1105"/>
      <c r="E7" s="1108" t="str">
        <f>'NOTE 21'!E7:F7</f>
        <v xml:space="preserve">   Exercice clos le 31 - 12- </v>
      </c>
      <c r="F7" s="1105">
        <f>'NOTE 14'!E9</f>
        <v>2025</v>
      </c>
      <c r="G7" s="126" t="str">
        <f>'NOTE 14'!F9</f>
        <v xml:space="preserve">    Durée (en mois):</v>
      </c>
      <c r="H7" s="1103">
        <f>'NOTE 14'!G9</f>
        <v>12</v>
      </c>
    </row>
    <row r="8" spans="2:12">
      <c r="B8" s="115"/>
      <c r="C8" s="115"/>
      <c r="D8" s="115"/>
      <c r="E8" s="115"/>
      <c r="F8" s="115"/>
      <c r="G8" s="115"/>
      <c r="H8" s="115"/>
    </row>
    <row r="9" spans="2:12" ht="24" customHeight="1">
      <c r="B9" s="1807" t="str">
        <f>IF([1]ACCUEIL!B1=1,"NOTE 22 PURCHASES","NOTE 22 ACHATS")</f>
        <v>NOTE 22 ACHATS</v>
      </c>
      <c r="C9" s="1807"/>
      <c r="D9" s="1807"/>
      <c r="E9" s="1807"/>
      <c r="F9" s="1807"/>
      <c r="G9" s="1807"/>
      <c r="H9" s="1807"/>
      <c r="I9" s="211"/>
    </row>
    <row r="10" spans="2:12" ht="31.5">
      <c r="B10" s="1969" t="str">
        <f>'NOTE 21'!B10:F10</f>
        <v xml:space="preserve">      RUBRIQUES</v>
      </c>
      <c r="C10" s="1970"/>
      <c r="D10" s="1970"/>
      <c r="E10" s="1971"/>
      <c r="F10" s="1248" t="str">
        <f>'NOTE 21'!G10</f>
        <v>Année 2025</v>
      </c>
      <c r="G10" s="1248" t="str">
        <f>'NOTE 21'!H10</f>
        <v>Année 2024</v>
      </c>
      <c r="H10" s="1249" t="str">
        <f>'NOTE 21'!I10</f>
        <v xml:space="preserve">Variation en % </v>
      </c>
    </row>
    <row r="11" spans="2:12" s="559" customFormat="1" ht="24.95" customHeight="1">
      <c r="B11" s="1250" t="str">
        <f>IF([1]ACCUEIL!B1=1,"Purchases of goods in the State Party","Achats de marchandises dans l'Etat partie")</f>
        <v>Achats de marchandises dans l'Etat partie</v>
      </c>
      <c r="C11" s="1188"/>
      <c r="D11" s="1188"/>
      <c r="E11" s="1111"/>
      <c r="F11" s="216">
        <f>+'[1]CLASSE 6'!I6-F12</f>
        <v>0</v>
      </c>
      <c r="G11" s="216">
        <f>+'[1]CLASSE 6'!E6-G12</f>
        <v>0</v>
      </c>
      <c r="H11" s="1189">
        <f>IF(I11=0,0,L11)</f>
        <v>0</v>
      </c>
      <c r="I11" s="1256">
        <f>F11-G11</f>
        <v>0</v>
      </c>
      <c r="J11" s="559">
        <f>IF(G11=0,1,IF(G11&lt;0,(F11-G11)/-G11,(F11-G11)/G11))</f>
        <v>1</v>
      </c>
      <c r="K11" s="559">
        <f>IF(I11=F11,IF(F11&lt;0,-1,0))</f>
        <v>0</v>
      </c>
      <c r="L11" s="559">
        <f>IF(K11=-1,-1,J11)</f>
        <v>1</v>
      </c>
    </row>
    <row r="12" spans="2:12" s="559" customFormat="1" ht="24.95" customHeight="1">
      <c r="B12" s="1253" t="str">
        <f>IF([1]ACCUEIL!B1=1,"Purchases of goods in the other States Parties of the Region (2)","Achats de marchandises dans les autres Etats parties de la Région (2)")</f>
        <v>Achats de marchandises dans les autres Etats parties de la Région (2)</v>
      </c>
      <c r="C12" s="1188"/>
      <c r="D12" s="1188"/>
      <c r="E12" s="1111"/>
      <c r="F12" s="1203">
        <f>'[1]NOTE 22'!F12</f>
        <v>0</v>
      </c>
      <c r="G12" s="1203">
        <f>'[1]NOTE 22'!G12</f>
        <v>0</v>
      </c>
      <c r="H12" s="1189">
        <f t="shared" ref="H12:H39" si="0">IF(I12=0,0,L12)</f>
        <v>0</v>
      </c>
      <c r="I12" s="1256">
        <f t="shared" ref="I12:I40" si="1">F12-G12</f>
        <v>0</v>
      </c>
      <c r="J12" s="559">
        <f t="shared" ref="J12:J40" si="2">IF(G12=0,1,IF(G12&lt;0,(F12-G12)/-G12,(F12-G12)/G12))</f>
        <v>1</v>
      </c>
      <c r="K12" s="559">
        <f t="shared" ref="K12:K40" si="3">IF(I12=F12,IF(F12&lt;0,-1,0))</f>
        <v>0</v>
      </c>
      <c r="L12" s="559">
        <f t="shared" ref="L12:L40" si="4">IF(K12=-1,-1,J12)</f>
        <v>1</v>
      </c>
    </row>
    <row r="13" spans="2:12" s="559" customFormat="1" ht="24.95" customHeight="1">
      <c r="B13" s="1253" t="str">
        <f>IF([1]ACCUEIL!B1=1,"Purchases of goods outside the Region (2)","Achats de marchandises hors Région (2)")</f>
        <v>Achats de marchandises hors Région (2)</v>
      </c>
      <c r="C13" s="1188"/>
      <c r="D13" s="1188"/>
      <c r="E13" s="1111"/>
      <c r="F13" s="216">
        <f>+'[1]CLASSE 6'!I8</f>
        <v>0</v>
      </c>
      <c r="G13" s="216">
        <f>+'[1]CLASSE 6'!E8</f>
        <v>0</v>
      </c>
      <c r="H13" s="1189">
        <f t="shared" si="0"/>
        <v>0</v>
      </c>
      <c r="I13" s="1256">
        <f t="shared" si="1"/>
        <v>0</v>
      </c>
      <c r="J13" s="559">
        <f t="shared" si="2"/>
        <v>1</v>
      </c>
      <c r="K13" s="559">
        <f t="shared" si="3"/>
        <v>0</v>
      </c>
      <c r="L13" s="559">
        <f t="shared" si="4"/>
        <v>1</v>
      </c>
    </row>
    <row r="14" spans="2:12" s="559" customFormat="1" ht="24.95" customHeight="1">
      <c r="B14" s="1255" t="str">
        <f>IF([1]ACCUEIL!B1=1,"Group merchandise purchases","Achats de marchandises groupe")</f>
        <v>Achats de marchandises groupe</v>
      </c>
      <c r="C14" s="1188"/>
      <c r="D14" s="1188"/>
      <c r="E14" s="1111"/>
      <c r="F14" s="216">
        <f>+'[1]CLASSE 6'!I10-'[1]CLASSE 6'!J10+'[1]CLASSE 6'!I12-'[1]CLASSE 6'!J12</f>
        <v>0</v>
      </c>
      <c r="G14" s="216">
        <f>+'[1]CLASSE 6'!E10+'[1]CLASSE 6'!E12-'[1]CLASSE 6'!F10-'[1]CLASSE 6'!F12</f>
        <v>0</v>
      </c>
      <c r="H14" s="1189">
        <f t="shared" si="0"/>
        <v>0</v>
      </c>
      <c r="I14" s="1256">
        <f t="shared" si="1"/>
        <v>0</v>
      </c>
      <c r="J14" s="559">
        <f t="shared" si="2"/>
        <v>1</v>
      </c>
      <c r="K14" s="559">
        <f t="shared" si="3"/>
        <v>0</v>
      </c>
      <c r="L14" s="559">
        <f t="shared" si="4"/>
        <v>1</v>
      </c>
    </row>
    <row r="15" spans="2:12" s="559" customFormat="1" ht="24.95" customHeight="1">
      <c r="B15" s="1110" t="str">
        <f>IF([1]ACCUEIL!B1=1,"Fees on purchases","Frais sur achats")</f>
        <v>Frais sur achats</v>
      </c>
      <c r="C15" s="1188"/>
      <c r="D15" s="1188"/>
      <c r="E15" s="1111"/>
      <c r="F15" s="216">
        <f>+'[1]CLASSE 6'!I14</f>
        <v>0</v>
      </c>
      <c r="G15" s="216">
        <f>+'[1]CLASSE 6'!E14</f>
        <v>0</v>
      </c>
      <c r="H15" s="1189">
        <f t="shared" si="0"/>
        <v>0</v>
      </c>
      <c r="I15" s="1256">
        <f t="shared" si="1"/>
        <v>0</v>
      </c>
      <c r="J15" s="559">
        <f t="shared" si="2"/>
        <v>1</v>
      </c>
      <c r="K15" s="559">
        <f t="shared" si="3"/>
        <v>0</v>
      </c>
      <c r="L15" s="559">
        <f t="shared" si="4"/>
        <v>1</v>
      </c>
    </row>
    <row r="16" spans="2:12" s="559" customFormat="1" ht="24.95" customHeight="1">
      <c r="B16" s="1110" t="str">
        <f>IF([1]ACCUEIL!B1=1,"Discounts, rebates, and rebates","Remises, rabais, et ristournes")</f>
        <v>Remises, rabais, et ristournes</v>
      </c>
      <c r="C16" s="1188"/>
      <c r="D16" s="1188"/>
      <c r="E16" s="1111"/>
      <c r="F16" s="216">
        <f>'[1]CLASSE 6'!J16</f>
        <v>0</v>
      </c>
      <c r="G16" s="216">
        <f>+'[1]CLASSE 6'!F16</f>
        <v>0</v>
      </c>
      <c r="H16" s="1189">
        <f t="shared" si="0"/>
        <v>0</v>
      </c>
      <c r="I16" s="1256">
        <f t="shared" si="1"/>
        <v>0</v>
      </c>
      <c r="J16" s="559">
        <f t="shared" si="2"/>
        <v>1</v>
      </c>
      <c r="K16" s="559">
        <f t="shared" si="3"/>
        <v>0</v>
      </c>
      <c r="L16" s="559">
        <f t="shared" si="4"/>
        <v>1</v>
      </c>
    </row>
    <row r="17" spans="2:14" s="1119" customFormat="1" ht="24.95" customHeight="1">
      <c r="B17" s="1115" t="str">
        <f>IF([1]ACCUEIL!B1=1,"TOTAL: GOODS PURCHASES","TOTAL: ACHATS DE MARCHANDISE")</f>
        <v>TOTAL: ACHATS DE MARCHANDISE</v>
      </c>
      <c r="C17" s="1191"/>
      <c r="D17" s="1191"/>
      <c r="E17" s="1116"/>
      <c r="F17" s="210">
        <f>SUM(F11:F15)-F16</f>
        <v>0</v>
      </c>
      <c r="G17" s="210">
        <f>SUM(G11:G15)-G16</f>
        <v>0</v>
      </c>
      <c r="H17" s="1189">
        <f t="shared" si="0"/>
        <v>0</v>
      </c>
      <c r="I17" s="1256">
        <f t="shared" si="1"/>
        <v>0</v>
      </c>
      <c r="J17" s="559">
        <f t="shared" si="2"/>
        <v>1</v>
      </c>
      <c r="K17" s="559">
        <f t="shared" si="3"/>
        <v>0</v>
      </c>
      <c r="L17" s="559">
        <f t="shared" si="4"/>
        <v>1</v>
      </c>
      <c r="M17" s="559"/>
      <c r="N17" s="559"/>
    </row>
    <row r="18" spans="2:14" s="559" customFormat="1" ht="24.95" customHeight="1">
      <c r="B18" s="1250" t="str">
        <f>IF([1]ACCUEIL!B1=1,"Purchases of raw materials and related supplies in the State Party","Achats de matières premières et fournitures liées dans l'Etat partie")</f>
        <v>Achats de matières premières et fournitures liées dans l'Etat partie</v>
      </c>
      <c r="C18" s="1188"/>
      <c r="D18" s="1188"/>
      <c r="E18" s="1111"/>
      <c r="F18" s="216">
        <f>+'[1]CLASSE 6'!I20</f>
        <v>0</v>
      </c>
      <c r="G18" s="216">
        <f>+'[1]CLASSE 6'!E20-G19</f>
        <v>0</v>
      </c>
      <c r="H18" s="1189">
        <f t="shared" si="0"/>
        <v>0</v>
      </c>
      <c r="I18" s="1256">
        <f t="shared" si="1"/>
        <v>0</v>
      </c>
      <c r="J18" s="559">
        <f t="shared" si="2"/>
        <v>1</v>
      </c>
      <c r="K18" s="559">
        <f t="shared" si="3"/>
        <v>0</v>
      </c>
      <c r="L18" s="559">
        <f t="shared" si="4"/>
        <v>1</v>
      </c>
    </row>
    <row r="19" spans="2:14" ht="35.450000000000003" customHeight="1">
      <c r="B19" s="1979" t="str">
        <f>IF([1]ACCUEIL!B1=1,"Purchases of raw materials and related supplies in the other States Parties of the Region (2)","Achats de matères premières et fournitures liées dans les autres Etats parties de la Région (2)")</f>
        <v>Achats de matères premières et fournitures liées dans les autres Etats parties de la Région (2)</v>
      </c>
      <c r="C19" s="1980"/>
      <c r="D19" s="1980"/>
      <c r="E19" s="1981"/>
      <c r="F19" s="1254">
        <f>'[1]NOTE 22'!F19</f>
        <v>0</v>
      </c>
      <c r="G19" s="1254">
        <f>'[1]NOTE 22'!G19</f>
        <v>0</v>
      </c>
      <c r="H19" s="1252">
        <f>IF(I19=0,0,L19)</f>
        <v>0</v>
      </c>
      <c r="I19" s="211">
        <f t="shared" si="1"/>
        <v>0</v>
      </c>
      <c r="J19" s="9">
        <f t="shared" si="2"/>
        <v>1</v>
      </c>
      <c r="K19" s="9">
        <f t="shared" si="3"/>
        <v>0</v>
      </c>
      <c r="L19" s="9">
        <f t="shared" si="4"/>
        <v>1</v>
      </c>
    </row>
    <row r="20" spans="2:14" s="559" customFormat="1" ht="24.95" customHeight="1">
      <c r="B20" s="1253" t="str">
        <f>IF([1]ACCUEIL!B1=1,"Purchases of raw materials and related supplies outside the Region (2)","Achats matières premières et fournitures liées hors Région (2)")</f>
        <v>Achats matières premières et fournitures liées hors Région (2)</v>
      </c>
      <c r="C20" s="1188"/>
      <c r="D20" s="1188"/>
      <c r="E20" s="1111"/>
      <c r="F20" s="216">
        <f>+'[1]CLASSE 6'!I22</f>
        <v>0</v>
      </c>
      <c r="G20" s="216">
        <f>+'[1]CLASSE 6'!E22</f>
        <v>0</v>
      </c>
      <c r="H20" s="1189">
        <f t="shared" si="0"/>
        <v>0</v>
      </c>
      <c r="I20" s="1256">
        <f t="shared" si="1"/>
        <v>0</v>
      </c>
      <c r="J20" s="559">
        <f t="shared" si="2"/>
        <v>1</v>
      </c>
      <c r="K20" s="559">
        <f t="shared" si="3"/>
        <v>0</v>
      </c>
      <c r="L20" s="559">
        <f t="shared" si="4"/>
        <v>1</v>
      </c>
    </row>
    <row r="21" spans="2:14" s="559" customFormat="1" ht="24.95" customHeight="1">
      <c r="B21" s="1255" t="str">
        <f>IF([1]ACCUEIL!B1=1,"Purchases of raw materials and related supplies for the group","Achats matières premières et fournitures liées groupe")</f>
        <v>Achats matières premières et fournitures liées groupe</v>
      </c>
      <c r="C21" s="1188"/>
      <c r="D21" s="1188"/>
      <c r="E21" s="1111"/>
      <c r="F21" s="216">
        <f>+'[1]CLASSE 6'!I24+'[1]CLASSE 6'!I26-'[1]CLASSE 6'!J24-'[1]CLASSE 6'!J26</f>
        <v>0</v>
      </c>
      <c r="G21" s="216">
        <f>+'[1]CLASSE 6'!E24+'[1]CLASSE 6'!E26-'[1]CLASSE 6'!F24-'[1]CLASSE 6'!F26</f>
        <v>0</v>
      </c>
      <c r="H21" s="1189">
        <f t="shared" si="0"/>
        <v>0</v>
      </c>
      <c r="I21" s="1256">
        <f t="shared" si="1"/>
        <v>0</v>
      </c>
      <c r="J21" s="559">
        <f t="shared" si="2"/>
        <v>1</v>
      </c>
      <c r="K21" s="559">
        <f t="shared" si="3"/>
        <v>0</v>
      </c>
      <c r="L21" s="559">
        <f t="shared" si="4"/>
        <v>1</v>
      </c>
    </row>
    <row r="22" spans="2:14" s="559" customFormat="1" ht="24.95" customHeight="1">
      <c r="B22" s="1110" t="str">
        <f>IF([1]ACCUEIL!B1=1,"Fees on purchases","Frais sur achats")</f>
        <v>Frais sur achats</v>
      </c>
      <c r="C22" s="1188"/>
      <c r="D22" s="1188"/>
      <c r="E22" s="1111"/>
      <c r="F22" s="1257">
        <f>'[1]CLASSE 6'!I28</f>
        <v>0</v>
      </c>
      <c r="G22" s="1257">
        <f>'[1]CLASSE 6'!E28</f>
        <v>0</v>
      </c>
      <c r="H22" s="1189">
        <f t="shared" si="0"/>
        <v>0</v>
      </c>
      <c r="I22" s="1256">
        <f t="shared" si="1"/>
        <v>0</v>
      </c>
      <c r="J22" s="559">
        <f t="shared" si="2"/>
        <v>1</v>
      </c>
      <c r="K22" s="559">
        <f t="shared" si="3"/>
        <v>0</v>
      </c>
      <c r="L22" s="559">
        <f t="shared" si="4"/>
        <v>1</v>
      </c>
    </row>
    <row r="23" spans="2:14" s="559" customFormat="1" ht="24.95" customHeight="1">
      <c r="B23" s="1204" t="str">
        <f>IF([1]ACCUEIL!B1=1,"Discounts, rebates, and rebates","Remises, rabais, et ristournes")</f>
        <v>Remises, rabais, et ristournes</v>
      </c>
      <c r="C23" s="1188"/>
      <c r="D23" s="1188"/>
      <c r="E23" s="1111"/>
      <c r="F23" s="1257">
        <f>'[1]CLASSE 6'!J30</f>
        <v>0</v>
      </c>
      <c r="G23" s="1257">
        <f>'[1]CLASSE 6'!F30</f>
        <v>0</v>
      </c>
      <c r="H23" s="1189">
        <f t="shared" si="0"/>
        <v>0</v>
      </c>
      <c r="I23" s="1256">
        <f t="shared" si="1"/>
        <v>0</v>
      </c>
      <c r="J23" s="559">
        <f t="shared" si="2"/>
        <v>1</v>
      </c>
      <c r="K23" s="559">
        <f t="shared" si="3"/>
        <v>0</v>
      </c>
      <c r="L23" s="559">
        <f t="shared" si="4"/>
        <v>1</v>
      </c>
    </row>
    <row r="24" spans="2:14" s="559" customFormat="1" ht="24.95" customHeight="1">
      <c r="B24" s="1258" t="str">
        <f>IF([1]ACCUEIL!B1=1,"TOTAL: RAW MATERIAL PURCHASES AND RELATED SUPPLIES","TOTAL: ACHATS MATIERES PREMIERES ET FOURNITURES LIEES")</f>
        <v>TOTAL: ACHATS MATIERES PREMIERES ET FOURNITURES LIEES</v>
      </c>
      <c r="C24" s="1191"/>
      <c r="D24" s="1191"/>
      <c r="E24" s="1116"/>
      <c r="F24" s="1259">
        <f>SUM(F18:F22)-F23</f>
        <v>0</v>
      </c>
      <c r="G24" s="1259">
        <f>SUM(G18:G22)-G23</f>
        <v>0</v>
      </c>
      <c r="H24" s="1189">
        <f t="shared" si="0"/>
        <v>0</v>
      </c>
      <c r="I24" s="1256">
        <f t="shared" si="1"/>
        <v>0</v>
      </c>
      <c r="J24" s="559">
        <f t="shared" si="2"/>
        <v>1</v>
      </c>
      <c r="K24" s="559">
        <f t="shared" si="3"/>
        <v>0</v>
      </c>
      <c r="L24" s="559">
        <f t="shared" si="4"/>
        <v>1</v>
      </c>
    </row>
    <row r="25" spans="2:14" s="559" customFormat="1" ht="24.95" customHeight="1">
      <c r="B25" s="1110" t="str">
        <f>IF([1]ACCUEIL!B1=1,"Consumables","Matières consommables")</f>
        <v>Matières consommables</v>
      </c>
      <c r="C25" s="1188"/>
      <c r="D25" s="1188"/>
      <c r="E25" s="1111"/>
      <c r="F25" s="216">
        <f>'[1]CLASSE 6'!I42</f>
        <v>0</v>
      </c>
      <c r="G25" s="216">
        <f>'[1]CLASSE 6'!E42</f>
        <v>0</v>
      </c>
      <c r="H25" s="1189">
        <f t="shared" si="0"/>
        <v>0</v>
      </c>
      <c r="I25" s="1256">
        <f t="shared" si="1"/>
        <v>0</v>
      </c>
      <c r="J25" s="559">
        <f t="shared" si="2"/>
        <v>1</v>
      </c>
      <c r="K25" s="559">
        <f t="shared" si="3"/>
        <v>0</v>
      </c>
      <c r="L25" s="559">
        <f t="shared" si="4"/>
        <v>1</v>
      </c>
    </row>
    <row r="26" spans="2:14" s="559" customFormat="1" ht="24.95" customHeight="1">
      <c r="B26" s="1110" t="str">
        <f>IF([1]ACCUEIL!B1=1,"Combustible material","Matières combustibles")</f>
        <v>Matières combustibles</v>
      </c>
      <c r="C26" s="1188"/>
      <c r="D26" s="1188"/>
      <c r="E26" s="1111"/>
      <c r="F26" s="216">
        <f>'[1]CLASSE 6'!I44</f>
        <v>0</v>
      </c>
      <c r="G26" s="216">
        <f>'[1]CLASSE 6'!E44</f>
        <v>0</v>
      </c>
      <c r="H26" s="1189">
        <f t="shared" si="0"/>
        <v>0</v>
      </c>
      <c r="I26" s="1256">
        <f t="shared" si="1"/>
        <v>0</v>
      </c>
      <c r="J26" s="559">
        <f t="shared" si="2"/>
        <v>1</v>
      </c>
      <c r="K26" s="559">
        <f t="shared" si="3"/>
        <v>0</v>
      </c>
      <c r="L26" s="559">
        <f t="shared" si="4"/>
        <v>1</v>
      </c>
    </row>
    <row r="27" spans="2:14" s="559" customFormat="1" ht="24.95" customHeight="1">
      <c r="B27" s="1110" t="str">
        <f>IF([1]ACCUEIL!B11,"Care products","Produits d'entretien")</f>
        <v>Produits d'entretien</v>
      </c>
      <c r="C27" s="1188"/>
      <c r="D27" s="1188"/>
      <c r="E27" s="1111"/>
      <c r="F27" s="216">
        <f>'[1]CLASSE 6'!I46</f>
        <v>0</v>
      </c>
      <c r="G27" s="216">
        <f>'[1]CLASSE 6'!E46</f>
        <v>0</v>
      </c>
      <c r="H27" s="1189">
        <f t="shared" si="0"/>
        <v>0</v>
      </c>
      <c r="I27" s="1256">
        <f t="shared" si="1"/>
        <v>0</v>
      </c>
      <c r="J27" s="559">
        <f t="shared" si="2"/>
        <v>1</v>
      </c>
      <c r="K27" s="559">
        <f t="shared" si="3"/>
        <v>0</v>
      </c>
      <c r="L27" s="559">
        <f t="shared" si="4"/>
        <v>1</v>
      </c>
    </row>
    <row r="28" spans="2:14" s="559" customFormat="1" ht="24.95" customHeight="1">
      <c r="B28" s="1110" t="str">
        <f>IF([1]ACCUEIL!B1=1,"Workshop, factory and management supplies","Fournitures d'atelier, d'usine et de gestion")</f>
        <v>Fournitures d'atelier, d'usine et de gestion</v>
      </c>
      <c r="C28" s="1188"/>
      <c r="D28" s="1188"/>
      <c r="E28" s="1111"/>
      <c r="F28" s="216">
        <f>'[1]CLASSE 6'!I48+'[1]CLASSE 6'!I52+'[1]CLASSE 6'!I54</f>
        <v>0</v>
      </c>
      <c r="G28" s="216">
        <f>'[1]CLASSE 6'!E48+'[1]CLASSE 6'!E52+'[1]CLASSE 6'!E54</f>
        <v>0</v>
      </c>
      <c r="H28" s="1189">
        <f t="shared" si="0"/>
        <v>0</v>
      </c>
      <c r="I28" s="1256">
        <f t="shared" si="1"/>
        <v>0</v>
      </c>
      <c r="J28" s="559">
        <f t="shared" si="2"/>
        <v>1</v>
      </c>
      <c r="K28" s="559">
        <f t="shared" si="3"/>
        <v>0</v>
      </c>
      <c r="L28" s="559">
        <f t="shared" si="4"/>
        <v>1</v>
      </c>
    </row>
    <row r="29" spans="2:14" s="559" customFormat="1" ht="24.95" customHeight="1">
      <c r="B29" s="1110" t="str">
        <f>IF([1]ACCUEIL!B1=1,"Water","Eau")</f>
        <v>Eau</v>
      </c>
      <c r="C29" s="1188"/>
      <c r="D29" s="1188"/>
      <c r="E29" s="1111"/>
      <c r="F29" s="216">
        <f>'[1]CLASSE 6'!I60</f>
        <v>0</v>
      </c>
      <c r="G29" s="216">
        <f>'[1]CLASSE 6'!E60</f>
        <v>0</v>
      </c>
      <c r="H29" s="1189">
        <f t="shared" si="0"/>
        <v>0</v>
      </c>
      <c r="I29" s="1256">
        <f t="shared" si="1"/>
        <v>0</v>
      </c>
      <c r="J29" s="559">
        <f t="shared" si="2"/>
        <v>1</v>
      </c>
      <c r="K29" s="559">
        <f t="shared" si="3"/>
        <v>0</v>
      </c>
      <c r="L29" s="559">
        <f t="shared" si="4"/>
        <v>1</v>
      </c>
    </row>
    <row r="30" spans="2:14" s="559" customFormat="1" ht="24.95" customHeight="1">
      <c r="B30" s="1110" t="str">
        <f>IF([1]ACCUEIL!B1=1,"electricity","Electricité")</f>
        <v>Electricité</v>
      </c>
      <c r="C30" s="1188"/>
      <c r="D30" s="1188"/>
      <c r="E30" s="1111"/>
      <c r="F30" s="216">
        <f>'[1]CLASSE 6'!I62</f>
        <v>0</v>
      </c>
      <c r="G30" s="216">
        <f>'[1]CLASSE 6'!E62</f>
        <v>0</v>
      </c>
      <c r="H30" s="1189">
        <f t="shared" si="0"/>
        <v>0</v>
      </c>
      <c r="I30" s="1256">
        <f t="shared" si="1"/>
        <v>0</v>
      </c>
      <c r="J30" s="559">
        <f t="shared" si="2"/>
        <v>1</v>
      </c>
      <c r="K30" s="559">
        <f t="shared" si="3"/>
        <v>0</v>
      </c>
      <c r="L30" s="559">
        <f t="shared" si="4"/>
        <v>1</v>
      </c>
    </row>
    <row r="31" spans="2:14" s="559" customFormat="1" ht="24.95" customHeight="1">
      <c r="B31" s="1110" t="str">
        <f>IF([1]ACCUEIL!B1=1,"Other energy","Autres énergie")</f>
        <v>Autres énergie</v>
      </c>
      <c r="C31" s="1188"/>
      <c r="D31" s="1188"/>
      <c r="E31" s="1111"/>
      <c r="F31" s="216">
        <f>'[1]CLASSE 6'!I64</f>
        <v>0</v>
      </c>
      <c r="G31" s="216">
        <f>'[1]CLASSE 6'!E64</f>
        <v>0</v>
      </c>
      <c r="H31" s="1189">
        <f t="shared" si="0"/>
        <v>0</v>
      </c>
      <c r="I31" s="1256">
        <f t="shared" si="1"/>
        <v>0</v>
      </c>
      <c r="J31" s="559">
        <f t="shared" si="2"/>
        <v>1</v>
      </c>
      <c r="K31" s="559">
        <f t="shared" si="3"/>
        <v>0</v>
      </c>
      <c r="L31" s="559">
        <f t="shared" si="4"/>
        <v>1</v>
      </c>
    </row>
    <row r="32" spans="2:14" s="559" customFormat="1" ht="24.95" customHeight="1">
      <c r="B32" s="1110" t="str">
        <f>IF([1]ACCUEIL!B11,"non-storable maintenance supplies","fournitures d'entretien non stockables")</f>
        <v>fournitures d'entretien non stockables</v>
      </c>
      <c r="C32" s="1188"/>
      <c r="D32" s="1188"/>
      <c r="E32" s="1111"/>
      <c r="F32" s="216">
        <f>'[1]CLASSE 6'!I66</f>
        <v>0</v>
      </c>
      <c r="G32" s="216">
        <f>'[1]CLASSE 6'!E66</f>
        <v>0</v>
      </c>
      <c r="H32" s="1189">
        <f t="shared" si="0"/>
        <v>0</v>
      </c>
      <c r="I32" s="1256">
        <f t="shared" si="1"/>
        <v>0</v>
      </c>
      <c r="J32" s="559">
        <f t="shared" si="2"/>
        <v>1</v>
      </c>
      <c r="K32" s="559">
        <f t="shared" si="3"/>
        <v>0</v>
      </c>
      <c r="L32" s="559">
        <f t="shared" si="4"/>
        <v>1</v>
      </c>
    </row>
    <row r="33" spans="2:12" s="559" customFormat="1" ht="24.95" customHeight="1">
      <c r="B33" s="1110" t="str">
        <f>IF([1]ACCUEIL!B1=1,"Office supply","Fourniture de bureau")</f>
        <v>Fourniture de bureau</v>
      </c>
      <c r="C33" s="1188"/>
      <c r="D33" s="1188"/>
      <c r="E33" s="1111"/>
      <c r="F33" s="216">
        <f>'[1]CLASSE 6'!I68</f>
        <v>0</v>
      </c>
      <c r="G33" s="216">
        <f>'[1]CLASSE 6'!E68</f>
        <v>0</v>
      </c>
      <c r="H33" s="1189">
        <f t="shared" si="0"/>
        <v>0</v>
      </c>
      <c r="I33" s="1256">
        <f t="shared" si="1"/>
        <v>0</v>
      </c>
      <c r="J33" s="559">
        <f t="shared" si="2"/>
        <v>1</v>
      </c>
      <c r="K33" s="559">
        <f t="shared" si="3"/>
        <v>0</v>
      </c>
      <c r="L33" s="559">
        <f t="shared" si="4"/>
        <v>1</v>
      </c>
    </row>
    <row r="34" spans="2:12" s="559" customFormat="1" ht="24.95" customHeight="1">
      <c r="B34" s="1110" t="str">
        <f>IF([1]ACCUEIL!B1=1,"Small equipment and tools","Petit matériel et outillages")</f>
        <v>Petit matériel et outillages</v>
      </c>
      <c r="C34" s="1188"/>
      <c r="D34" s="1188"/>
      <c r="E34" s="1111"/>
      <c r="F34" s="216">
        <f>'[1]CLASSE 6'!I70</f>
        <v>0</v>
      </c>
      <c r="G34" s="216">
        <f>'[1]CLASSE 6'!E70</f>
        <v>0</v>
      </c>
      <c r="H34" s="1189">
        <f t="shared" si="0"/>
        <v>0</v>
      </c>
      <c r="I34" s="1256">
        <f t="shared" si="1"/>
        <v>0</v>
      </c>
      <c r="J34" s="559">
        <f t="shared" si="2"/>
        <v>1</v>
      </c>
      <c r="K34" s="559">
        <f t="shared" si="3"/>
        <v>0</v>
      </c>
      <c r="L34" s="559">
        <f t="shared" si="4"/>
        <v>1</v>
      </c>
    </row>
    <row r="35" spans="2:12" s="559" customFormat="1" ht="24.95" customHeight="1">
      <c r="B35" s="1110" t="str">
        <f>IF([1]ACCUEIL!B1=1,"Study purchases, services, works","Achats études, prestations de services, de travaux ")</f>
        <v xml:space="preserve">Achats études, prestations de services, de travaux </v>
      </c>
      <c r="C35" s="1188"/>
      <c r="D35" s="1188"/>
      <c r="E35" s="1111"/>
      <c r="F35" s="216">
        <f>'[1]CLASSE 6'!I72</f>
        <v>0</v>
      </c>
      <c r="G35" s="216">
        <f>'[1]CLASSE 6'!E72</f>
        <v>0</v>
      </c>
      <c r="H35" s="1189">
        <f t="shared" si="0"/>
        <v>0</v>
      </c>
      <c r="I35" s="1256">
        <f t="shared" si="1"/>
        <v>0</v>
      </c>
      <c r="J35" s="559">
        <f t="shared" si="2"/>
        <v>1</v>
      </c>
      <c r="K35" s="559">
        <f t="shared" si="3"/>
        <v>0</v>
      </c>
      <c r="L35" s="559">
        <f t="shared" si="4"/>
        <v>1</v>
      </c>
    </row>
    <row r="36" spans="2:12" s="559" customFormat="1" ht="24.95" customHeight="1">
      <c r="B36" s="1260" t="str">
        <f>IF([1]ACCUEIL!B1=1,"material and equipment","matériel et équipements")</f>
        <v>matériel et équipements</v>
      </c>
      <c r="C36" s="1188"/>
      <c r="D36" s="1188"/>
      <c r="E36" s="1111"/>
      <c r="F36" s="1261">
        <f>'[1]CLASSE 6'!I74</f>
        <v>0</v>
      </c>
      <c r="G36" s="1261">
        <f>'[1]CLASSE 6'!E74</f>
        <v>0</v>
      </c>
      <c r="H36" s="1189">
        <f t="shared" si="0"/>
        <v>0</v>
      </c>
      <c r="I36" s="1256">
        <f t="shared" si="1"/>
        <v>0</v>
      </c>
      <c r="J36" s="559">
        <f t="shared" si="2"/>
        <v>1</v>
      </c>
      <c r="K36" s="559">
        <f t="shared" si="3"/>
        <v>0</v>
      </c>
      <c r="L36" s="559">
        <f t="shared" si="4"/>
        <v>1</v>
      </c>
    </row>
    <row r="37" spans="2:12" s="559" customFormat="1" ht="24.95" customHeight="1">
      <c r="B37" s="1110" t="str">
        <f>IF([1]ACCUEIL!B1=1,"Packaging purchases","Achats d'emballages")</f>
        <v>Achats d'emballages</v>
      </c>
      <c r="C37" s="1188"/>
      <c r="D37" s="1188"/>
      <c r="E37" s="1111"/>
      <c r="F37" s="216">
        <f>'[1]CLASSE 6'!I90-('[1]CLASSE 6'!I86+'[1]CLASSE 6'!I88)</f>
        <v>0</v>
      </c>
      <c r="G37" s="216">
        <f>'[1]CLASSE 6'!E90-('[1]CLASSE 6'!E86+'[1]CLASSE 6'!E88)</f>
        <v>0</v>
      </c>
      <c r="H37" s="1189">
        <f t="shared" si="0"/>
        <v>0</v>
      </c>
      <c r="I37" s="1256">
        <f t="shared" si="1"/>
        <v>0</v>
      </c>
      <c r="J37" s="559">
        <f t="shared" si="2"/>
        <v>1</v>
      </c>
      <c r="K37" s="559">
        <f t="shared" si="3"/>
        <v>0</v>
      </c>
      <c r="L37" s="559">
        <f t="shared" si="4"/>
        <v>1</v>
      </c>
    </row>
    <row r="38" spans="2:12" s="559" customFormat="1" ht="24.95" customHeight="1">
      <c r="B38" s="1110" t="str">
        <f>IF([1]ACCUEIL!B1=1,"Fees on purchases","Frais sur achats")</f>
        <v>Frais sur achats</v>
      </c>
      <c r="C38" s="1188"/>
      <c r="D38" s="1188"/>
      <c r="E38" s="1111"/>
      <c r="F38" s="216">
        <f>+'[1]CLASSE 6'!I50</f>
        <v>0</v>
      </c>
      <c r="G38" s="216">
        <f>+'[1]CLASSE 6'!E50</f>
        <v>0</v>
      </c>
      <c r="H38" s="1189">
        <f t="shared" si="0"/>
        <v>0</v>
      </c>
      <c r="I38" s="1256">
        <f t="shared" si="1"/>
        <v>0</v>
      </c>
      <c r="J38" s="559">
        <f t="shared" si="2"/>
        <v>1</v>
      </c>
      <c r="K38" s="559">
        <f t="shared" si="3"/>
        <v>0</v>
      </c>
      <c r="L38" s="559">
        <f t="shared" si="4"/>
        <v>1</v>
      </c>
    </row>
    <row r="39" spans="2:12" s="559" customFormat="1" ht="24.95" customHeight="1">
      <c r="B39" s="1110" t="str">
        <f>IF([1]ACCUEIL!B1=1,"Discounts, rebates, and rebates","Remises, rabais, et ristournes")</f>
        <v>Remises, rabais, et ristournes</v>
      </c>
      <c r="C39" s="1188"/>
      <c r="D39" s="1188"/>
      <c r="E39" s="1111"/>
      <c r="F39" s="216">
        <f>+-'[1]CLASSE 6'!J76</f>
        <v>0</v>
      </c>
      <c r="G39" s="216">
        <f>+-'[1]CLASSE 6'!F76</f>
        <v>0</v>
      </c>
      <c r="H39" s="1189">
        <f t="shared" si="0"/>
        <v>0</v>
      </c>
      <c r="I39" s="1256">
        <f t="shared" si="1"/>
        <v>0</v>
      </c>
      <c r="J39" s="559">
        <f t="shared" si="2"/>
        <v>1</v>
      </c>
      <c r="K39" s="559">
        <f t="shared" si="3"/>
        <v>0</v>
      </c>
      <c r="L39" s="559">
        <f t="shared" si="4"/>
        <v>1</v>
      </c>
    </row>
    <row r="40" spans="2:12" s="559" customFormat="1" ht="24.95" customHeight="1">
      <c r="B40" s="1115" t="str">
        <f>IF([1]ACCUEIL!B1=1,"TOTAL: OTHER PURCHASES","TOTAL: AUTRES ACHATS")</f>
        <v>TOTAL: AUTRES ACHATS</v>
      </c>
      <c r="C40" s="1191"/>
      <c r="D40" s="1191"/>
      <c r="E40" s="1116"/>
      <c r="F40" s="210">
        <f>SUM(F25:F38)-F39</f>
        <v>0</v>
      </c>
      <c r="G40" s="210">
        <f>SUM(G25:G38)-G39</f>
        <v>0</v>
      </c>
      <c r="H40" s="1189">
        <f>IF(I40=0,0,L40)</f>
        <v>0</v>
      </c>
      <c r="I40" s="1256">
        <f t="shared" si="1"/>
        <v>0</v>
      </c>
      <c r="J40" s="559">
        <f t="shared" si="2"/>
        <v>1</v>
      </c>
      <c r="K40" s="559">
        <f t="shared" si="3"/>
        <v>0</v>
      </c>
      <c r="L40" s="559">
        <f t="shared" si="4"/>
        <v>1</v>
      </c>
    </row>
    <row r="41" spans="2:12" s="559" customFormat="1" ht="24.95" customHeight="1">
      <c r="B41" s="1178" t="str">
        <f>IF([1]ACCUEIL!B1=1,"(2): 'Region' indicates the WAEMU or CAEMC zone","(2): 'Région' indique la zone UEMOA ou CEMAC")</f>
        <v>(2): 'Région' indique la zone UEMOA ou CEMAC</v>
      </c>
      <c r="C41" s="1178"/>
      <c r="D41" s="1178"/>
      <c r="E41" s="1178"/>
      <c r="F41" s="1178"/>
      <c r="G41" s="1178"/>
      <c r="H41" s="1178"/>
    </row>
    <row r="42" spans="2:12">
      <c r="C42" s="118"/>
      <c r="D42" s="118"/>
      <c r="E42" s="118"/>
      <c r="F42" s="118"/>
      <c r="G42" s="118"/>
      <c r="H42" s="118"/>
    </row>
    <row r="43" spans="2:12">
      <c r="B43" s="1108" t="str">
        <f>'NOTE 21'!B59</f>
        <v>COMMENTAIRE</v>
      </c>
      <c r="C43" s="1978"/>
      <c r="D43" s="1978"/>
      <c r="E43" s="1978"/>
      <c r="F43" s="1978"/>
      <c r="G43" s="1978"/>
      <c r="H43" s="1978"/>
    </row>
    <row r="44" spans="2:12">
      <c r="B44" s="118"/>
      <c r="C44" s="1976">
        <f>'[1]NOTE 22'!C44:H44</f>
        <v>0</v>
      </c>
      <c r="D44" s="1976"/>
      <c r="E44" s="1976"/>
      <c r="F44" s="1976"/>
      <c r="G44" s="1976"/>
      <c r="H44" s="1976"/>
    </row>
    <row r="45" spans="2:12">
      <c r="B45" s="118"/>
      <c r="C45" s="1976">
        <f>'[1]NOTE 22'!C45:H45</f>
        <v>0</v>
      </c>
      <c r="D45" s="1976"/>
      <c r="E45" s="1976"/>
      <c r="F45" s="1976"/>
      <c r="G45" s="1976"/>
      <c r="H45" s="1976"/>
    </row>
    <row r="46" spans="2:12">
      <c r="B46" s="118"/>
      <c r="C46" s="1976">
        <f>'[1]NOTE 22'!C46:H46</f>
        <v>0</v>
      </c>
      <c r="D46" s="1976"/>
      <c r="E46" s="1976"/>
      <c r="F46" s="1976"/>
      <c r="G46" s="1976"/>
      <c r="H46" s="1976"/>
    </row>
    <row r="47" spans="2:12">
      <c r="C47" s="1976">
        <f>'[1]NOTE 22'!C47:H47</f>
        <v>0</v>
      </c>
      <c r="D47" s="1976"/>
      <c r="E47" s="1976"/>
      <c r="F47" s="1976"/>
      <c r="G47" s="1976"/>
      <c r="H47" s="1976"/>
    </row>
    <row r="48" spans="2:12">
      <c r="C48" s="1976">
        <f>'[1]NOTE 22'!C48:H48</f>
        <v>0</v>
      </c>
      <c r="D48" s="1976"/>
      <c r="E48" s="1976"/>
      <c r="F48" s="1976"/>
      <c r="G48" s="1976"/>
      <c r="H48" s="1976"/>
    </row>
    <row r="49" spans="3:8">
      <c r="C49" s="1976">
        <f>'[1]NOTE 22'!C49:H49</f>
        <v>0</v>
      </c>
      <c r="D49" s="1976"/>
      <c r="E49" s="1976"/>
      <c r="F49" s="1976"/>
      <c r="G49" s="1976"/>
      <c r="H49" s="1976"/>
    </row>
    <row r="50" spans="3:8">
      <c r="C50" s="1976">
        <f>'[1]NOTE 22'!C50:H50</f>
        <v>0</v>
      </c>
      <c r="D50" s="1976"/>
      <c r="E50" s="1976"/>
      <c r="F50" s="1976"/>
      <c r="G50" s="1976"/>
      <c r="H50" s="1976"/>
    </row>
    <row r="51" spans="3:8">
      <c r="C51" s="1976">
        <f>'[1]NOTE 22'!C51:H51</f>
        <v>0</v>
      </c>
      <c r="D51" s="1976"/>
      <c r="E51" s="1976"/>
      <c r="F51" s="1976"/>
      <c r="G51" s="1976"/>
      <c r="H51" s="1976"/>
    </row>
    <row r="52" spans="3:8">
      <c r="C52" s="1976">
        <f>'[1]NOTE 22'!C52:H52</f>
        <v>0</v>
      </c>
      <c r="D52" s="1976"/>
      <c r="E52" s="1976"/>
      <c r="F52" s="1976"/>
      <c r="G52" s="1976"/>
      <c r="H52" s="1976"/>
    </row>
    <row r="53" spans="3:8">
      <c r="C53" s="1976">
        <f>'[1]NOTE 22'!C53:H53</f>
        <v>0</v>
      </c>
      <c r="D53" s="1976"/>
      <c r="E53" s="1976"/>
      <c r="F53" s="1976"/>
      <c r="G53" s="1976"/>
      <c r="H53" s="1976"/>
    </row>
  </sheetData>
  <sheetProtection selectLockedCells="1"/>
  <mergeCells count="16">
    <mergeCell ref="C50:H50"/>
    <mergeCell ref="C51:H51"/>
    <mergeCell ref="C52:H52"/>
    <mergeCell ref="C53:H53"/>
    <mergeCell ref="C45:H45"/>
    <mergeCell ref="C46:H46"/>
    <mergeCell ref="C47:H47"/>
    <mergeCell ref="C48:H48"/>
    <mergeCell ref="C49:H49"/>
    <mergeCell ref="C44:H44"/>
    <mergeCell ref="B1:H1"/>
    <mergeCell ref="G2:H3"/>
    <mergeCell ref="B9:H9"/>
    <mergeCell ref="B10:E10"/>
    <mergeCell ref="C43:H43"/>
    <mergeCell ref="B19:E19"/>
  </mergeCells>
  <conditionalFormatting sqref="G5:H5 G6 D6">
    <cfRule type="expression" dxfId="12" priority="1">
      <formula>#REF!=1</formula>
    </cfRule>
  </conditionalFormatting>
  <printOptions horizontalCentered="1"/>
  <pageMargins left="0.78740157480314965" right="0" top="0.59055118110236227" bottom="0.19685039370078741" header="0.31496062992125984" footer="0.31496062992125984"/>
  <pageSetup paperSize="9" scale="69" orientation="portrait" r:id="rId1"/>
  <headerFooter>
    <oddHeader>&amp;C&amp;"-,Gras"&amp;14Page &amp;P / &amp;N</oddHead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Feuil49">
    <pageSetUpPr fitToPage="1"/>
  </sheetPr>
  <dimension ref="B1:K30"/>
  <sheetViews>
    <sheetView showZeros="0" zoomScale="80" zoomScaleNormal="80" zoomScaleSheetLayoutView="100" workbookViewId="0">
      <selection activeCell="A10" sqref="A10:XFD10"/>
    </sheetView>
  </sheetViews>
  <sheetFormatPr baseColWidth="10" defaultColWidth="11.42578125" defaultRowHeight="15.75"/>
  <cols>
    <col min="1" max="1" width="18.5703125" style="9" customWidth="1"/>
    <col min="2" max="2" width="26.7109375" style="9" customWidth="1"/>
    <col min="3" max="3" width="15.140625" style="9" customWidth="1"/>
    <col min="4" max="4" width="26.85546875" style="9" customWidth="1"/>
    <col min="5" max="5" width="17.85546875" style="9" customWidth="1"/>
    <col min="6" max="6" width="22.42578125" style="9" bestFit="1" customWidth="1"/>
    <col min="7" max="7" width="11.28515625" style="9" customWidth="1"/>
    <col min="8" max="11" width="11.42578125" style="9" hidden="1" customWidth="1"/>
    <col min="12" max="16384" width="11.42578125" style="9"/>
  </cols>
  <sheetData>
    <row r="1" spans="2:11">
      <c r="B1" s="1977"/>
      <c r="C1" s="1977"/>
      <c r="D1" s="1977"/>
      <c r="E1" s="1977"/>
      <c r="F1" s="1977"/>
      <c r="G1" s="1977"/>
    </row>
    <row r="2" spans="2:11">
      <c r="B2" s="118"/>
      <c r="C2" s="118"/>
      <c r="D2" s="118"/>
      <c r="E2" s="118"/>
      <c r="F2" s="1724" t="str">
        <f>IF([1]ACCUEIL!B1=1,"NOTE 23
NORMAL SYSTEM","NOTE 23
SYSTEME NORMAL")</f>
        <v>NOTE 23
SYSTEME NORMAL</v>
      </c>
      <c r="G2" s="1725"/>
    </row>
    <row r="3" spans="2:11">
      <c r="B3" s="118"/>
      <c r="C3" s="118"/>
      <c r="D3" s="115"/>
      <c r="E3" s="118"/>
      <c r="F3" s="1726"/>
      <c r="G3" s="1727"/>
    </row>
    <row r="4" spans="2:11" ht="18" customHeight="1">
      <c r="B4" s="127" t="str">
        <f>'NOTE 14'!B6</f>
        <v>Désignation entité:</v>
      </c>
      <c r="C4" s="1105" t="str">
        <f>'NOTE 14'!C6</f>
        <v/>
      </c>
      <c r="D4" s="1105"/>
      <c r="E4" s="1107"/>
      <c r="F4" s="118"/>
      <c r="G4" s="118"/>
    </row>
    <row r="5" spans="2:11" ht="21" customHeight="1">
      <c r="B5" s="127" t="str">
        <f>'NOTE 14'!B7</f>
        <v>Sigle usuel :</v>
      </c>
      <c r="C5" s="1105" t="str">
        <f>'NOTE 22'!C5</f>
        <v/>
      </c>
      <c r="D5" s="1181"/>
      <c r="E5" s="1183"/>
      <c r="F5" s="1182"/>
      <c r="G5" s="1182"/>
    </row>
    <row r="6" spans="2:11" ht="20.25" customHeight="1">
      <c r="B6" s="127" t="str">
        <f>'NOTE 14'!B8</f>
        <v>Adresse:</v>
      </c>
      <c r="C6" s="1105">
        <f>'NOTE 22'!C6</f>
        <v>0</v>
      </c>
      <c r="D6" s="1247"/>
      <c r="E6" s="40"/>
      <c r="F6" s="124" t="str">
        <f>'NOTE 22'!G6</f>
        <v>BP:</v>
      </c>
      <c r="G6" s="1103" t="str">
        <f>'NOTE 22'!H6</f>
        <v/>
      </c>
    </row>
    <row r="7" spans="2:11" ht="21" customHeight="1">
      <c r="B7" s="127" t="str">
        <f>'NOTE 14'!B9</f>
        <v>Numéro d'identification:</v>
      </c>
      <c r="C7" s="1105" t="str">
        <f>'NOTE 14'!C9</f>
        <v/>
      </c>
      <c r="D7" s="126" t="str">
        <f>'NOTE 14'!D9</f>
        <v xml:space="preserve">   Exercice clos le 31 - 12- </v>
      </c>
      <c r="E7" s="127">
        <f>'NOTE 14'!E9</f>
        <v>2025</v>
      </c>
      <c r="F7" s="126" t="str">
        <f>'NOTE 14'!F9</f>
        <v xml:space="preserve">    Durée (en mois):</v>
      </c>
      <c r="G7" s="1103">
        <f>'NOTE 14'!G9</f>
        <v>12</v>
      </c>
    </row>
    <row r="8" spans="2:11">
      <c r="B8" s="118"/>
      <c r="C8" s="115"/>
      <c r="D8" s="115"/>
      <c r="E8" s="1198"/>
      <c r="F8" s="115"/>
      <c r="G8" s="115"/>
    </row>
    <row r="9" spans="2:11" ht="26.25" customHeight="1">
      <c r="B9" s="1807" t="str">
        <f>IF([1]ACCUEIL!B1=1,"NOTE 23 TRANSPORT","NOTE 23 TRANSPORTS")</f>
        <v>NOTE 23 TRANSPORTS</v>
      </c>
      <c r="C9" s="1807"/>
      <c r="D9" s="1807"/>
      <c r="E9" s="1807"/>
      <c r="F9" s="1807"/>
      <c r="G9" s="1807"/>
    </row>
    <row r="10" spans="2:11" ht="39" customHeight="1">
      <c r="B10" s="1969" t="str">
        <f>'NOTE 22'!B10:E10</f>
        <v xml:space="preserve">      RUBRIQUES</v>
      </c>
      <c r="C10" s="1970"/>
      <c r="D10" s="1971"/>
      <c r="E10" s="1185" t="str">
        <f>'NOTE 22'!F10</f>
        <v>Année 2025</v>
      </c>
      <c r="F10" s="1185" t="str">
        <f>'NOTE 22'!G10</f>
        <v>Année 2024</v>
      </c>
      <c r="G10" s="1244" t="str">
        <f>'NOTE 22'!H10</f>
        <v xml:space="preserve">Variation en % </v>
      </c>
    </row>
    <row r="11" spans="2:11" s="559" customFormat="1" ht="24.95" customHeight="1">
      <c r="B11" s="1110" t="str">
        <f>IF([1]ACCUEIL!B1=1,"Transport on sales","Transports sur ventes")</f>
        <v>Transports sur ventes</v>
      </c>
      <c r="C11" s="1188"/>
      <c r="D11" s="1111"/>
      <c r="E11" s="216">
        <f>'[1]CLASSE 6'!I91</f>
        <v>0</v>
      </c>
      <c r="F11" s="216">
        <f>'[1]CLASSE 6'!E91</f>
        <v>0</v>
      </c>
      <c r="G11" s="1189">
        <f t="shared" ref="G11:G18" si="0">IF(H11=0,0,K11)</f>
        <v>0</v>
      </c>
      <c r="H11" s="559">
        <f>E11-F11</f>
        <v>0</v>
      </c>
      <c r="I11" s="559">
        <f>IF(F11=0,1,IF(F11&lt;0,(E11-F11)/-F11,(E11-F11)/F11))</f>
        <v>1</v>
      </c>
      <c r="J11" s="559">
        <f>IF(H11=E11,IF(E11&lt;0,-1,0))</f>
        <v>0</v>
      </c>
      <c r="K11" s="559">
        <f>IF(J11=-1,-1,I11)</f>
        <v>1</v>
      </c>
    </row>
    <row r="12" spans="2:11" s="559" customFormat="1" ht="24.95" customHeight="1">
      <c r="B12" s="1110" t="str">
        <f>IF([1]ACCUEIL!B1=1,"Transport on behalf of third parties","Transports pour le compte de tiers")</f>
        <v>Transports pour le compte de tiers</v>
      </c>
      <c r="C12" s="1188"/>
      <c r="D12" s="1111"/>
      <c r="E12" s="216">
        <f>'[1]CLASSE 6'!I92</f>
        <v>0</v>
      </c>
      <c r="F12" s="216">
        <f>'[1]CLASSE 6'!E92</f>
        <v>0</v>
      </c>
      <c r="G12" s="1189">
        <f t="shared" si="0"/>
        <v>0</v>
      </c>
      <c r="H12" s="559">
        <f t="shared" ref="H12:H18" si="1">E12-F12</f>
        <v>0</v>
      </c>
      <c r="I12" s="559">
        <f t="shared" ref="I12:I18" si="2">IF(F12=0,1,IF(F12&lt;0,(E12-F12)/-F12,(E12-F12)/F12))</f>
        <v>1</v>
      </c>
      <c r="J12" s="559">
        <f t="shared" ref="J12:J18" si="3">IF(H12=E12,IF(E12&lt;0,-1,0))</f>
        <v>0</v>
      </c>
      <c r="K12" s="559">
        <f t="shared" ref="K12:K18" si="4">IF(J12=-1,-1,I12)</f>
        <v>1</v>
      </c>
    </row>
    <row r="13" spans="2:11" s="559" customFormat="1" ht="24.95" customHeight="1">
      <c r="B13" s="1110" t="str">
        <f>IF([1]ACCUEIL!B1=1,"Personal transport","Transport du personnel")</f>
        <v>Transport du personnel</v>
      </c>
      <c r="C13" s="1188"/>
      <c r="D13" s="1111"/>
      <c r="E13" s="216">
        <f>'[1]CLASSE 6'!I93</f>
        <v>0</v>
      </c>
      <c r="F13" s="216">
        <f>'[1]CLASSE 6'!E93</f>
        <v>0</v>
      </c>
      <c r="G13" s="1189">
        <f t="shared" si="0"/>
        <v>0</v>
      </c>
      <c r="H13" s="559">
        <f t="shared" si="1"/>
        <v>0</v>
      </c>
      <c r="I13" s="559">
        <f t="shared" si="2"/>
        <v>1</v>
      </c>
      <c r="J13" s="559">
        <f t="shared" si="3"/>
        <v>0</v>
      </c>
      <c r="K13" s="559">
        <f t="shared" si="4"/>
        <v>1</v>
      </c>
    </row>
    <row r="14" spans="2:11" s="559" customFormat="1" ht="24.95" customHeight="1">
      <c r="B14" s="1110" t="str">
        <f>IF([1]ACCUEIL!B1=1,"Transport of folds","Transports de plis")</f>
        <v>Transports de plis</v>
      </c>
      <c r="C14" s="1188"/>
      <c r="D14" s="1111"/>
      <c r="E14" s="216">
        <f>'[1]CLASSE 6'!I94</f>
        <v>0</v>
      </c>
      <c r="F14" s="216">
        <f>'[1]CLASSE 6'!E94</f>
        <v>0</v>
      </c>
      <c r="G14" s="1189">
        <f t="shared" si="0"/>
        <v>0</v>
      </c>
      <c r="H14" s="559">
        <f t="shared" si="1"/>
        <v>0</v>
      </c>
      <c r="I14" s="559">
        <f t="shared" si="2"/>
        <v>1</v>
      </c>
      <c r="J14" s="559">
        <f t="shared" si="3"/>
        <v>0</v>
      </c>
      <c r="K14" s="559">
        <f t="shared" si="4"/>
        <v>1</v>
      </c>
    </row>
    <row r="15" spans="2:11" s="559" customFormat="1" ht="24.95" customHeight="1">
      <c r="B15" s="1110" t="str">
        <f>IF([1]ACCUEIL!B1=1,"Travel travel (transport)","Voyage déplacement (transport)")</f>
        <v>Voyage déplacement (transport)</v>
      </c>
      <c r="C15" s="1188"/>
      <c r="D15" s="1111"/>
      <c r="E15" s="216">
        <f>+'[1]CLASSE 6'!I96</f>
        <v>0</v>
      </c>
      <c r="F15" s="216">
        <f>+'[1]CLASSE 6'!E96</f>
        <v>0</v>
      </c>
      <c r="G15" s="1189">
        <f t="shared" si="0"/>
        <v>0</v>
      </c>
      <c r="H15" s="559">
        <f t="shared" si="1"/>
        <v>0</v>
      </c>
      <c r="I15" s="559">
        <f t="shared" si="2"/>
        <v>1</v>
      </c>
      <c r="J15" s="559">
        <f t="shared" si="3"/>
        <v>0</v>
      </c>
      <c r="K15" s="559">
        <f t="shared" si="4"/>
        <v>1</v>
      </c>
    </row>
    <row r="16" spans="2:11" s="559" customFormat="1" ht="24.95" customHeight="1">
      <c r="B16" s="1110" t="str">
        <f>IF([1]ACCUEIL!B1=1,"Transport between establishments or sites","Transport entre établissements ou chantiers")</f>
        <v>Transport entre établissements ou chantiers</v>
      </c>
      <c r="C16" s="1188"/>
      <c r="D16" s="1111"/>
      <c r="E16" s="216">
        <f>+'[1]CLASSE 6'!I98</f>
        <v>0</v>
      </c>
      <c r="F16" s="216">
        <f>+'[1]CLASSE 6'!E98</f>
        <v>0</v>
      </c>
      <c r="G16" s="1189">
        <f t="shared" si="0"/>
        <v>0</v>
      </c>
      <c r="H16" s="559">
        <f t="shared" si="1"/>
        <v>0</v>
      </c>
      <c r="I16" s="559">
        <f t="shared" si="2"/>
        <v>1</v>
      </c>
      <c r="J16" s="559">
        <f t="shared" si="3"/>
        <v>0</v>
      </c>
      <c r="K16" s="559">
        <f t="shared" si="4"/>
        <v>1</v>
      </c>
    </row>
    <row r="17" spans="2:11" s="559" customFormat="1" ht="24.95" customHeight="1">
      <c r="B17" s="1110" t="str">
        <f>IF([1]ACCUEIL!B1=1,"Administrative transport","Transports administratifs")</f>
        <v>Transports administratifs</v>
      </c>
      <c r="C17" s="1188"/>
      <c r="D17" s="1111"/>
      <c r="E17" s="216">
        <f>+'[1]CLASSE 6'!I100</f>
        <v>0</v>
      </c>
      <c r="F17" s="216">
        <f>+'[1]CLASSE 6'!E100</f>
        <v>0</v>
      </c>
      <c r="G17" s="1189">
        <f t="shared" si="0"/>
        <v>0</v>
      </c>
      <c r="H17" s="559">
        <f t="shared" si="1"/>
        <v>0</v>
      </c>
      <c r="I17" s="559">
        <f t="shared" si="2"/>
        <v>1</v>
      </c>
      <c r="J17" s="559">
        <f t="shared" si="3"/>
        <v>0</v>
      </c>
      <c r="K17" s="559">
        <f t="shared" si="4"/>
        <v>1</v>
      </c>
    </row>
    <row r="18" spans="2:11" s="559" customFormat="1" ht="24.95" customHeight="1">
      <c r="B18" s="1115" t="s">
        <v>25</v>
      </c>
      <c r="C18" s="1191"/>
      <c r="D18" s="1116"/>
      <c r="E18" s="210">
        <f>SUM(E11:E17)</f>
        <v>0</v>
      </c>
      <c r="F18" s="210">
        <f>SUM(F11:F17)</f>
        <v>0</v>
      </c>
      <c r="G18" s="1189">
        <f t="shared" si="0"/>
        <v>0</v>
      </c>
      <c r="H18" s="559">
        <f t="shared" si="1"/>
        <v>0</v>
      </c>
      <c r="I18" s="559">
        <f t="shared" si="2"/>
        <v>1</v>
      </c>
      <c r="J18" s="559">
        <f t="shared" si="3"/>
        <v>0</v>
      </c>
      <c r="K18" s="559">
        <f t="shared" si="4"/>
        <v>1</v>
      </c>
    </row>
    <row r="19" spans="2:11">
      <c r="B19" s="118"/>
      <c r="C19" s="118"/>
      <c r="D19" s="118"/>
      <c r="E19" s="118"/>
      <c r="F19" s="118"/>
      <c r="G19" s="118"/>
    </row>
    <row r="20" spans="2:11">
      <c r="B20" s="1108" t="str">
        <f>'NOTE 22'!B43</f>
        <v>COMMENTAIRE</v>
      </c>
      <c r="C20" s="1733">
        <f>'[1]NOTE 23'!C20:G20</f>
        <v>0</v>
      </c>
      <c r="D20" s="1733"/>
      <c r="E20" s="1733"/>
      <c r="F20" s="1733"/>
      <c r="G20" s="1733"/>
    </row>
    <row r="21" spans="2:11">
      <c r="B21" s="118"/>
      <c r="C21" s="1733">
        <f>'[1]NOTE 23'!C21:G21</f>
        <v>0</v>
      </c>
      <c r="D21" s="1733"/>
      <c r="E21" s="1733"/>
      <c r="F21" s="1733"/>
      <c r="G21" s="1733"/>
    </row>
    <row r="22" spans="2:11">
      <c r="B22" s="118"/>
      <c r="C22" s="1733">
        <f>'[1]NOTE 23'!C22:G22</f>
        <v>0</v>
      </c>
      <c r="D22" s="1733"/>
      <c r="E22" s="1733"/>
      <c r="F22" s="1733"/>
      <c r="G22" s="1733"/>
    </row>
    <row r="23" spans="2:11">
      <c r="B23" s="118"/>
      <c r="C23" s="1733">
        <f>'[1]NOTE 23'!C23:G23</f>
        <v>0</v>
      </c>
      <c r="D23" s="1733"/>
      <c r="E23" s="1733"/>
      <c r="F23" s="1733"/>
      <c r="G23" s="1733"/>
    </row>
    <row r="24" spans="2:11">
      <c r="B24" s="118"/>
      <c r="C24" s="1733">
        <f>'[1]NOTE 23'!C24:G24</f>
        <v>0</v>
      </c>
      <c r="D24" s="1733"/>
      <c r="E24" s="1733"/>
      <c r="F24" s="1733"/>
      <c r="G24" s="1733"/>
    </row>
    <row r="25" spans="2:11">
      <c r="C25" s="1733">
        <f>'[1]NOTE 23'!C25:G25</f>
        <v>0</v>
      </c>
      <c r="D25" s="1733"/>
      <c r="E25" s="1733"/>
      <c r="F25" s="1733"/>
      <c r="G25" s="1733"/>
    </row>
    <row r="26" spans="2:11">
      <c r="C26" s="1733">
        <f>'[1]NOTE 23'!C26:G26</f>
        <v>0</v>
      </c>
      <c r="D26" s="1733"/>
      <c r="E26" s="1733"/>
      <c r="F26" s="1733"/>
      <c r="G26" s="1733"/>
    </row>
    <row r="27" spans="2:11">
      <c r="C27" s="1733">
        <f>'[1]NOTE 23'!C27:G27</f>
        <v>0</v>
      </c>
      <c r="D27" s="1733"/>
      <c r="E27" s="1733"/>
      <c r="F27" s="1733"/>
      <c r="G27" s="1733"/>
    </row>
    <row r="28" spans="2:11">
      <c r="C28" s="1733">
        <f>'[1]NOTE 23'!C28:G28</f>
        <v>0</v>
      </c>
      <c r="D28" s="1733"/>
      <c r="E28" s="1733"/>
      <c r="F28" s="1733"/>
      <c r="G28" s="1733"/>
    </row>
    <row r="29" spans="2:11">
      <c r="C29" s="1733">
        <f>'[1]NOTE 23'!C29:G29</f>
        <v>0</v>
      </c>
      <c r="D29" s="1733"/>
      <c r="E29" s="1733"/>
      <c r="F29" s="1733"/>
      <c r="G29" s="1733"/>
    </row>
    <row r="30" spans="2:11">
      <c r="C30" s="1733">
        <f>'[1]NOTE 23'!C30:G30</f>
        <v>0</v>
      </c>
      <c r="D30" s="1733"/>
      <c r="E30" s="1733"/>
      <c r="F30" s="1733"/>
      <c r="G30" s="1733"/>
    </row>
  </sheetData>
  <sheetProtection selectLockedCells="1"/>
  <mergeCells count="15">
    <mergeCell ref="C28:G28"/>
    <mergeCell ref="C29:G29"/>
    <mergeCell ref="C30:G30"/>
    <mergeCell ref="C22:G22"/>
    <mergeCell ref="C23:G23"/>
    <mergeCell ref="C24:G24"/>
    <mergeCell ref="C25:G25"/>
    <mergeCell ref="C26:G26"/>
    <mergeCell ref="C27:G27"/>
    <mergeCell ref="C21:G21"/>
    <mergeCell ref="B1:G1"/>
    <mergeCell ref="F2:G3"/>
    <mergeCell ref="B9:G9"/>
    <mergeCell ref="B10:D10"/>
    <mergeCell ref="C20:G20"/>
  </mergeCells>
  <conditionalFormatting sqref="F5:G5 F6 D6">
    <cfRule type="expression" dxfId="11" priority="1">
      <formula>#REF!=1</formula>
    </cfRule>
  </conditionalFormatting>
  <printOptions horizontalCentered="1"/>
  <pageMargins left="0.78740157480314965" right="0" top="0.59055118110236227" bottom="0.19685039370078741" header="0.70866141732283472" footer="0.31496062992125984"/>
  <pageSetup paperSize="9" scale="77" orientation="portrait" r:id="rId1"/>
  <headerFooter>
    <oddHeader>&amp;C&amp;"-,Gras"&amp;14Page &amp;P / &amp;N</oddHeader>
  </headerFooter>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Feuil50">
    <pageSetUpPr fitToPage="1"/>
  </sheetPr>
  <dimension ref="B1:K38"/>
  <sheetViews>
    <sheetView showZeros="0" topLeftCell="A7" zoomScale="80" zoomScaleNormal="80" zoomScaleSheetLayoutView="100" workbookViewId="0">
      <selection activeCell="N19" sqref="N19"/>
    </sheetView>
  </sheetViews>
  <sheetFormatPr baseColWidth="10" defaultColWidth="11.42578125" defaultRowHeight="15.75"/>
  <cols>
    <col min="1" max="1" width="16.5703125" style="9" customWidth="1"/>
    <col min="2" max="2" width="26.42578125" style="9" customWidth="1"/>
    <col min="3" max="3" width="36" style="9" customWidth="1"/>
    <col min="4" max="4" width="24.42578125" style="9" customWidth="1"/>
    <col min="5" max="5" width="20" style="9" customWidth="1"/>
    <col min="6" max="6" width="22.42578125" style="9" bestFit="1" customWidth="1"/>
    <col min="7" max="7" width="12.5703125" style="9" customWidth="1"/>
    <col min="8" max="11" width="11.42578125" style="9" hidden="1" customWidth="1"/>
    <col min="12" max="16384" width="11.42578125" style="9"/>
  </cols>
  <sheetData>
    <row r="1" spans="2:11">
      <c r="B1" s="1977"/>
      <c r="C1" s="1977"/>
      <c r="D1" s="1977"/>
      <c r="E1" s="1977"/>
      <c r="F1" s="1977"/>
      <c r="G1" s="1977"/>
    </row>
    <row r="2" spans="2:11">
      <c r="B2" s="118"/>
      <c r="C2" s="118"/>
      <c r="D2" s="1099"/>
      <c r="E2" s="118"/>
      <c r="F2" s="1982" t="s">
        <v>277</v>
      </c>
      <c r="G2" s="1983"/>
    </row>
    <row r="3" spans="2:11">
      <c r="B3" s="118"/>
      <c r="C3" s="118"/>
      <c r="D3" s="1099"/>
      <c r="E3" s="118"/>
      <c r="F3" s="1984"/>
      <c r="G3" s="1985"/>
    </row>
    <row r="4" spans="2:11">
      <c r="B4" s="127" t="str">
        <f>'NOTE 23'!B4</f>
        <v>Désignation entité:</v>
      </c>
      <c r="C4" s="1105" t="str">
        <f>'NOTE 23'!C4</f>
        <v/>
      </c>
      <c r="D4" s="1105"/>
      <c r="E4" s="1107"/>
      <c r="F4" s="115"/>
      <c r="G4" s="1107"/>
      <c r="H4" s="1262"/>
    </row>
    <row r="5" spans="2:11">
      <c r="B5" s="127" t="str">
        <f>'NOTE 23'!B5</f>
        <v>Sigle usuel :</v>
      </c>
      <c r="C5" s="1105" t="str">
        <f>'NOTE 23'!C5</f>
        <v/>
      </c>
      <c r="E5" s="1263"/>
      <c r="F5" s="1182"/>
      <c r="G5" s="1182"/>
      <c r="H5" s="1262"/>
    </row>
    <row r="6" spans="2:11">
      <c r="B6" s="127" t="str">
        <f>'NOTE 23'!B6</f>
        <v>Adresse:</v>
      </c>
      <c r="C6" s="1105">
        <f>'NOTE 23'!C6</f>
        <v>0</v>
      </c>
      <c r="D6" s="1197"/>
      <c r="E6" s="1181"/>
      <c r="F6" s="1106" t="str">
        <f>'NOTE 23'!F6</f>
        <v>BP:</v>
      </c>
      <c r="G6" s="1103" t="str">
        <f>'NOTE 23'!G6</f>
        <v/>
      </c>
      <c r="H6" s="1262"/>
    </row>
    <row r="7" spans="2:11">
      <c r="B7" s="127" t="str">
        <f>'NOTE 23'!B7</f>
        <v>Numéro d'identification:</v>
      </c>
      <c r="C7" s="127" t="str">
        <f>'NOTE 23'!C7</f>
        <v/>
      </c>
      <c r="D7" s="126" t="str">
        <f>'NOTE 23'!D7</f>
        <v xml:space="preserve">   Exercice clos le 31 - 12- </v>
      </c>
      <c r="E7" s="1105">
        <f>'NOTE 23'!E7</f>
        <v>2025</v>
      </c>
      <c r="F7" s="126" t="str">
        <f>'NOTE 23'!F7</f>
        <v xml:space="preserve">    Durée (en mois):</v>
      </c>
      <c r="G7" s="1103">
        <f>'NOTE 23'!G7</f>
        <v>12</v>
      </c>
      <c r="H7" s="1262"/>
    </row>
    <row r="8" spans="2:11" ht="15" customHeight="1">
      <c r="B8" s="118"/>
      <c r="C8" s="1109"/>
      <c r="D8" s="118"/>
      <c r="E8" s="118"/>
      <c r="F8" s="118"/>
      <c r="G8" s="115"/>
    </row>
    <row r="9" spans="2:11" ht="30.75" customHeight="1">
      <c r="B9" s="1807" t="str">
        <f>IF([1]ACCUEIL!B1=1,"NOTE 24 EXTERNAL SERVICES","NOTE 24 SERVICES EXTERIEURS ")</f>
        <v xml:space="preserve">NOTE 24 SERVICES EXTERIEURS </v>
      </c>
      <c r="C9" s="1807"/>
      <c r="D9" s="1807"/>
      <c r="E9" s="1807"/>
      <c r="F9" s="1807"/>
      <c r="G9" s="1807"/>
    </row>
    <row r="10" spans="2:11" ht="31.5">
      <c r="B10" s="1969" t="str">
        <f>'NOTE 23'!B10:D10</f>
        <v xml:space="preserve">      RUBRIQUES</v>
      </c>
      <c r="C10" s="1970"/>
      <c r="D10" s="1971"/>
      <c r="E10" s="1193" t="str">
        <f>'NOTE 23'!E10</f>
        <v>Année 2025</v>
      </c>
      <c r="F10" s="1193" t="str">
        <f>'NOTE 23'!F10</f>
        <v>Année 2024</v>
      </c>
      <c r="G10" s="1244" t="str">
        <f>'NOTE 23'!G10</f>
        <v xml:space="preserve">Variation en % </v>
      </c>
    </row>
    <row r="11" spans="2:11" ht="25.5" customHeight="1">
      <c r="B11" s="1210" t="str">
        <f>IF([1]ACCUEIL!B1=1,"General subcontracting","Sous-traitance générale ")</f>
        <v xml:space="preserve">Sous-traitance générale </v>
      </c>
      <c r="C11" s="214"/>
      <c r="D11" s="215"/>
      <c r="E11" s="1251">
        <f>'[1]CLASSE 6'!I103</f>
        <v>0</v>
      </c>
      <c r="F11" s="1251">
        <f>'[1]CLASSE 6'!E103</f>
        <v>0</v>
      </c>
      <c r="G11" s="1252">
        <f>IF(H11=0,0,K11)</f>
        <v>0</v>
      </c>
      <c r="H11" s="9">
        <f>E11-F11</f>
        <v>0</v>
      </c>
      <c r="I11" s="9">
        <f>IF(F11=0,1,IF(F11&lt;0,(E11-F11)/-F11,(E11-F11)/F11))</f>
        <v>1</v>
      </c>
      <c r="J11" s="9">
        <f>IF(H11=E11,IF(E11&lt;0,-1,0))</f>
        <v>0</v>
      </c>
      <c r="K11" s="9">
        <f>IF(J11=-1,-1,I11)</f>
        <v>1</v>
      </c>
    </row>
    <row r="12" spans="2:11" ht="25.5" customHeight="1">
      <c r="B12" s="1210" t="str">
        <f>IF([1]ACCUEIL!B1=1,"Rental and rental charges","Location et charges locatives")</f>
        <v>Location et charges locatives</v>
      </c>
      <c r="C12" s="214"/>
      <c r="D12" s="215"/>
      <c r="E12" s="1264">
        <f>'[1]CLASSE 6'!I119</f>
        <v>0</v>
      </c>
      <c r="F12" s="1264">
        <f>'[1]CLASSE 6'!E119</f>
        <v>0</v>
      </c>
      <c r="G12" s="1252">
        <f t="shared" ref="G12:G26" si="0">IF(H12=0,0,K12)</f>
        <v>0</v>
      </c>
      <c r="H12" s="9">
        <f t="shared" ref="H12:H26" si="1">E12-F12</f>
        <v>0</v>
      </c>
      <c r="I12" s="9">
        <f t="shared" ref="I12:I26" si="2">IF(F12=0,1,IF(F12&lt;0,(E12-F12)/-F12,(E12-F12)/F12))</f>
        <v>1</v>
      </c>
      <c r="J12" s="9">
        <f t="shared" ref="J12:J26" si="3">IF(H12=E12,IF(E12&lt;0,-1,0))</f>
        <v>0</v>
      </c>
      <c r="K12" s="9">
        <f t="shared" ref="K12:K26" si="4">IF(J12=-1,-1,I12)</f>
        <v>1</v>
      </c>
    </row>
    <row r="13" spans="2:11" ht="25.5" customHeight="1">
      <c r="B13" s="1210" t="str">
        <f>IF([1]ACCUEIL!B1=1,"Royalties and acquisition lease","Rédevances et location acquisition")</f>
        <v>Rédevances et location acquisition</v>
      </c>
      <c r="C13" s="214"/>
      <c r="D13" s="215"/>
      <c r="E13" s="1264">
        <f>'[1]CLASSE 6'!I129</f>
        <v>0</v>
      </c>
      <c r="F13" s="1264">
        <f>'[1]CLASSE 6'!E129</f>
        <v>0</v>
      </c>
      <c r="G13" s="1252">
        <f t="shared" si="0"/>
        <v>0</v>
      </c>
      <c r="H13" s="9">
        <f t="shared" si="1"/>
        <v>0</v>
      </c>
      <c r="I13" s="9">
        <f t="shared" si="2"/>
        <v>1</v>
      </c>
      <c r="J13" s="9">
        <f t="shared" si="3"/>
        <v>0</v>
      </c>
      <c r="K13" s="9">
        <f t="shared" si="4"/>
        <v>1</v>
      </c>
    </row>
    <row r="14" spans="2:11" ht="25.5" customHeight="1">
      <c r="B14" s="1210" t="str">
        <f>IF([1]ACCUEIL!B1=1,"Care, repair and maintenance","Entretien, réparation s et maintenance")</f>
        <v>Entretien, réparation s et maintenance</v>
      </c>
      <c r="C14" s="214"/>
      <c r="D14" s="215"/>
      <c r="E14" s="1264">
        <f>'[1]CLASSE 6'!I141</f>
        <v>0</v>
      </c>
      <c r="F14" s="1264">
        <f>'[1]CLASSE 6'!E141</f>
        <v>0</v>
      </c>
      <c r="G14" s="1252">
        <f t="shared" si="0"/>
        <v>0</v>
      </c>
      <c r="H14" s="9">
        <f t="shared" si="1"/>
        <v>0</v>
      </c>
      <c r="I14" s="9">
        <f t="shared" si="2"/>
        <v>1</v>
      </c>
      <c r="J14" s="9">
        <f t="shared" si="3"/>
        <v>0</v>
      </c>
      <c r="K14" s="9">
        <f t="shared" si="4"/>
        <v>1</v>
      </c>
    </row>
    <row r="15" spans="2:11" ht="25.5" customHeight="1">
      <c r="B15" s="1210" t="str">
        <f>IF([1]ACCUEIL!B1=1,"Insurance premium","Primes d'assurance")</f>
        <v>Primes d'assurance</v>
      </c>
      <c r="C15" s="214"/>
      <c r="D15" s="215"/>
      <c r="E15" s="1264">
        <f>'[1]CLASSE 6'!I157</f>
        <v>0</v>
      </c>
      <c r="F15" s="1264">
        <f>'[1]CLASSE 6'!E157</f>
        <v>0</v>
      </c>
      <c r="G15" s="1252">
        <f t="shared" si="0"/>
        <v>0</v>
      </c>
      <c r="H15" s="9">
        <f t="shared" si="1"/>
        <v>0</v>
      </c>
      <c r="I15" s="9">
        <f t="shared" si="2"/>
        <v>1</v>
      </c>
      <c r="J15" s="9">
        <f t="shared" si="3"/>
        <v>0</v>
      </c>
      <c r="K15" s="9">
        <f t="shared" si="4"/>
        <v>1</v>
      </c>
    </row>
    <row r="16" spans="2:11" ht="25.5" customHeight="1">
      <c r="B16" s="1210" t="str">
        <f>IF([1]ACCUEIL!B1=1,"Studies, research and documentation","Etudes, recherches et documentation")</f>
        <v>Etudes, recherches et documentation</v>
      </c>
      <c r="C16" s="214"/>
      <c r="D16" s="215"/>
      <c r="E16" s="1264">
        <f>'[1]CLASSE 6'!I165</f>
        <v>0</v>
      </c>
      <c r="F16" s="1264">
        <f>'[1]CLASSE 6'!E165</f>
        <v>0</v>
      </c>
      <c r="G16" s="1252">
        <f t="shared" si="0"/>
        <v>0</v>
      </c>
      <c r="H16" s="9">
        <f t="shared" si="1"/>
        <v>0</v>
      </c>
      <c r="I16" s="9">
        <f t="shared" si="2"/>
        <v>1</v>
      </c>
      <c r="J16" s="9">
        <f t="shared" si="3"/>
        <v>0</v>
      </c>
      <c r="K16" s="9">
        <f t="shared" si="4"/>
        <v>1</v>
      </c>
    </row>
    <row r="17" spans="2:11" ht="25.5" customHeight="1">
      <c r="B17" s="1210" t="str">
        <f>IF([1]ACCUEIL!B1=1,"Advertising, publications, public relations","Publicite, publications, rélations publiques")</f>
        <v>Publicite, publications, rélations publiques</v>
      </c>
      <c r="C17" s="214"/>
      <c r="D17" s="215"/>
      <c r="E17" s="1264">
        <f>'[1]CLASSE 6'!I183</f>
        <v>0</v>
      </c>
      <c r="F17" s="1264">
        <f>'[1]CLASSE 6'!E183</f>
        <v>0</v>
      </c>
      <c r="G17" s="1252">
        <f t="shared" si="0"/>
        <v>0</v>
      </c>
      <c r="H17" s="9">
        <f t="shared" si="1"/>
        <v>0</v>
      </c>
      <c r="I17" s="9">
        <f t="shared" si="2"/>
        <v>1</v>
      </c>
      <c r="J17" s="9">
        <f t="shared" si="3"/>
        <v>0</v>
      </c>
      <c r="K17" s="9">
        <f t="shared" si="4"/>
        <v>1</v>
      </c>
    </row>
    <row r="18" spans="2:11" ht="25.5" customHeight="1">
      <c r="B18" s="1210" t="str">
        <f>IF([1]ACCUEIL!B1=1,"Telecommunications costs","Frais de telecommunications")</f>
        <v>Frais de telecommunications</v>
      </c>
      <c r="C18" s="214"/>
      <c r="D18" s="215"/>
      <c r="E18" s="1264">
        <f>'[1]CLASSE 6'!I193</f>
        <v>0</v>
      </c>
      <c r="F18" s="1264">
        <f>'[1]CLASSE 6'!E193</f>
        <v>0</v>
      </c>
      <c r="G18" s="1252">
        <f t="shared" si="0"/>
        <v>0</v>
      </c>
      <c r="H18" s="9">
        <f t="shared" si="1"/>
        <v>0</v>
      </c>
      <c r="I18" s="9">
        <f t="shared" si="2"/>
        <v>1</v>
      </c>
      <c r="J18" s="9">
        <f t="shared" si="3"/>
        <v>0</v>
      </c>
      <c r="K18" s="9">
        <f t="shared" si="4"/>
        <v>1</v>
      </c>
    </row>
    <row r="19" spans="2:11" ht="25.5" customHeight="1">
      <c r="B19" s="1210" t="str">
        <f>IF([1]ACCUEIL!B1=1,"Bank charges","Frais bancaires")</f>
        <v>Frais bancaires</v>
      </c>
      <c r="C19" s="214"/>
      <c r="D19" s="215"/>
      <c r="E19" s="1264">
        <f>'[1]CLASSE 6'!I211</f>
        <v>0</v>
      </c>
      <c r="F19" s="1264">
        <f>'[1]CLASSE 6'!E211</f>
        <v>0</v>
      </c>
      <c r="G19" s="1252">
        <f t="shared" si="0"/>
        <v>0</v>
      </c>
      <c r="H19" s="9">
        <f t="shared" si="1"/>
        <v>0</v>
      </c>
      <c r="I19" s="9">
        <f t="shared" si="2"/>
        <v>1</v>
      </c>
      <c r="J19" s="9">
        <f t="shared" si="3"/>
        <v>0</v>
      </c>
      <c r="K19" s="9">
        <f t="shared" si="4"/>
        <v>1</v>
      </c>
    </row>
    <row r="20" spans="2:11" ht="25.5" customHeight="1">
      <c r="B20" s="1210" t="str">
        <f>IF([1]ACCUEIL!B1=1,"Intermediate remuneration and advice","Rémunération d'intermédiaire et conseils")</f>
        <v>Rémunération d'intermédiaire et conseils</v>
      </c>
      <c r="C20" s="214"/>
      <c r="D20" s="215"/>
      <c r="E20" s="1264">
        <f>'[1]CLASSE 6'!I225</f>
        <v>0</v>
      </c>
      <c r="F20" s="1264">
        <f>'[1]CLASSE 6'!E225</f>
        <v>0</v>
      </c>
      <c r="G20" s="1252">
        <f t="shared" si="0"/>
        <v>0</v>
      </c>
      <c r="H20" s="9">
        <f t="shared" si="1"/>
        <v>0</v>
      </c>
      <c r="I20" s="9">
        <f t="shared" si="2"/>
        <v>1</v>
      </c>
      <c r="J20" s="9">
        <f t="shared" si="3"/>
        <v>0</v>
      </c>
      <c r="K20" s="9">
        <f t="shared" si="4"/>
        <v>1</v>
      </c>
    </row>
    <row r="21" spans="2:11" ht="25.5" customHeight="1">
      <c r="B21" s="1210" t="str">
        <f>IF([1]ACCUEIL!B1=1,"Staff training costs","Frais de formation de personnel")</f>
        <v>Frais de formation de personnel</v>
      </c>
      <c r="C21" s="214"/>
      <c r="D21" s="215"/>
      <c r="E21" s="1264">
        <f>'[1]CLASSE 6'!I226</f>
        <v>0</v>
      </c>
      <c r="F21" s="1264">
        <f>'[1]CLASSE 6'!E226</f>
        <v>0</v>
      </c>
      <c r="G21" s="1252">
        <f t="shared" si="0"/>
        <v>0</v>
      </c>
      <c r="H21" s="9">
        <f t="shared" si="1"/>
        <v>0</v>
      </c>
      <c r="I21" s="9">
        <f t="shared" si="2"/>
        <v>1</v>
      </c>
      <c r="J21" s="9">
        <f t="shared" si="3"/>
        <v>0</v>
      </c>
      <c r="K21" s="9">
        <f t="shared" si="4"/>
        <v>1</v>
      </c>
    </row>
    <row r="22" spans="2:11" ht="25.5" customHeight="1">
      <c r="B22" s="1210" t="str">
        <f>IF([1]ACCUEIL!B1=1,"Royalties for patents, licenses, software, concessions and similar rights","Rédevances pour brevets, licences, logiciels, concession et droits similaires")</f>
        <v>Rédevances pour brevets, licences, logiciels, concession et droits similaires</v>
      </c>
      <c r="C22" s="1265"/>
      <c r="D22" s="1266"/>
      <c r="E22" s="1264">
        <f>'[1]CLASSE 6'!I238</f>
        <v>0</v>
      </c>
      <c r="F22" s="1264">
        <f>'[1]CLASSE 6'!E238</f>
        <v>0</v>
      </c>
      <c r="G22" s="1252">
        <f t="shared" si="0"/>
        <v>0</v>
      </c>
      <c r="H22" s="9">
        <f t="shared" si="1"/>
        <v>0</v>
      </c>
      <c r="I22" s="9">
        <f t="shared" si="2"/>
        <v>1</v>
      </c>
      <c r="J22" s="9">
        <f t="shared" si="3"/>
        <v>0</v>
      </c>
      <c r="K22" s="9">
        <f t="shared" si="4"/>
        <v>1</v>
      </c>
    </row>
    <row r="23" spans="2:11" ht="25.5" customHeight="1">
      <c r="B23" s="1210" t="str">
        <f>IF([1]ACCUEIL!B1=1,"Contributions","Cotisations")</f>
        <v>Cotisations</v>
      </c>
      <c r="C23" s="214"/>
      <c r="D23" s="215"/>
      <c r="E23" s="1264">
        <f>'[1]CLASSE 6'!I244</f>
        <v>0</v>
      </c>
      <c r="F23" s="1264">
        <f>'[1]CLASSE 6'!E244</f>
        <v>0</v>
      </c>
      <c r="G23" s="1252">
        <f t="shared" si="0"/>
        <v>0</v>
      </c>
      <c r="H23" s="9">
        <f t="shared" si="1"/>
        <v>0</v>
      </c>
      <c r="I23" s="9">
        <f t="shared" si="2"/>
        <v>1</v>
      </c>
      <c r="J23" s="9">
        <f t="shared" si="3"/>
        <v>0</v>
      </c>
      <c r="K23" s="9">
        <f t="shared" si="4"/>
        <v>1</v>
      </c>
    </row>
    <row r="24" spans="2:11" ht="25.5" customHeight="1">
      <c r="B24" s="1210" t="str">
        <f>IF([1]ACCUEIL!B1=1,"Remuneration of personnel outside the entity","Rémunérations de personnel extérieur à l'entité")</f>
        <v>Rémunérations de personnel extérieur à l'entité</v>
      </c>
      <c r="C24" s="214"/>
      <c r="D24" s="215"/>
      <c r="E24" s="1264">
        <f>+'[1]CLASSE 6'!I250</f>
        <v>0</v>
      </c>
      <c r="F24" s="1264">
        <f>+'[1]CLASSE 6'!E250</f>
        <v>0</v>
      </c>
      <c r="G24" s="1252">
        <f t="shared" si="0"/>
        <v>0</v>
      </c>
      <c r="H24" s="9">
        <f t="shared" si="1"/>
        <v>0</v>
      </c>
      <c r="I24" s="9">
        <f t="shared" si="2"/>
        <v>1</v>
      </c>
      <c r="J24" s="9">
        <f t="shared" si="3"/>
        <v>0</v>
      </c>
      <c r="K24" s="9">
        <f t="shared" si="4"/>
        <v>1</v>
      </c>
    </row>
    <row r="25" spans="2:11" ht="25.5" customHeight="1">
      <c r="B25" s="1210" t="str">
        <f>IF([1]ACCUEIL!B1=1,"Other external charges","Autres charges externes")</f>
        <v>Autres charges externes</v>
      </c>
      <c r="C25" s="214"/>
      <c r="D25" s="215"/>
      <c r="E25" s="1264">
        <f>'[1]CLASSE 6'!I263</f>
        <v>0</v>
      </c>
      <c r="F25" s="1264">
        <f>'[1]CLASSE 6'!E263</f>
        <v>0</v>
      </c>
      <c r="G25" s="1252">
        <f t="shared" si="0"/>
        <v>0</v>
      </c>
      <c r="H25" s="9">
        <f t="shared" si="1"/>
        <v>0</v>
      </c>
      <c r="I25" s="9">
        <f t="shared" si="2"/>
        <v>1</v>
      </c>
      <c r="J25" s="9">
        <f t="shared" si="3"/>
        <v>0</v>
      </c>
      <c r="K25" s="9">
        <f t="shared" si="4"/>
        <v>1</v>
      </c>
    </row>
    <row r="26" spans="2:11" ht="25.5" customHeight="1">
      <c r="B26" s="206" t="s">
        <v>25</v>
      </c>
      <c r="C26" s="207"/>
      <c r="D26" s="208"/>
      <c r="E26" s="1267">
        <f>SUM(E11:E25)</f>
        <v>0</v>
      </c>
      <c r="F26" s="1267">
        <f>SUM(F11:F25)</f>
        <v>0</v>
      </c>
      <c r="G26" s="1252">
        <f t="shared" si="0"/>
        <v>0</v>
      </c>
      <c r="H26" s="9">
        <f t="shared" si="1"/>
        <v>0</v>
      </c>
      <c r="I26" s="9">
        <f t="shared" si="2"/>
        <v>1</v>
      </c>
      <c r="J26" s="9">
        <f t="shared" si="3"/>
        <v>0</v>
      </c>
      <c r="K26" s="9">
        <f t="shared" si="4"/>
        <v>1</v>
      </c>
    </row>
    <row r="27" spans="2:11">
      <c r="B27" s="118"/>
      <c r="C27" s="118"/>
      <c r="D27" s="118"/>
      <c r="E27" s="118"/>
      <c r="F27" s="118"/>
      <c r="G27" s="118"/>
    </row>
    <row r="28" spans="2:11">
      <c r="B28" s="1108" t="str">
        <f>'NOTE 23'!B20</f>
        <v>COMMENTAIRE</v>
      </c>
      <c r="C28" s="1733">
        <f>'[1]NOTE 24'!C28:G28</f>
        <v>0</v>
      </c>
      <c r="D28" s="1733"/>
      <c r="E28" s="1733"/>
      <c r="F28" s="1733"/>
      <c r="G28" s="1733"/>
    </row>
    <row r="29" spans="2:11">
      <c r="B29" s="118"/>
      <c r="C29" s="1733">
        <f>'[1]NOTE 24'!C29:G29</f>
        <v>0</v>
      </c>
      <c r="D29" s="1733"/>
      <c r="E29" s="1733"/>
      <c r="F29" s="1733"/>
      <c r="G29" s="1733"/>
    </row>
    <row r="30" spans="2:11">
      <c r="B30" s="118"/>
      <c r="C30" s="1733">
        <f>'[1]NOTE 24'!C30:G30</f>
        <v>0</v>
      </c>
      <c r="D30" s="1733"/>
      <c r="E30" s="1733"/>
      <c r="F30" s="1733"/>
      <c r="G30" s="1733"/>
    </row>
    <row r="31" spans="2:11">
      <c r="B31" s="118"/>
      <c r="C31" s="1733">
        <f>'[1]NOTE 24'!C31:G31</f>
        <v>0</v>
      </c>
      <c r="D31" s="1733"/>
      <c r="E31" s="1733"/>
      <c r="F31" s="1733"/>
      <c r="G31" s="1733"/>
    </row>
    <row r="32" spans="2:11">
      <c r="B32" s="118"/>
      <c r="C32" s="1733">
        <f>'[1]NOTE 24'!C32:G32</f>
        <v>0</v>
      </c>
      <c r="D32" s="1733"/>
      <c r="E32" s="1733"/>
      <c r="F32" s="1733"/>
      <c r="G32" s="1733"/>
    </row>
    <row r="33" spans="3:7">
      <c r="C33" s="1733">
        <f>'[1]NOTE 24'!C33:G33</f>
        <v>0</v>
      </c>
      <c r="D33" s="1733"/>
      <c r="E33" s="1733"/>
      <c r="F33" s="1733"/>
      <c r="G33" s="1733"/>
    </row>
    <row r="34" spans="3:7">
      <c r="C34" s="1733">
        <f>'[1]NOTE 24'!C34:G34</f>
        <v>0</v>
      </c>
      <c r="D34" s="1733"/>
      <c r="E34" s="1733"/>
      <c r="F34" s="1733"/>
      <c r="G34" s="1733"/>
    </row>
    <row r="35" spans="3:7">
      <c r="C35" s="1733">
        <f>'[1]NOTE 24'!C35:G35</f>
        <v>0</v>
      </c>
      <c r="D35" s="1733"/>
      <c r="E35" s="1733"/>
      <c r="F35" s="1733"/>
      <c r="G35" s="1733"/>
    </row>
    <row r="36" spans="3:7">
      <c r="C36" s="1733">
        <f>'[1]NOTE 24'!C36:G36</f>
        <v>0</v>
      </c>
      <c r="D36" s="1733"/>
      <c r="E36" s="1733"/>
      <c r="F36" s="1733"/>
      <c r="G36" s="1733"/>
    </row>
    <row r="37" spans="3:7">
      <c r="C37" s="1733">
        <f>'[1]NOTE 24'!C37:G37</f>
        <v>0</v>
      </c>
      <c r="D37" s="1733"/>
      <c r="E37" s="1733"/>
      <c r="F37" s="1733"/>
      <c r="G37" s="1733"/>
    </row>
    <row r="38" spans="3:7">
      <c r="C38" s="1733">
        <f>'[1]NOTE 24'!C38:G38</f>
        <v>0</v>
      </c>
      <c r="D38" s="1733"/>
      <c r="E38" s="1733"/>
      <c r="F38" s="1733"/>
      <c r="G38" s="1733"/>
    </row>
  </sheetData>
  <sheetProtection selectLockedCells="1"/>
  <mergeCells count="15">
    <mergeCell ref="C36:G36"/>
    <mergeCell ref="C37:G37"/>
    <mergeCell ref="C38:G38"/>
    <mergeCell ref="C30:G30"/>
    <mergeCell ref="C31:G31"/>
    <mergeCell ref="C32:G32"/>
    <mergeCell ref="C33:G33"/>
    <mergeCell ref="C34:G34"/>
    <mergeCell ref="C35:G35"/>
    <mergeCell ref="C29:G29"/>
    <mergeCell ref="B1:G1"/>
    <mergeCell ref="F2:G3"/>
    <mergeCell ref="B9:G9"/>
    <mergeCell ref="B10:D10"/>
    <mergeCell ref="C28:G28"/>
  </mergeCells>
  <conditionalFormatting sqref="F6 E5:G5 D6">
    <cfRule type="expression" dxfId="10" priority="1">
      <formula>#REF!=1</formula>
    </cfRule>
  </conditionalFormatting>
  <printOptions horizontalCentered="1"/>
  <pageMargins left="0.78740157480314965" right="0" top="0.59055118110236227" bottom="0.19685039370078741" header="0.31496062992125984" footer="0.31496062992125984"/>
  <pageSetup paperSize="9" scale="65" orientation="portrait" r:id="rId1"/>
  <headerFooter>
    <oddHeader>&amp;C&amp;"-,Gras"&amp;14Page &amp;P / &amp;N</oddHead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Feuil51">
    <pageSetUpPr fitToPage="1"/>
  </sheetPr>
  <dimension ref="B1:L28"/>
  <sheetViews>
    <sheetView showZeros="0" zoomScale="80" zoomScaleNormal="80" zoomScaleSheetLayoutView="100" workbookViewId="0">
      <selection activeCell="D7" sqref="D7"/>
    </sheetView>
  </sheetViews>
  <sheetFormatPr baseColWidth="10" defaultColWidth="11.42578125" defaultRowHeight="15.75"/>
  <cols>
    <col min="1" max="1" width="15.5703125" style="9" customWidth="1"/>
    <col min="2" max="2" width="26.140625" style="9" customWidth="1"/>
    <col min="3" max="3" width="16.85546875" style="9" customWidth="1"/>
    <col min="4" max="4" width="27.42578125" style="9" customWidth="1"/>
    <col min="5" max="5" width="18" style="9" customWidth="1"/>
    <col min="6" max="6" width="22.42578125" style="9" bestFit="1" customWidth="1"/>
    <col min="7" max="7" width="11.140625" style="9" customWidth="1"/>
    <col min="8" max="11" width="0" style="9" hidden="1" customWidth="1"/>
    <col min="12" max="16384" width="11.42578125" style="9"/>
  </cols>
  <sheetData>
    <row r="1" spans="2:12">
      <c r="B1" s="1977"/>
      <c r="C1" s="1977"/>
      <c r="D1" s="1977"/>
      <c r="E1" s="1977"/>
      <c r="F1" s="1977"/>
      <c r="G1" s="1977"/>
    </row>
    <row r="2" spans="2:12">
      <c r="B2" s="118"/>
      <c r="C2" s="118"/>
      <c r="D2" s="118"/>
      <c r="E2" s="118"/>
      <c r="F2" s="1724" t="str">
        <f>IF([1]ACCUEIL!B1=1,"NOTE 25
NORMAL SYSTEM","NOTE 25
SYSTEME NORMAL")</f>
        <v>NOTE 25
SYSTEME NORMAL</v>
      </c>
      <c r="G2" s="1725"/>
    </row>
    <row r="3" spans="2:12">
      <c r="B3" s="118"/>
      <c r="C3" s="118"/>
      <c r="D3" s="1099"/>
      <c r="E3" s="118"/>
      <c r="F3" s="1726"/>
      <c r="G3" s="1727"/>
    </row>
    <row r="4" spans="2:12">
      <c r="B4" s="127" t="str">
        <f>'NOTE 24'!B4</f>
        <v>Désignation entité:</v>
      </c>
      <c r="C4" s="1105" t="str">
        <f>'NOTE 23'!C4</f>
        <v/>
      </c>
      <c r="D4" s="1105"/>
      <c r="E4" s="1107"/>
      <c r="F4" s="1180"/>
      <c r="G4" s="1180"/>
    </row>
    <row r="5" spans="2:12">
      <c r="B5" s="127" t="str">
        <f>'NOTE 24'!B5</f>
        <v>Sigle usuel :</v>
      </c>
      <c r="C5" s="1105" t="str">
        <f>'NOTE 24'!C5</f>
        <v/>
      </c>
      <c r="E5" s="1183"/>
      <c r="F5" s="1182"/>
      <c r="G5" s="1182"/>
    </row>
    <row r="6" spans="2:12">
      <c r="B6" s="127" t="str">
        <f>'NOTE 24'!B6</f>
        <v>Adresse:</v>
      </c>
      <c r="C6" s="1105">
        <f>'NOTE 24'!C6</f>
        <v>0</v>
      </c>
      <c r="D6" s="1197"/>
      <c r="F6" s="1106" t="str">
        <f>'NOTE 24'!F6</f>
        <v>BP:</v>
      </c>
      <c r="G6" s="1103" t="str">
        <f>'NOTE 24'!G6</f>
        <v/>
      </c>
    </row>
    <row r="7" spans="2:12" ht="20.25" customHeight="1">
      <c r="B7" s="127" t="str">
        <f>'NOTE 24'!B7</f>
        <v>Numéro d'identification:</v>
      </c>
      <c r="C7" s="1105" t="str">
        <f>'NOTE 23'!C7</f>
        <v/>
      </c>
      <c r="D7" s="1242" t="str">
        <f>'NOTE 24'!D7</f>
        <v xml:space="preserve">   Exercice clos le 31 - 12- </v>
      </c>
      <c r="E7" s="1103">
        <f>'NOTE 24'!E7</f>
        <v>2025</v>
      </c>
      <c r="F7" s="126" t="str">
        <f>'NOTE 24'!F7</f>
        <v xml:space="preserve">    Durée (en mois):</v>
      </c>
      <c r="G7" s="1103">
        <f>'NOTE 24'!G7</f>
        <v>12</v>
      </c>
    </row>
    <row r="8" spans="2:12" ht="8.25" customHeight="1">
      <c r="B8" s="118"/>
      <c r="C8" s="115"/>
      <c r="D8" s="115"/>
      <c r="E8" s="118"/>
      <c r="F8" s="115"/>
      <c r="G8" s="115"/>
    </row>
    <row r="9" spans="2:12" ht="28.5" customHeight="1">
      <c r="B9" s="1807" t="str">
        <f>IF([1]ACCUEIL!B1=1,"NOTES 25 TAXES AND TAXES","NOTES 25  IMPOTS ET TAXES")</f>
        <v>NOTES 25  IMPOTS ET TAXES</v>
      </c>
      <c r="C9" s="1807"/>
      <c r="D9" s="1807"/>
      <c r="E9" s="1807"/>
      <c r="F9" s="1807"/>
      <c r="G9" s="1807"/>
    </row>
    <row r="10" spans="2:12" ht="31.5">
      <c r="B10" s="1969" t="str">
        <f>'NOTE 24'!B10:D10</f>
        <v xml:space="preserve">      RUBRIQUES</v>
      </c>
      <c r="C10" s="1970"/>
      <c r="D10" s="1971"/>
      <c r="E10" s="1185" t="str">
        <f>'NOTE 24'!E10</f>
        <v>Année 2025</v>
      </c>
      <c r="F10" s="1185" t="str">
        <f>'NOTE 24'!F10</f>
        <v>Année 2024</v>
      </c>
      <c r="G10" s="1193" t="str">
        <f>'NOTE 24'!G10</f>
        <v xml:space="preserve">Variation en % </v>
      </c>
      <c r="H10" s="118"/>
      <c r="I10" s="118"/>
      <c r="J10" s="118"/>
      <c r="K10" s="118"/>
      <c r="L10" s="118"/>
    </row>
    <row r="11" spans="2:12" s="559" customFormat="1" ht="27.6" customHeight="1">
      <c r="B11" s="1110" t="str">
        <f>IF([1]ACCUEIL!B1=1,"Taxes and direct taxes","Impôts et taxes directes")</f>
        <v>Impôts et taxes directes</v>
      </c>
      <c r="C11" s="1188"/>
      <c r="D11" s="1111"/>
      <c r="E11" s="216">
        <f>'[1]CLASSE 6'!I277</f>
        <v>0</v>
      </c>
      <c r="F11" s="216">
        <f>'[1]CLASSE 6'!E277</f>
        <v>0</v>
      </c>
      <c r="G11" s="1189">
        <f t="shared" ref="G11:G16" si="0">IF(H11=0,0,K11)</f>
        <v>0</v>
      </c>
      <c r="H11" s="1178">
        <f t="shared" ref="H11:H16" si="1">E11-F11</f>
        <v>0</v>
      </c>
      <c r="I11" s="1178">
        <f t="shared" ref="I11:I16" si="2">IF(F11=0,1,IF(F11&lt;0,(E11-F11)/-F11,(E11-F11)/F11))</f>
        <v>1</v>
      </c>
      <c r="J11" s="1178">
        <f t="shared" ref="J11:J16" si="3">IF(H11=E11,IF(E11&lt;0,-1,0))</f>
        <v>0</v>
      </c>
      <c r="K11" s="1178">
        <f t="shared" ref="K11:K16" si="4">IF(J11=-1,-1,I11)</f>
        <v>1</v>
      </c>
      <c r="L11" s="1178"/>
    </row>
    <row r="12" spans="2:12" s="559" customFormat="1" ht="27.6" customHeight="1">
      <c r="B12" s="1110" t="str">
        <f>IF([1]ACCUEIL!B1=1,"Taxes and indirect taxes","Impôts et taxes indirectes")</f>
        <v>Impôts et taxes indirectes</v>
      </c>
      <c r="C12" s="1188"/>
      <c r="D12" s="1111"/>
      <c r="E12" s="216">
        <f>'[1]CLASSE 6'!I278</f>
        <v>0</v>
      </c>
      <c r="F12" s="216">
        <f>'[1]CLASSE 6'!E278</f>
        <v>0</v>
      </c>
      <c r="G12" s="1189">
        <f t="shared" si="0"/>
        <v>0</v>
      </c>
      <c r="H12" s="1178">
        <f t="shared" si="1"/>
        <v>0</v>
      </c>
      <c r="I12" s="1178">
        <f t="shared" si="2"/>
        <v>1</v>
      </c>
      <c r="J12" s="1178">
        <f t="shared" si="3"/>
        <v>0</v>
      </c>
      <c r="K12" s="1178">
        <f t="shared" si="4"/>
        <v>1</v>
      </c>
      <c r="L12" s="1178"/>
    </row>
    <row r="13" spans="2:12" s="559" customFormat="1" ht="27.6" customHeight="1">
      <c r="B13" s="1110" t="str">
        <f>IF([1]ACCUEIL!B1=1,"Recording rights","Droits d'enregistrement")</f>
        <v>Droits d'enregistrement</v>
      </c>
      <c r="C13" s="1188"/>
      <c r="D13" s="1111"/>
      <c r="E13" s="216">
        <f>'[1]CLASSE 6'!I290</f>
        <v>0</v>
      </c>
      <c r="F13" s="216">
        <f>'[1]CLASSE 6'!E290</f>
        <v>0</v>
      </c>
      <c r="G13" s="1189">
        <f t="shared" si="0"/>
        <v>0</v>
      </c>
      <c r="H13" s="1178">
        <f t="shared" si="1"/>
        <v>0</v>
      </c>
      <c r="I13" s="1178">
        <f t="shared" si="2"/>
        <v>1</v>
      </c>
      <c r="J13" s="1178">
        <f t="shared" si="3"/>
        <v>0</v>
      </c>
      <c r="K13" s="1178">
        <f t="shared" si="4"/>
        <v>1</v>
      </c>
      <c r="L13" s="1178"/>
    </row>
    <row r="14" spans="2:12" s="559" customFormat="1" ht="27.6" customHeight="1">
      <c r="B14" s="1110" t="str">
        <f>IF([1]ACCUEIL!B1=1,"Tax penalties and fines","Pénalités et amendes fiscales")</f>
        <v>Pénalités et amendes fiscales</v>
      </c>
      <c r="C14" s="1188"/>
      <c r="D14" s="1111"/>
      <c r="E14" s="216">
        <f>'[1]CLASSE 6'!I302</f>
        <v>0</v>
      </c>
      <c r="F14" s="216">
        <f>'[1]CLASSE 6'!E302</f>
        <v>0</v>
      </c>
      <c r="G14" s="1189">
        <f t="shared" si="0"/>
        <v>0</v>
      </c>
      <c r="H14" s="1178">
        <f t="shared" si="1"/>
        <v>0</v>
      </c>
      <c r="I14" s="1178">
        <f t="shared" si="2"/>
        <v>1</v>
      </c>
      <c r="J14" s="1178">
        <f t="shared" si="3"/>
        <v>0</v>
      </c>
      <c r="K14" s="1178">
        <f t="shared" si="4"/>
        <v>1</v>
      </c>
      <c r="L14" s="1178"/>
    </row>
    <row r="15" spans="2:12" s="559" customFormat="1" ht="27.6" customHeight="1">
      <c r="B15" s="1110" t="str">
        <f>IF([1]ACCUEIL!B1=1,"Other taxes","Autres impôts et taxes")</f>
        <v>Autres impôts et taxes</v>
      </c>
      <c r="C15" s="1188"/>
      <c r="D15" s="1111"/>
      <c r="E15" s="216">
        <f>'[1]CLASSE 6'!I303</f>
        <v>0</v>
      </c>
      <c r="F15" s="216">
        <f>'[1]CLASSE 6'!E303</f>
        <v>0</v>
      </c>
      <c r="G15" s="1189">
        <f t="shared" si="0"/>
        <v>0</v>
      </c>
      <c r="H15" s="1178">
        <f t="shared" si="1"/>
        <v>0</v>
      </c>
      <c r="I15" s="1178">
        <f t="shared" si="2"/>
        <v>1</v>
      </c>
      <c r="J15" s="1178">
        <f t="shared" si="3"/>
        <v>0</v>
      </c>
      <c r="K15" s="1178">
        <f t="shared" si="4"/>
        <v>1</v>
      </c>
      <c r="L15" s="1178"/>
    </row>
    <row r="16" spans="2:12" s="559" customFormat="1" ht="27.6" customHeight="1">
      <c r="B16" s="1986" t="s">
        <v>25</v>
      </c>
      <c r="C16" s="1987"/>
      <c r="D16" s="1988"/>
      <c r="E16" s="210">
        <f>SUM(E11:E15)</f>
        <v>0</v>
      </c>
      <c r="F16" s="210">
        <f>SUM(F11:F15)</f>
        <v>0</v>
      </c>
      <c r="G16" s="1192">
        <f t="shared" si="0"/>
        <v>0</v>
      </c>
      <c r="H16" s="1178">
        <f t="shared" si="1"/>
        <v>0</v>
      </c>
      <c r="I16" s="1178">
        <f t="shared" si="2"/>
        <v>1</v>
      </c>
      <c r="J16" s="1178">
        <f t="shared" si="3"/>
        <v>0</v>
      </c>
      <c r="K16" s="1178">
        <f t="shared" si="4"/>
        <v>1</v>
      </c>
      <c r="L16" s="1178"/>
    </row>
    <row r="17" spans="2:12">
      <c r="B17" s="118"/>
      <c r="C17" s="118"/>
      <c r="D17" s="118"/>
      <c r="E17" s="118"/>
      <c r="F17" s="118"/>
      <c r="G17" s="118"/>
      <c r="H17" s="118"/>
      <c r="I17" s="118"/>
      <c r="J17" s="118"/>
      <c r="K17" s="118"/>
      <c r="L17" s="118"/>
    </row>
    <row r="18" spans="2:12">
      <c r="B18" s="1268" t="str">
        <f>'NOTE 24'!B28</f>
        <v>COMMENTAIRE</v>
      </c>
      <c r="C18" s="1269"/>
      <c r="D18" s="118"/>
      <c r="E18" s="118"/>
      <c r="F18" s="118"/>
      <c r="G18" s="118"/>
      <c r="H18" s="118"/>
      <c r="I18" s="118"/>
      <c r="J18" s="118"/>
      <c r="K18" s="118"/>
      <c r="L18" s="118"/>
    </row>
    <row r="19" spans="2:12">
      <c r="B19" s="1178"/>
      <c r="C19" s="1733">
        <f>'[1]NOTE 25'!C19:G19</f>
        <v>0</v>
      </c>
      <c r="D19" s="1733"/>
      <c r="E19" s="1733"/>
      <c r="F19" s="1733"/>
      <c r="G19" s="1733"/>
      <c r="H19" s="118"/>
      <c r="I19" s="118"/>
      <c r="J19" s="118"/>
      <c r="K19" s="118"/>
      <c r="L19" s="118"/>
    </row>
    <row r="20" spans="2:12">
      <c r="B20" s="1187"/>
      <c r="C20" s="1733">
        <f>'[1]NOTE 25'!C20:G20</f>
        <v>0</v>
      </c>
      <c r="D20" s="1733"/>
      <c r="E20" s="1733"/>
      <c r="F20" s="1733"/>
      <c r="G20" s="1733"/>
      <c r="H20" s="118"/>
      <c r="I20" s="118"/>
      <c r="J20" s="118"/>
      <c r="K20" s="118"/>
      <c r="L20" s="118"/>
    </row>
    <row r="21" spans="2:12">
      <c r="B21" s="1187"/>
      <c r="C21" s="1733">
        <f>'[1]NOTE 25'!C21:G21</f>
        <v>0</v>
      </c>
      <c r="D21" s="1733"/>
      <c r="E21" s="1733"/>
      <c r="F21" s="1733"/>
      <c r="G21" s="1733"/>
      <c r="H21" s="118"/>
      <c r="I21" s="118"/>
      <c r="J21" s="118"/>
      <c r="K21" s="118"/>
      <c r="L21" s="118"/>
    </row>
    <row r="22" spans="2:12">
      <c r="B22" s="1187"/>
      <c r="C22" s="1733">
        <f>'[1]NOTE 25'!C22:G22</f>
        <v>0</v>
      </c>
      <c r="D22" s="1733"/>
      <c r="E22" s="1733"/>
      <c r="F22" s="1733"/>
      <c r="G22" s="1733"/>
      <c r="H22" s="118"/>
      <c r="I22" s="118"/>
      <c r="J22" s="118"/>
      <c r="K22" s="118"/>
      <c r="L22" s="118"/>
    </row>
    <row r="23" spans="2:12">
      <c r="C23" s="1733">
        <f>'[1]NOTE 25'!C23:G23</f>
        <v>0</v>
      </c>
      <c r="D23" s="1733"/>
      <c r="E23" s="1733"/>
      <c r="F23" s="1733"/>
      <c r="G23" s="1733"/>
    </row>
    <row r="24" spans="2:12">
      <c r="C24" s="1733">
        <f>'[1]NOTE 25'!C24:G24</f>
        <v>0</v>
      </c>
      <c r="D24" s="1733"/>
      <c r="E24" s="1733"/>
      <c r="F24" s="1733"/>
      <c r="G24" s="1733"/>
    </row>
    <row r="25" spans="2:12">
      <c r="C25" s="1733">
        <f>'[1]NOTE 25'!C25:G25</f>
        <v>0</v>
      </c>
      <c r="D25" s="1733"/>
      <c r="E25" s="1733"/>
      <c r="F25" s="1733"/>
      <c r="G25" s="1733"/>
    </row>
    <row r="26" spans="2:12">
      <c r="C26" s="1733">
        <f>'[1]NOTE 25'!C26:G26</f>
        <v>0</v>
      </c>
      <c r="D26" s="1733"/>
      <c r="E26" s="1733"/>
      <c r="F26" s="1733"/>
      <c r="G26" s="1733"/>
    </row>
    <row r="27" spans="2:12">
      <c r="C27" s="1733">
        <f>'[1]NOTE 25'!C27:G27</f>
        <v>0</v>
      </c>
      <c r="D27" s="1733"/>
      <c r="E27" s="1733"/>
      <c r="F27" s="1733"/>
      <c r="G27" s="1733"/>
    </row>
    <row r="28" spans="2:12">
      <c r="C28" s="1733">
        <f>'[1]NOTE 25'!C28:G28</f>
        <v>0</v>
      </c>
      <c r="D28" s="1733"/>
      <c r="E28" s="1733"/>
      <c r="F28" s="1733"/>
      <c r="G28" s="1733"/>
    </row>
  </sheetData>
  <sheetProtection selectLockedCells="1"/>
  <mergeCells count="15">
    <mergeCell ref="C26:G26"/>
    <mergeCell ref="C27:G27"/>
    <mergeCell ref="C28:G28"/>
    <mergeCell ref="C20:G20"/>
    <mergeCell ref="C21:G21"/>
    <mergeCell ref="C22:G22"/>
    <mergeCell ref="C23:G23"/>
    <mergeCell ref="C24:G24"/>
    <mergeCell ref="C25:G25"/>
    <mergeCell ref="C19:G19"/>
    <mergeCell ref="B1:G1"/>
    <mergeCell ref="F2:G3"/>
    <mergeCell ref="B9:G9"/>
    <mergeCell ref="B10:D10"/>
    <mergeCell ref="B16:D16"/>
  </mergeCells>
  <conditionalFormatting sqref="F5:G5 F6 D6">
    <cfRule type="expression" dxfId="9" priority="1">
      <formula>#REF!=1</formula>
    </cfRule>
  </conditionalFormatting>
  <printOptions horizontalCentered="1"/>
  <pageMargins left="0.78740157480314965" right="0" top="0.59055118110236227" bottom="0.19685039370078741" header="0.31496062992125984" footer="0.31496062992125984"/>
  <pageSetup paperSize="9" scale="76" orientation="portrait" r:id="rId1"/>
  <headerFooter>
    <oddHeader>&amp;C&amp;"-,Gras"&amp;14Page &amp;P / &amp;N</oddHeader>
  </headerFooter>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Feuil52">
    <pageSetUpPr fitToPage="1"/>
  </sheetPr>
  <dimension ref="B1:L34"/>
  <sheetViews>
    <sheetView showZeros="0" topLeftCell="A11" zoomScale="80" zoomScaleNormal="80" zoomScaleSheetLayoutView="100" workbookViewId="0">
      <selection activeCell="N16" sqref="N16"/>
    </sheetView>
  </sheetViews>
  <sheetFormatPr baseColWidth="10" defaultColWidth="11.42578125" defaultRowHeight="15.75"/>
  <cols>
    <col min="1" max="1" width="16.42578125" style="9" customWidth="1"/>
    <col min="2" max="2" width="27.5703125" style="9" customWidth="1"/>
    <col min="3" max="3" width="13.85546875" style="9" customWidth="1"/>
    <col min="4" max="4" width="24.85546875" style="9" customWidth="1"/>
    <col min="5" max="5" width="25.28515625" style="9" customWidth="1"/>
    <col min="6" max="6" width="21" style="9" customWidth="1"/>
    <col min="7" max="7" width="22.42578125" style="9" bestFit="1" customWidth="1"/>
    <col min="8" max="8" width="11" style="9" customWidth="1"/>
    <col min="9" max="9" width="6.85546875" style="9" hidden="1" customWidth="1"/>
    <col min="10" max="10" width="8.28515625" style="9" hidden="1" customWidth="1"/>
    <col min="11" max="11" width="7.5703125" style="9" hidden="1" customWidth="1"/>
    <col min="12" max="12" width="7.7109375" style="9" hidden="1" customWidth="1"/>
    <col min="13" max="16384" width="11.42578125" style="9"/>
  </cols>
  <sheetData>
    <row r="1" spans="2:12">
      <c r="B1" s="1977"/>
      <c r="C1" s="1977"/>
      <c r="D1" s="1977"/>
      <c r="E1" s="1977"/>
      <c r="F1" s="1977"/>
      <c r="G1" s="1977"/>
      <c r="H1" s="1977"/>
    </row>
    <row r="2" spans="2:12">
      <c r="B2" s="118"/>
      <c r="C2" s="118"/>
      <c r="D2" s="118"/>
      <c r="E2" s="118"/>
      <c r="F2" s="118"/>
      <c r="G2" s="1724" t="str">
        <f>IF([1]ACCUEIL!B1=1,"NOTE 26
NORMAL SYSTEM","NOTE 26
SYSTEME NORMAL")</f>
        <v>NOTE 26
SYSTEME NORMAL</v>
      </c>
      <c r="H2" s="1725"/>
    </row>
    <row r="3" spans="2:12">
      <c r="B3" s="118"/>
      <c r="C3" s="118"/>
      <c r="D3" s="118"/>
      <c r="E3" s="1099"/>
      <c r="F3" s="118"/>
      <c r="G3" s="1726"/>
      <c r="H3" s="1727"/>
    </row>
    <row r="4" spans="2:12">
      <c r="B4" s="127" t="str">
        <f>'NOTE 25'!B4</f>
        <v>Désignation entité:</v>
      </c>
      <c r="C4" s="127" t="str">
        <f>'NOTE 25'!C4</f>
        <v/>
      </c>
      <c r="D4" s="115"/>
      <c r="E4" s="1107"/>
      <c r="F4" s="115"/>
      <c r="G4" s="1107"/>
      <c r="H4" s="1107"/>
    </row>
    <row r="5" spans="2:12">
      <c r="B5" s="127" t="str">
        <f>'NOTE 25'!B5</f>
        <v>Sigle usuel :</v>
      </c>
      <c r="C5" s="121" t="str">
        <f>'NOTE 25'!C5</f>
        <v/>
      </c>
      <c r="D5" s="1101"/>
      <c r="E5" s="1182"/>
      <c r="F5" s="1104"/>
      <c r="G5" s="1103"/>
      <c r="H5" s="1104"/>
    </row>
    <row r="6" spans="2:12">
      <c r="B6" s="127" t="str">
        <f>'NOTE 25'!B6</f>
        <v>Adresse:</v>
      </c>
      <c r="C6" s="121">
        <f>'NOTE 25'!C6</f>
        <v>0</v>
      </c>
      <c r="D6" s="116"/>
      <c r="E6" s="40"/>
      <c r="F6" s="40"/>
      <c r="G6" s="1106" t="str">
        <f>'NOTE 25'!F6</f>
        <v>BP:</v>
      </c>
      <c r="H6" s="1270" t="str">
        <f>'NOTE 25'!G6</f>
        <v/>
      </c>
    </row>
    <row r="7" spans="2:12" ht="20.25" customHeight="1">
      <c r="B7" s="127" t="str">
        <f>'NOTE 25'!B7</f>
        <v>Numéro d'identification:</v>
      </c>
      <c r="C7" s="127" t="str">
        <f>'NOTE 25'!C7</f>
        <v/>
      </c>
      <c r="E7" s="126" t="str">
        <f>'NOTE 25'!D7</f>
        <v xml:space="preserve">   Exercice clos le 31 - 12- </v>
      </c>
      <c r="F7" s="1105">
        <f>'NOTE 25'!E7</f>
        <v>2025</v>
      </c>
      <c r="G7" s="126" t="str">
        <f>'NOTE 25'!F7</f>
        <v xml:space="preserve">    Durée (en mois):</v>
      </c>
      <c r="H7" s="127">
        <f>'NOTE 25'!G7</f>
        <v>12</v>
      </c>
    </row>
    <row r="8" spans="2:12">
      <c r="B8" s="115"/>
      <c r="C8" s="1198"/>
      <c r="D8" s="1198"/>
      <c r="E8" s="115"/>
      <c r="F8" s="115"/>
      <c r="G8" s="115"/>
      <c r="H8" s="1198"/>
    </row>
    <row r="9" spans="2:12">
      <c r="B9" s="1583" t="str">
        <f>IF([1]ACCUEIL!B1=1,"NOTE 26 OTHER EXPENSES","NOTE 26 AUTRES CHARGES")</f>
        <v>NOTE 26 AUTRES CHARGES</v>
      </c>
      <c r="C9" s="1583"/>
      <c r="D9" s="1583"/>
      <c r="E9" s="1583"/>
      <c r="F9" s="1583"/>
      <c r="G9" s="1583"/>
      <c r="H9" s="1583"/>
    </row>
    <row r="10" spans="2:12" ht="8.25" customHeight="1">
      <c r="B10" s="1271"/>
      <c r="C10" s="1271"/>
      <c r="D10" s="1271"/>
      <c r="E10" s="1271"/>
      <c r="F10" s="1271"/>
      <c r="G10" s="1271"/>
      <c r="H10" s="1271"/>
    </row>
    <row r="11" spans="2:12" ht="31.5">
      <c r="B11" s="1989" t="str">
        <f>'NOTE 25'!B10:D10</f>
        <v xml:space="preserve">      RUBRIQUES</v>
      </c>
      <c r="C11" s="1990"/>
      <c r="D11" s="1990"/>
      <c r="E11" s="1990"/>
      <c r="F11" s="1272" t="str">
        <f>'NOTE 25'!E10</f>
        <v>Année 2025</v>
      </c>
      <c r="G11" s="1272" t="str">
        <f>'NOTE 25'!F10</f>
        <v>Année 2024</v>
      </c>
      <c r="H11" s="1273" t="str">
        <f>'NOTE 25'!G10</f>
        <v xml:space="preserve">Variation en % </v>
      </c>
    </row>
    <row r="12" spans="2:12" s="559" customFormat="1" ht="24.95" customHeight="1">
      <c r="B12" s="1110" t="str">
        <f>IF([1]ACCUEIL!B1=1,"Losses on customer receivables","Pertes sur créances clients")</f>
        <v>Pertes sur créances clients</v>
      </c>
      <c r="C12" s="1188"/>
      <c r="D12" s="1188"/>
      <c r="E12" s="1111"/>
      <c r="F12" s="216">
        <f>'[1]CLASSE 6'!I305</f>
        <v>0</v>
      </c>
      <c r="G12" s="216">
        <f>'[1]CLASSE 6'!E305</f>
        <v>0</v>
      </c>
      <c r="H12" s="1189">
        <f>IF(I12=0,0,L12)</f>
        <v>0</v>
      </c>
      <c r="I12" s="559">
        <f>F12-G12</f>
        <v>0</v>
      </c>
      <c r="J12" s="559">
        <f>IF(G12=0,1,IF(G12&lt;0,(F12-G12)/-G12,(F12-G12)/G12))</f>
        <v>1</v>
      </c>
      <c r="K12" s="559">
        <f>IF(I12=F12,IF(F12&lt;0,-1,0))</f>
        <v>0</v>
      </c>
      <c r="L12" s="559">
        <f>IF(K12=-1,-1,J12)</f>
        <v>1</v>
      </c>
    </row>
    <row r="13" spans="2:12" s="559" customFormat="1" ht="24.95" customHeight="1">
      <c r="B13" s="1110" t="str">
        <f>IF([1]ACCUEIL!B1=1,"Losses on other debtors","Pertes sur autres débiteurs")</f>
        <v>Pertes sur autres débiteurs</v>
      </c>
      <c r="C13" s="1188"/>
      <c r="D13" s="1188"/>
      <c r="E13" s="1111"/>
      <c r="F13" s="216">
        <f>'[1]CLASSE 6'!I307</f>
        <v>0</v>
      </c>
      <c r="G13" s="216">
        <f>'[1]CLASSE 6'!E307</f>
        <v>0</v>
      </c>
      <c r="H13" s="1189">
        <f t="shared" ref="H13:H22" si="0">IF(I13=0,0,L13)</f>
        <v>0</v>
      </c>
      <c r="I13" s="559">
        <f t="shared" ref="I13:I22" si="1">F13-G13</f>
        <v>0</v>
      </c>
      <c r="J13" s="559">
        <f t="shared" ref="J13:J22" si="2">IF(G13=0,1,IF(G13&lt;0,(F13-G13)/-G13,(F13-G13)/G13))</f>
        <v>1</v>
      </c>
      <c r="K13" s="559">
        <f t="shared" ref="K13:K22" si="3">IF(I13=F13,IF(F13&lt;0,-1,0))</f>
        <v>0</v>
      </c>
      <c r="L13" s="559">
        <f t="shared" ref="L13:L22" si="4">IF(K13=-1,-1,J13)</f>
        <v>1</v>
      </c>
    </row>
    <row r="14" spans="2:12" s="559" customFormat="1" ht="24.95" customHeight="1">
      <c r="B14" s="1110" t="str">
        <f>IF([1]ACCUEIL!B1=1,"Share of profit from joint operations","Quote-part de résultat sur opérations faites en commun")</f>
        <v>Quote-part de résultat sur opérations faites en commun</v>
      </c>
      <c r="C14" s="1188"/>
      <c r="D14" s="1188"/>
      <c r="E14" s="1111"/>
      <c r="F14" s="216">
        <f>'[1]CLASSE 6'!I315</f>
        <v>0</v>
      </c>
      <c r="G14" s="216">
        <f>'[1]CLASSE 6'!E315</f>
        <v>0</v>
      </c>
      <c r="H14" s="1189">
        <f t="shared" si="0"/>
        <v>0</v>
      </c>
      <c r="I14" s="559">
        <f t="shared" si="1"/>
        <v>0</v>
      </c>
      <c r="J14" s="559">
        <f t="shared" si="2"/>
        <v>1</v>
      </c>
      <c r="K14" s="559">
        <f t="shared" si="3"/>
        <v>0</v>
      </c>
      <c r="L14" s="559">
        <f t="shared" si="4"/>
        <v>1</v>
      </c>
    </row>
    <row r="15" spans="2:12" s="559" customFormat="1" ht="24.95" customHeight="1">
      <c r="B15" s="1204" t="str">
        <f>IF([1]ACCUEIL!B1=1,"Book value of current disposals of fixed assets","Valeur comptable des cessions courantes d'immobilisations")</f>
        <v>Valeur comptable des cessions courantes d'immobilisations</v>
      </c>
      <c r="C15" s="1205"/>
      <c r="D15" s="1205"/>
      <c r="E15" s="1206"/>
      <c r="F15" s="1257">
        <f>'[1]CLASSE 6'!I321</f>
        <v>0</v>
      </c>
      <c r="G15" s="1257">
        <f>'[1]CLASSE 6'!E321</f>
        <v>0</v>
      </c>
      <c r="H15" s="1189">
        <f t="shared" si="0"/>
        <v>0</v>
      </c>
      <c r="I15" s="559">
        <f t="shared" si="1"/>
        <v>0</v>
      </c>
      <c r="J15" s="559">
        <f t="shared" si="2"/>
        <v>1</v>
      </c>
      <c r="K15" s="559">
        <f t="shared" si="3"/>
        <v>0</v>
      </c>
      <c r="L15" s="559">
        <f t="shared" si="4"/>
        <v>1</v>
      </c>
    </row>
    <row r="16" spans="2:12" s="559" customFormat="1" ht="24.95" customHeight="1">
      <c r="B16" s="1274" t="str">
        <f>IF([1]ACCUEIL!B1=1,"Exchange loss on trade receivables and payables","Perte de change sur créances et dettes commerciale")</f>
        <v>Perte de change sur créances et dettes commerciale</v>
      </c>
      <c r="C16" s="1205"/>
      <c r="D16" s="1205"/>
      <c r="E16" s="1206"/>
      <c r="F16" s="1257">
        <f>'[1]CLASSE 6'!I322</f>
        <v>0</v>
      </c>
      <c r="G16" s="1257">
        <f>'[1]CLASSE 6'!E322</f>
        <v>0</v>
      </c>
      <c r="H16" s="1189"/>
      <c r="I16" s="559">
        <f t="shared" si="1"/>
        <v>0</v>
      </c>
      <c r="J16" s="559">
        <f t="shared" si="2"/>
        <v>1</v>
      </c>
      <c r="K16" s="559">
        <f t="shared" si="3"/>
        <v>0</v>
      </c>
      <c r="L16" s="559">
        <f t="shared" si="4"/>
        <v>1</v>
      </c>
    </row>
    <row r="17" spans="2:12" s="559" customFormat="1" ht="24.95" customHeight="1">
      <c r="B17" s="1275" t="str">
        <f>IF([1]ACCUEIL!B1=1,"Penalties and criminal fines","Pénalités et amendes pénales")</f>
        <v>Pénalités et amendes pénales</v>
      </c>
      <c r="C17" s="1188"/>
      <c r="D17" s="1205"/>
      <c r="E17" s="1206"/>
      <c r="F17" s="1257">
        <f>'[1]CLASSE 6'!I323</f>
        <v>0</v>
      </c>
      <c r="G17" s="1257">
        <f>'[1]CLASSE 6'!E323</f>
        <v>0</v>
      </c>
      <c r="H17" s="1189"/>
      <c r="I17" s="559">
        <f t="shared" si="1"/>
        <v>0</v>
      </c>
      <c r="J17" s="559">
        <f t="shared" si="2"/>
        <v>1</v>
      </c>
      <c r="K17" s="559">
        <f t="shared" si="3"/>
        <v>0</v>
      </c>
      <c r="L17" s="559">
        <f t="shared" si="4"/>
        <v>1</v>
      </c>
    </row>
    <row r="18" spans="2:12" s="559" customFormat="1" ht="24.95" customHeight="1">
      <c r="B18" s="1204" t="str">
        <f>IF([1]ACCUEIL!B1=1,"Function allowances and other remuneration of directors","Indemnités de fonction et autres rémunérations d'administrateurs")</f>
        <v>Indemnités de fonction et autres rémunérations d'administrateurs</v>
      </c>
      <c r="C18" s="1205"/>
      <c r="D18" s="1205"/>
      <c r="E18" s="1206"/>
      <c r="F18" s="1257">
        <f>'[1]CLASSE 6'!I325</f>
        <v>0</v>
      </c>
      <c r="G18" s="1257">
        <f>'[1]CLASSE 6'!E325</f>
        <v>0</v>
      </c>
      <c r="H18" s="1189">
        <f t="shared" si="0"/>
        <v>0</v>
      </c>
      <c r="I18" s="559">
        <f t="shared" si="1"/>
        <v>0</v>
      </c>
      <c r="J18" s="559">
        <f t="shared" si="2"/>
        <v>1</v>
      </c>
      <c r="K18" s="559">
        <f t="shared" si="3"/>
        <v>0</v>
      </c>
      <c r="L18" s="559">
        <f t="shared" si="4"/>
        <v>1</v>
      </c>
    </row>
    <row r="19" spans="2:12" s="559" customFormat="1" ht="24.95" customHeight="1">
      <c r="B19" s="1110" t="str">
        <f>IF([1]ACCUEIL!B1=1,"Donations and patronage","Dons et mécénat")</f>
        <v>Dons et mécénat</v>
      </c>
      <c r="C19" s="1188"/>
      <c r="D19" s="1188"/>
      <c r="E19" s="1111"/>
      <c r="F19" s="216">
        <f>'[1]CLASSE 6'!I327+'[1]CLASSE 6'!I329</f>
        <v>0</v>
      </c>
      <c r="G19" s="216">
        <f>'[1]CLASSE 6'!E327+'[1]CLASSE 6'!E329</f>
        <v>0</v>
      </c>
      <c r="H19" s="1189">
        <f t="shared" si="0"/>
        <v>0</v>
      </c>
      <c r="I19" s="559">
        <f t="shared" si="1"/>
        <v>0</v>
      </c>
      <c r="J19" s="559">
        <f t="shared" si="2"/>
        <v>1</v>
      </c>
      <c r="K19" s="559">
        <f t="shared" si="3"/>
        <v>0</v>
      </c>
      <c r="L19" s="559">
        <f t="shared" si="4"/>
        <v>1</v>
      </c>
    </row>
    <row r="20" spans="2:12" s="559" customFormat="1" ht="24.95" customHeight="1">
      <c r="B20" s="1110" t="str">
        <f>IF([1]ACCUEIL!B1=1,"Other miscellaneous charges","Autres charges diverses")</f>
        <v>Autres charges diverses</v>
      </c>
      <c r="C20" s="1188"/>
      <c r="D20" s="1188"/>
      <c r="E20" s="1111"/>
      <c r="F20" s="216">
        <f>'[1]CLASSE 6'!I331</f>
        <v>0</v>
      </c>
      <c r="G20" s="216">
        <f>'[1]CLASSE 6'!E331</f>
        <v>0</v>
      </c>
      <c r="H20" s="1189">
        <f t="shared" si="0"/>
        <v>0</v>
      </c>
      <c r="I20" s="559">
        <f t="shared" si="1"/>
        <v>0</v>
      </c>
      <c r="J20" s="559">
        <f t="shared" si="2"/>
        <v>1</v>
      </c>
      <c r="K20" s="559">
        <f t="shared" si="3"/>
        <v>0</v>
      </c>
      <c r="L20" s="559">
        <f t="shared" si="4"/>
        <v>1</v>
      </c>
    </row>
    <row r="21" spans="2:12" s="559" customFormat="1" ht="24.95" customHeight="1">
      <c r="B21" s="1204" t="str">
        <f>IF([1]ACCUEIL!B1=1,"Charges for impairment and provisions for short-term operating risks (see note 28)","Charges pour dépréciations et provisions pour risques à court terme d'exploitation (voir note 28)")</f>
        <v>Charges pour dépréciations et provisions pour risques à court terme d'exploitation (voir note 28)</v>
      </c>
      <c r="C21" s="1205"/>
      <c r="D21" s="1205"/>
      <c r="E21" s="1206"/>
      <c r="F21" s="1257">
        <f>'[1]CLASSE 6'!I343</f>
        <v>0</v>
      </c>
      <c r="G21" s="1257">
        <f>'[1]CLASSE 6'!E343</f>
        <v>0</v>
      </c>
      <c r="H21" s="1189">
        <f t="shared" si="0"/>
        <v>0</v>
      </c>
      <c r="I21" s="559">
        <f t="shared" si="1"/>
        <v>0</v>
      </c>
      <c r="J21" s="559">
        <f t="shared" si="2"/>
        <v>1</v>
      </c>
      <c r="K21" s="559">
        <f t="shared" si="3"/>
        <v>0</v>
      </c>
      <c r="L21" s="559">
        <f t="shared" si="4"/>
        <v>1</v>
      </c>
    </row>
    <row r="22" spans="2:12" s="559" customFormat="1" ht="24.95" customHeight="1">
      <c r="B22" s="1991" t="s">
        <v>25</v>
      </c>
      <c r="C22" s="1992"/>
      <c r="D22" s="1992"/>
      <c r="E22" s="1993"/>
      <c r="F22" s="210">
        <f>SUM(F12:F21)</f>
        <v>0</v>
      </c>
      <c r="G22" s="210">
        <f>SUM(G12:G21)</f>
        <v>0</v>
      </c>
      <c r="H22" s="1192">
        <f t="shared" si="0"/>
        <v>0</v>
      </c>
      <c r="I22" s="559">
        <f t="shared" si="1"/>
        <v>0</v>
      </c>
      <c r="J22" s="559">
        <f t="shared" si="2"/>
        <v>1</v>
      </c>
      <c r="K22" s="559">
        <f t="shared" si="3"/>
        <v>0</v>
      </c>
      <c r="L22" s="559">
        <f t="shared" si="4"/>
        <v>1</v>
      </c>
    </row>
    <row r="23" spans="2:12">
      <c r="B23" s="118"/>
      <c r="C23" s="1994">
        <v>0</v>
      </c>
      <c r="D23" s="1994"/>
      <c r="E23" s="1994"/>
      <c r="F23" s="1994"/>
      <c r="G23" s="1994"/>
      <c r="H23" s="1994"/>
    </row>
    <row r="24" spans="2:12">
      <c r="B24" s="1268" t="str">
        <f>'NOTE 25'!B18</f>
        <v>COMMENTAIRE</v>
      </c>
      <c r="C24" s="1733">
        <f>'[1]NOTE 26'!C24:H24</f>
        <v>0</v>
      </c>
      <c r="D24" s="1733"/>
      <c r="E24" s="1733"/>
      <c r="F24" s="1733"/>
      <c r="G24" s="1733"/>
      <c r="H24" s="1733"/>
    </row>
    <row r="25" spans="2:12">
      <c r="B25" s="1178"/>
      <c r="C25" s="1733">
        <f>'[1]NOTE 26'!C25:H25</f>
        <v>0</v>
      </c>
      <c r="D25" s="1733"/>
      <c r="E25" s="1733"/>
      <c r="F25" s="1733"/>
      <c r="G25" s="1733"/>
      <c r="H25" s="1733"/>
    </row>
    <row r="26" spans="2:12">
      <c r="B26" s="1187"/>
      <c r="C26" s="1733">
        <f>'[1]NOTE 26'!C26:H26</f>
        <v>0</v>
      </c>
      <c r="D26" s="1733"/>
      <c r="E26" s="1733"/>
      <c r="F26" s="1733"/>
      <c r="G26" s="1733"/>
      <c r="H26" s="1733"/>
    </row>
    <row r="27" spans="2:12">
      <c r="B27" s="1187"/>
      <c r="C27" s="1733">
        <f>'[1]NOTE 26'!C27:H27</f>
        <v>0</v>
      </c>
      <c r="D27" s="1733"/>
      <c r="E27" s="1733"/>
      <c r="F27" s="1733"/>
      <c r="G27" s="1733"/>
      <c r="H27" s="1733"/>
    </row>
    <row r="28" spans="2:12">
      <c r="B28" s="1187"/>
      <c r="C28" s="1733">
        <f>'[1]NOTE 26'!C28:H28</f>
        <v>0</v>
      </c>
      <c r="D28" s="1733"/>
      <c r="E28" s="1733"/>
      <c r="F28" s="1733"/>
      <c r="G28" s="1733"/>
      <c r="H28" s="1733"/>
    </row>
    <row r="29" spans="2:12">
      <c r="B29" s="118"/>
      <c r="C29" s="1733">
        <f>'[1]NOTE 26'!C29:H29</f>
        <v>0</v>
      </c>
      <c r="D29" s="1733"/>
      <c r="E29" s="1733"/>
      <c r="F29" s="1733"/>
      <c r="G29" s="1733"/>
      <c r="H29" s="1733"/>
    </row>
    <row r="30" spans="2:12">
      <c r="C30" s="1733">
        <f>'[1]NOTE 26'!C30:H30</f>
        <v>0</v>
      </c>
      <c r="D30" s="1733"/>
      <c r="E30" s="1733"/>
      <c r="F30" s="1733"/>
      <c r="G30" s="1733"/>
      <c r="H30" s="1733"/>
    </row>
    <row r="31" spans="2:12">
      <c r="C31" s="1733">
        <f>'[1]NOTE 26'!C31:H31</f>
        <v>0</v>
      </c>
      <c r="D31" s="1733"/>
      <c r="E31" s="1733"/>
      <c r="F31" s="1733"/>
      <c r="G31" s="1733"/>
      <c r="H31" s="1733"/>
    </row>
    <row r="32" spans="2:12">
      <c r="C32" s="1733">
        <f>'[1]NOTE 26'!C32:H32</f>
        <v>0</v>
      </c>
      <c r="D32" s="1733"/>
      <c r="E32" s="1733"/>
      <c r="F32" s="1733"/>
      <c r="G32" s="1733"/>
      <c r="H32" s="1733"/>
    </row>
    <row r="33" spans="3:8">
      <c r="C33" s="1733">
        <f>'[1]NOTE 26'!C33:H33</f>
        <v>0</v>
      </c>
      <c r="D33" s="1733"/>
      <c r="E33" s="1733"/>
      <c r="F33" s="1733"/>
      <c r="G33" s="1733"/>
      <c r="H33" s="1733"/>
    </row>
    <row r="34" spans="3:8">
      <c r="C34" s="1733">
        <f>'[1]NOTE 26'!C34:H34</f>
        <v>0</v>
      </c>
      <c r="D34" s="1733"/>
      <c r="E34" s="1733"/>
      <c r="F34" s="1733"/>
      <c r="G34" s="1733"/>
      <c r="H34" s="1733"/>
    </row>
  </sheetData>
  <sheetProtection selectLockedCells="1"/>
  <mergeCells count="17">
    <mergeCell ref="C30:H30"/>
    <mergeCell ref="C31:H31"/>
    <mergeCell ref="C32:H32"/>
    <mergeCell ref="C33:H33"/>
    <mergeCell ref="C34:H34"/>
    <mergeCell ref="C29:H29"/>
    <mergeCell ref="B1:H1"/>
    <mergeCell ref="G2:H3"/>
    <mergeCell ref="B9:H9"/>
    <mergeCell ref="B11:E11"/>
    <mergeCell ref="B22:E22"/>
    <mergeCell ref="C23:H23"/>
    <mergeCell ref="C24:H24"/>
    <mergeCell ref="C25:H25"/>
    <mergeCell ref="C26:H26"/>
    <mergeCell ref="C27:H27"/>
    <mergeCell ref="C28:H28"/>
  </mergeCells>
  <conditionalFormatting sqref="G6 E5">
    <cfRule type="expression" dxfId="8" priority="1">
      <formula>#REF!=1</formula>
    </cfRule>
  </conditionalFormatting>
  <printOptions horizontalCentered="1"/>
  <pageMargins left="0.78740157480314965" right="0" top="0.59055118110236227" bottom="0.19685039370078741" header="0.31496062992125984" footer="0.31496062992125984"/>
  <pageSetup paperSize="9" scale="85" orientation="landscape" r:id="rId1"/>
  <headerFooter>
    <oddHeader>&amp;C&amp;"-,Gras"&amp;14Page &amp;P / &amp;N</oddHeader>
  </headerFooter>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Feuil53">
    <pageSetUpPr fitToPage="1"/>
  </sheetPr>
  <dimension ref="B1:O32"/>
  <sheetViews>
    <sheetView showZeros="0" zoomScale="80" zoomScaleNormal="80" zoomScaleSheetLayoutView="100" workbookViewId="0">
      <selection activeCell="D7" sqref="D7"/>
    </sheetView>
  </sheetViews>
  <sheetFormatPr baseColWidth="10" defaultColWidth="11.42578125" defaultRowHeight="15.75"/>
  <cols>
    <col min="1" max="1" width="15.85546875" style="9" customWidth="1"/>
    <col min="2" max="2" width="25.85546875" style="9" customWidth="1"/>
    <col min="3" max="3" width="21.5703125" style="9" customWidth="1"/>
    <col min="4" max="4" width="26.85546875" style="9" customWidth="1"/>
    <col min="5" max="5" width="21.5703125" style="9" customWidth="1"/>
    <col min="6" max="6" width="22.42578125" style="9" bestFit="1" customWidth="1"/>
    <col min="7" max="7" width="12.5703125" style="9" customWidth="1"/>
    <col min="8" max="8" width="9" style="9" hidden="1" customWidth="1"/>
    <col min="9" max="9" width="12.7109375" style="9" hidden="1" customWidth="1"/>
    <col min="10" max="10" width="5.7109375" style="9" hidden="1" customWidth="1"/>
    <col min="11" max="11" width="10.28515625" style="9" hidden="1" customWidth="1"/>
    <col min="12" max="16384" width="11.42578125" style="9"/>
  </cols>
  <sheetData>
    <row r="1" spans="2:15">
      <c r="B1" s="1977"/>
      <c r="C1" s="1977"/>
      <c r="D1" s="1977"/>
      <c r="E1" s="1977"/>
      <c r="F1" s="1977"/>
      <c r="G1" s="1977"/>
    </row>
    <row r="2" spans="2:15" ht="15" customHeight="1">
      <c r="B2" s="118"/>
      <c r="C2" s="118"/>
      <c r="D2" s="118"/>
      <c r="E2" s="118"/>
      <c r="F2" s="1982" t="s">
        <v>278</v>
      </c>
      <c r="G2" s="1983"/>
    </row>
    <row r="3" spans="2:15">
      <c r="B3" s="118"/>
      <c r="C3" s="118"/>
      <c r="D3" s="1099"/>
      <c r="E3" s="118"/>
      <c r="F3" s="1984"/>
      <c r="G3" s="1985"/>
    </row>
    <row r="4" spans="2:15">
      <c r="B4" s="127" t="str">
        <f>+'NOTE 26'!B4</f>
        <v>Désignation entité:</v>
      </c>
      <c r="C4" s="1105" t="str">
        <f>'NOTE 26'!C4</f>
        <v/>
      </c>
      <c r="D4" s="1105"/>
      <c r="E4" s="1107"/>
      <c r="F4" s="1180"/>
      <c r="G4" s="118"/>
    </row>
    <row r="5" spans="2:15">
      <c r="B5" s="127" t="str">
        <f>+'NOTE 26'!B5</f>
        <v>Sigle usuel :</v>
      </c>
      <c r="C5" s="1103" t="str">
        <f>'NOTE 26'!C5</f>
        <v/>
      </c>
      <c r="E5" s="1183"/>
      <c r="F5" s="1276"/>
      <c r="G5" s="1182"/>
    </row>
    <row r="6" spans="2:15">
      <c r="B6" s="127" t="str">
        <f>+'NOTE 26'!B6</f>
        <v>Adresse:</v>
      </c>
      <c r="C6" s="1103">
        <f>'NOTE 26'!C6</f>
        <v>0</v>
      </c>
      <c r="D6" s="1183"/>
      <c r="F6" s="1106" t="str">
        <f>+'NOTE 26'!G6</f>
        <v>BP:</v>
      </c>
      <c r="G6" s="1103" t="str">
        <f>'NOTE 26'!H6</f>
        <v/>
      </c>
    </row>
    <row r="7" spans="2:15">
      <c r="B7" s="127" t="str">
        <f>+'NOTE 26'!B7</f>
        <v>Numéro d'identification:</v>
      </c>
      <c r="C7" s="1103" t="str">
        <f>'NOTE 26'!C7</f>
        <v/>
      </c>
      <c r="D7" s="1242" t="str">
        <f>'NOTE 26'!E7</f>
        <v xml:space="preserve">   Exercice clos le 31 - 12- </v>
      </c>
      <c r="E7" s="1103">
        <f>'NOTE 26'!F7</f>
        <v>2025</v>
      </c>
      <c r="F7" s="126" t="str">
        <f>+'NOTE 26'!G7</f>
        <v xml:space="preserve">    Durée (en mois):</v>
      </c>
      <c r="G7" s="1103">
        <f>'NOTE 26'!H7</f>
        <v>12</v>
      </c>
    </row>
    <row r="8" spans="2:15">
      <c r="B8" s="115"/>
      <c r="C8" s="115"/>
      <c r="D8" s="115"/>
      <c r="E8" s="115"/>
      <c r="F8" s="115"/>
      <c r="G8" s="115"/>
    </row>
    <row r="9" spans="2:15" ht="20.25" customHeight="1">
      <c r="B9" s="1807" t="str">
        <f>IF([1]ACCUEIL!B1=1,"NOTES 27 TO STAFF","NOTES 27 A CHARGES DE PERSONNEL")</f>
        <v>NOTES 27 A CHARGES DE PERSONNEL</v>
      </c>
      <c r="C9" s="1807"/>
      <c r="D9" s="1807"/>
      <c r="E9" s="1807"/>
      <c r="F9" s="1807"/>
      <c r="G9" s="1807"/>
    </row>
    <row r="10" spans="2:15" ht="31.5" customHeight="1">
      <c r="B10" s="1969" t="str">
        <f>'NOTE 26'!B11:E11</f>
        <v xml:space="preserve">      RUBRIQUES</v>
      </c>
      <c r="C10" s="1970"/>
      <c r="D10" s="1971"/>
      <c r="E10" s="1185" t="str">
        <f>'NOTE 26'!F11</f>
        <v>Année 2025</v>
      </c>
      <c r="F10" s="1193" t="str">
        <f>'NOTE 26'!G11</f>
        <v>Année 2024</v>
      </c>
      <c r="G10" s="1193" t="str">
        <f>'NOTE 26'!H11</f>
        <v xml:space="preserve">Variation en % </v>
      </c>
    </row>
    <row r="11" spans="2:15" s="559" customFormat="1" ht="24.95" customHeight="1">
      <c r="B11" s="1110" t="str">
        <f>IF([1]ACCUEIL!B1=1,"Direct compensation paid to national staff","Rémunérations directes versées au personnel national")</f>
        <v>Rémunérations directes versées au personnel national</v>
      </c>
      <c r="C11" s="1188"/>
      <c r="D11" s="1111"/>
      <c r="E11" s="216">
        <f>'[1]CLASSE 6'!I361</f>
        <v>0</v>
      </c>
      <c r="F11" s="216">
        <f>'[1]CLASSE 6'!E361</f>
        <v>0</v>
      </c>
      <c r="G11" s="1189">
        <f>IF(H11=0,0,K11)</f>
        <v>0</v>
      </c>
      <c r="H11" s="559">
        <f t="shared" ref="H11:H19" si="0">E11-F11</f>
        <v>0</v>
      </c>
      <c r="I11" s="559">
        <f>IF(F11=0,1,IF(F11&lt;0,(E11-F11)/-F11,(E11-F11)/F11))</f>
        <v>1</v>
      </c>
      <c r="J11" s="559">
        <f>IF(H11=E11,IF(E11&lt;0,-1,0),0)</f>
        <v>0</v>
      </c>
      <c r="K11" s="559">
        <f>IF(J11=-1,-1,I11)</f>
        <v>1</v>
      </c>
    </row>
    <row r="12" spans="2:15" s="559" customFormat="1" ht="24.95" customHeight="1">
      <c r="B12" s="1110" t="str">
        <f>IF([1]ACCUEIL!B1=1,"Direct remuneration paid to non-national staff","Rémunérations directes versées au personnel non national")</f>
        <v>Rémunérations directes versées au personnel non national</v>
      </c>
      <c r="C12" s="1188"/>
      <c r="D12" s="1111"/>
      <c r="E12" s="216">
        <f>'[1]CLASSE 6'!I379</f>
        <v>0</v>
      </c>
      <c r="F12" s="216">
        <f>'[1]CLASSE 6'!E379</f>
        <v>0</v>
      </c>
      <c r="G12" s="1189">
        <f t="shared" ref="G12:G19" si="1">IF(H12=0,0,K12)</f>
        <v>0</v>
      </c>
      <c r="H12" s="559">
        <f t="shared" si="0"/>
        <v>0</v>
      </c>
      <c r="I12" s="559">
        <f t="shared" ref="I12:I19" si="2">IF(F12=0,1,IF(F12&lt;0,(E12-F12)/-F12,(E12-F12)/F12))</f>
        <v>1</v>
      </c>
      <c r="J12" s="559">
        <f t="shared" ref="J12:J19" si="3">IF(H12=E12,IF(E12&lt;0,-1,0),0)</f>
        <v>0</v>
      </c>
      <c r="K12" s="559">
        <f t="shared" ref="K12:K19" si="4">IF(J12=-1,-1,I12)</f>
        <v>1</v>
      </c>
    </row>
    <row r="13" spans="2:15" s="559" customFormat="1" ht="24.95" customHeight="1">
      <c r="B13" s="1110" t="str">
        <f>IF([1]ACCUEIL!B1=1,"Fixed compensation paid to staff","Indemnités forfaitaires versées au personnel ")</f>
        <v xml:space="preserve">Indemnités forfaitaires versées au personnel </v>
      </c>
      <c r="C13" s="1188"/>
      <c r="D13" s="1111"/>
      <c r="E13" s="216">
        <f>'[1]CLASSE 6'!I391</f>
        <v>0</v>
      </c>
      <c r="F13" s="216">
        <f>'[1]CLASSE 6'!E391</f>
        <v>0</v>
      </c>
      <c r="G13" s="1189">
        <f t="shared" si="1"/>
        <v>0</v>
      </c>
      <c r="H13" s="559">
        <f t="shared" si="0"/>
        <v>0</v>
      </c>
      <c r="I13" s="559">
        <f t="shared" si="2"/>
        <v>1</v>
      </c>
      <c r="J13" s="559">
        <f t="shared" si="3"/>
        <v>0</v>
      </c>
      <c r="K13" s="559">
        <f t="shared" si="4"/>
        <v>1</v>
      </c>
    </row>
    <row r="14" spans="2:15" s="559" customFormat="1" ht="24.95" customHeight="1">
      <c r="B14" s="1110" t="str">
        <f>IF([1]ACCUEIL!B1=1,"Social security charges (national staff)","Charges de sécurité sociale (personnel national)")</f>
        <v>Charges de sécurité sociale (personnel national)</v>
      </c>
      <c r="C14" s="1188"/>
      <c r="D14" s="1111"/>
      <c r="E14" s="216">
        <f>'[1]CLASSE 6'!I393</f>
        <v>0</v>
      </c>
      <c r="F14" s="216">
        <f>'[1]CLASSE 6'!E393</f>
        <v>0</v>
      </c>
      <c r="G14" s="1189">
        <f t="shared" si="1"/>
        <v>0</v>
      </c>
      <c r="H14" s="559">
        <f t="shared" si="0"/>
        <v>0</v>
      </c>
      <c r="I14" s="559">
        <f t="shared" si="2"/>
        <v>1</v>
      </c>
      <c r="J14" s="559">
        <f t="shared" si="3"/>
        <v>0</v>
      </c>
      <c r="K14" s="559">
        <f t="shared" si="4"/>
        <v>1</v>
      </c>
      <c r="O14" s="1277"/>
    </row>
    <row r="15" spans="2:15" s="559" customFormat="1" ht="24.95" customHeight="1">
      <c r="B15" s="1110" t="str">
        <f>IF([1]ACCUEIL!B1=1,"Social security charges (non-national staff)","Charges de sécurité sociale (personnel non national)")</f>
        <v>Charges de sécurité sociale (personnel non national)</v>
      </c>
      <c r="C15" s="1188"/>
      <c r="D15" s="1111"/>
      <c r="E15" s="216">
        <f>'[1]CLASSE 6'!I395</f>
        <v>0</v>
      </c>
      <c r="F15" s="216">
        <f>'[1]CLASSE 6'!E395</f>
        <v>0</v>
      </c>
      <c r="G15" s="1189">
        <f t="shared" si="1"/>
        <v>0</v>
      </c>
      <c r="H15" s="559">
        <f t="shared" si="0"/>
        <v>0</v>
      </c>
      <c r="I15" s="559">
        <f t="shared" si="2"/>
        <v>1</v>
      </c>
      <c r="J15" s="559">
        <f t="shared" si="3"/>
        <v>0</v>
      </c>
      <c r="K15" s="559">
        <f t="shared" si="4"/>
        <v>1</v>
      </c>
    </row>
    <row r="16" spans="2:15" s="559" customFormat="1" ht="24.95" customHeight="1">
      <c r="B16" s="1110" t="str">
        <f>IF([1]ACCUEIL!B1=1,"Remuneration and social charges of the individual operator","Rémunérations et charges sociales de l'exploitant individuel")</f>
        <v>Rémunérations et charges sociales de l'exploitant individuel</v>
      </c>
      <c r="C16" s="1278"/>
      <c r="D16" s="1279"/>
      <c r="E16" s="216">
        <f>'[1]CLASSE 6'!I403</f>
        <v>0</v>
      </c>
      <c r="F16" s="216">
        <f>'[1]CLASSE 6'!E403</f>
        <v>0</v>
      </c>
      <c r="G16" s="1189">
        <f t="shared" si="1"/>
        <v>0</v>
      </c>
      <c r="H16" s="559">
        <f t="shared" si="0"/>
        <v>0</v>
      </c>
      <c r="I16" s="559">
        <f t="shared" si="2"/>
        <v>1</v>
      </c>
      <c r="J16" s="559">
        <f t="shared" si="3"/>
        <v>0</v>
      </c>
      <c r="K16" s="559">
        <f t="shared" si="4"/>
        <v>1</v>
      </c>
    </row>
    <row r="17" spans="2:11" s="559" customFormat="1" ht="24.95" customHeight="1">
      <c r="B17" s="1110" t="str">
        <f>IF([1]ACCUEIL!B1=1,"Remuneration transferred from outside staff","Rémunération transférée de personnel extérieur")</f>
        <v>Rémunération transférée de personnel extérieur</v>
      </c>
      <c r="C17" s="1188"/>
      <c r="D17" s="1111"/>
      <c r="E17" s="216">
        <f>'[1]CLASSE 6'!I409</f>
        <v>0</v>
      </c>
      <c r="F17" s="216">
        <f>'[1]CLASSE 6'!E409</f>
        <v>0</v>
      </c>
      <c r="G17" s="1189">
        <f t="shared" si="1"/>
        <v>0</v>
      </c>
      <c r="H17" s="559">
        <f t="shared" si="0"/>
        <v>0</v>
      </c>
      <c r="I17" s="559">
        <f t="shared" si="2"/>
        <v>1</v>
      </c>
      <c r="J17" s="559">
        <f t="shared" si="3"/>
        <v>0</v>
      </c>
      <c r="K17" s="559">
        <f t="shared" si="4"/>
        <v>1</v>
      </c>
    </row>
    <row r="18" spans="2:11" s="559" customFormat="1" ht="24.95" customHeight="1">
      <c r="B18" s="1110" t="str">
        <f>IF([1]ACCUEIL!B1=1,"Other social charges","Autres charges sociales")</f>
        <v>Autres charges sociales</v>
      </c>
      <c r="C18" s="1188"/>
      <c r="D18" s="1111"/>
      <c r="E18" s="216">
        <f>'[1]CLASSE 6'!I427</f>
        <v>0</v>
      </c>
      <c r="F18" s="216">
        <f>'[1]CLASSE 6'!E427</f>
        <v>0</v>
      </c>
      <c r="G18" s="1189">
        <f t="shared" si="1"/>
        <v>0</v>
      </c>
      <c r="H18" s="559">
        <f t="shared" si="0"/>
        <v>0</v>
      </c>
      <c r="I18" s="559">
        <f t="shared" si="2"/>
        <v>1</v>
      </c>
      <c r="J18" s="559">
        <f t="shared" si="3"/>
        <v>0</v>
      </c>
      <c r="K18" s="559">
        <f t="shared" si="4"/>
        <v>1</v>
      </c>
    </row>
    <row r="19" spans="2:11" s="559" customFormat="1" ht="24.95" customHeight="1">
      <c r="B19" s="1115" t="s">
        <v>25</v>
      </c>
      <c r="C19" s="1191"/>
      <c r="D19" s="1116"/>
      <c r="E19" s="210">
        <f>SUM(E11:E18)</f>
        <v>0</v>
      </c>
      <c r="F19" s="210">
        <f>SUM(F11:F18)</f>
        <v>0</v>
      </c>
      <c r="G19" s="1192">
        <f t="shared" si="1"/>
        <v>0</v>
      </c>
      <c r="H19" s="559">
        <f t="shared" si="0"/>
        <v>0</v>
      </c>
      <c r="I19" s="559">
        <f t="shared" si="2"/>
        <v>1</v>
      </c>
      <c r="J19" s="559">
        <f t="shared" si="3"/>
        <v>0</v>
      </c>
      <c r="K19" s="559">
        <f t="shared" si="4"/>
        <v>1</v>
      </c>
    </row>
    <row r="20" spans="2:11">
      <c r="B20" s="118"/>
      <c r="C20" s="118"/>
      <c r="D20" s="118"/>
      <c r="E20" s="118"/>
      <c r="F20" s="118"/>
      <c r="G20" s="118"/>
    </row>
    <row r="21" spans="2:11">
      <c r="B21" s="1186" t="str">
        <f>'NOTE 26'!B24</f>
        <v>COMMENTAIRE</v>
      </c>
      <c r="C21" s="1733">
        <f>'[1]NOTE 27 A'!C21:G21</f>
        <v>0</v>
      </c>
      <c r="D21" s="1733"/>
      <c r="E21" s="1733"/>
      <c r="F21" s="1733"/>
      <c r="G21" s="1733"/>
    </row>
    <row r="22" spans="2:11">
      <c r="B22" s="1178"/>
      <c r="C22" s="1733">
        <f>'[1]NOTE 27 A'!C22:G22</f>
        <v>0</v>
      </c>
      <c r="D22" s="1733"/>
      <c r="E22" s="1733"/>
      <c r="F22" s="1733"/>
      <c r="G22" s="1733"/>
    </row>
    <row r="23" spans="2:11">
      <c r="B23" s="1187"/>
      <c r="C23" s="1733">
        <f>'[1]NOTE 27 A'!C23:G23</f>
        <v>0</v>
      </c>
      <c r="D23" s="1733"/>
      <c r="E23" s="1733"/>
      <c r="F23" s="1733"/>
      <c r="G23" s="1733"/>
    </row>
    <row r="24" spans="2:11">
      <c r="B24" s="1187"/>
      <c r="C24" s="1733">
        <f>'[1]NOTE 27 A'!C24:G24</f>
        <v>0</v>
      </c>
      <c r="D24" s="1733"/>
      <c r="E24" s="1733"/>
      <c r="F24" s="1733"/>
      <c r="G24" s="1733"/>
    </row>
    <row r="25" spans="2:11">
      <c r="B25" s="1187"/>
      <c r="C25" s="1733">
        <f>'[1]NOTE 27 A'!C25:G25</f>
        <v>0</v>
      </c>
      <c r="D25" s="1733"/>
      <c r="E25" s="1733"/>
      <c r="F25" s="1733"/>
      <c r="G25" s="1733"/>
    </row>
    <row r="26" spans="2:11">
      <c r="B26" s="118"/>
      <c r="C26" s="1733">
        <f>'[1]NOTE 27 A'!C26:G26</f>
        <v>0</v>
      </c>
      <c r="D26" s="1733"/>
      <c r="E26" s="1733"/>
      <c r="F26" s="1733"/>
      <c r="G26" s="1733"/>
    </row>
    <row r="27" spans="2:11">
      <c r="C27" s="1733">
        <f>'[1]NOTE 27 A'!C27:G27</f>
        <v>0</v>
      </c>
      <c r="D27" s="1733"/>
      <c r="E27" s="1733"/>
      <c r="F27" s="1733"/>
      <c r="G27" s="1733"/>
    </row>
    <row r="28" spans="2:11">
      <c r="C28" s="1733">
        <f>'[1]NOTE 27 A'!C28:G28</f>
        <v>0</v>
      </c>
      <c r="D28" s="1733"/>
      <c r="E28" s="1733"/>
      <c r="F28" s="1733"/>
      <c r="G28" s="1733"/>
    </row>
    <row r="29" spans="2:11">
      <c r="C29" s="1733">
        <f>'[1]NOTE 27 A'!C29:G29</f>
        <v>0</v>
      </c>
      <c r="D29" s="1733"/>
      <c r="E29" s="1733"/>
      <c r="F29" s="1733"/>
      <c r="G29" s="1733"/>
    </row>
    <row r="30" spans="2:11">
      <c r="C30" s="1733">
        <f>'[1]NOTE 27 A'!C30:G30</f>
        <v>0</v>
      </c>
      <c r="D30" s="1733"/>
      <c r="E30" s="1733"/>
      <c r="F30" s="1733"/>
      <c r="G30" s="1733"/>
    </row>
    <row r="31" spans="2:11">
      <c r="C31" s="1733">
        <f>'[1]NOTE 27 A'!C31:G31</f>
        <v>0</v>
      </c>
      <c r="D31" s="1733"/>
      <c r="E31" s="1733"/>
      <c r="F31" s="1733"/>
      <c r="G31" s="1733"/>
    </row>
    <row r="32" spans="2:11">
      <c r="C32" s="1733">
        <f>'[1]NOTE 27 A'!C32:G32</f>
        <v>0</v>
      </c>
      <c r="D32" s="1733"/>
      <c r="E32" s="1733"/>
      <c r="F32" s="1733"/>
      <c r="G32" s="1733"/>
    </row>
  </sheetData>
  <sheetProtection selectLockedCells="1"/>
  <mergeCells count="16">
    <mergeCell ref="C29:G29"/>
    <mergeCell ref="C30:G30"/>
    <mergeCell ref="C31:G31"/>
    <mergeCell ref="C32:G32"/>
    <mergeCell ref="C23:G23"/>
    <mergeCell ref="C24:G24"/>
    <mergeCell ref="C25:G25"/>
    <mergeCell ref="C26:G26"/>
    <mergeCell ref="C27:G27"/>
    <mergeCell ref="C28:G28"/>
    <mergeCell ref="C22:G22"/>
    <mergeCell ref="B1:G1"/>
    <mergeCell ref="F2:G3"/>
    <mergeCell ref="B9:G9"/>
    <mergeCell ref="B10:D10"/>
    <mergeCell ref="C21:G21"/>
  </mergeCells>
  <conditionalFormatting sqref="F5:G5 F6">
    <cfRule type="expression" dxfId="7" priority="1">
      <formula>#REF!=1</formula>
    </cfRule>
  </conditionalFormatting>
  <printOptions horizontalCentered="1"/>
  <pageMargins left="0.78740157480314965" right="0" top="0.59055118110236227" bottom="0.19685039370078741" header="0.31496062992125984" footer="0.31496062992125984"/>
  <pageSetup paperSize="9" scale="91" orientation="landscape" r:id="rId1"/>
  <headerFooter>
    <oddHeader>&amp;C&amp;"-,Gras"&amp;14Page &amp;P / &amp;N</oddHeader>
  </headerFooter>
  <colBreaks count="1" manualBreakCount="1">
    <brk id="7" max="23" man="1"/>
  </colBreak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Feuil65">
    <pageSetUpPr fitToPage="1"/>
  </sheetPr>
  <dimension ref="B1:T43"/>
  <sheetViews>
    <sheetView showGridLines="0" showZeros="0" topLeftCell="A16" zoomScale="80" zoomScaleNormal="80" workbookViewId="0">
      <selection activeCell="C24" sqref="C24:E24"/>
    </sheetView>
  </sheetViews>
  <sheetFormatPr baseColWidth="10" defaultColWidth="11.5703125" defaultRowHeight="15"/>
  <cols>
    <col min="1" max="1" width="17.85546875" customWidth="1"/>
    <col min="2" max="2" width="4" customWidth="1"/>
    <col min="3" max="3" width="20" customWidth="1"/>
    <col min="4" max="4" width="3.42578125" customWidth="1"/>
    <col min="5" max="5" width="4" customWidth="1"/>
    <col min="6" max="11" width="5.140625" customWidth="1"/>
    <col min="12" max="12" width="8.7109375" customWidth="1"/>
    <col min="13" max="14" width="13.7109375" customWidth="1"/>
    <col min="15" max="15" width="0.42578125" customWidth="1"/>
    <col min="16" max="17" width="13.7109375" customWidth="1"/>
    <col min="18" max="18" width="14.5703125" customWidth="1"/>
    <col min="19" max="19" width="18" bestFit="1" customWidth="1"/>
    <col min="20" max="20" width="13.7109375" customWidth="1"/>
    <col min="258" max="258" width="4" customWidth="1"/>
    <col min="259" max="259" width="20" customWidth="1"/>
    <col min="260" max="260" width="3.42578125" customWidth="1"/>
    <col min="261" max="261" width="4" customWidth="1"/>
    <col min="262" max="267" width="5.140625" customWidth="1"/>
    <col min="268" max="268" width="8.7109375" customWidth="1"/>
    <col min="269" max="270" width="13.7109375" customWidth="1"/>
    <col min="271" max="271" width="0.42578125" customWidth="1"/>
    <col min="272" max="276" width="13.7109375" customWidth="1"/>
    <col min="514" max="514" width="4" customWidth="1"/>
    <col min="515" max="515" width="20" customWidth="1"/>
    <col min="516" max="516" width="3.42578125" customWidth="1"/>
    <col min="517" max="517" width="4" customWidth="1"/>
    <col min="518" max="523" width="5.140625" customWidth="1"/>
    <col min="524" max="524" width="8.7109375" customWidth="1"/>
    <col min="525" max="526" width="13.7109375" customWidth="1"/>
    <col min="527" max="527" width="0.42578125" customWidth="1"/>
    <col min="528" max="532" width="13.7109375" customWidth="1"/>
    <col min="770" max="770" width="4" customWidth="1"/>
    <col min="771" max="771" width="20" customWidth="1"/>
    <col min="772" max="772" width="3.42578125" customWidth="1"/>
    <col min="773" max="773" width="4" customWidth="1"/>
    <col min="774" max="779" width="5.140625" customWidth="1"/>
    <col min="780" max="780" width="8.7109375" customWidth="1"/>
    <col min="781" max="782" width="13.7109375" customWidth="1"/>
    <col min="783" max="783" width="0.42578125" customWidth="1"/>
    <col min="784" max="788" width="13.7109375" customWidth="1"/>
    <col min="1026" max="1026" width="4" customWidth="1"/>
    <col min="1027" max="1027" width="20" customWidth="1"/>
    <col min="1028" max="1028" width="3.42578125" customWidth="1"/>
    <col min="1029" max="1029" width="4" customWidth="1"/>
    <col min="1030" max="1035" width="5.140625" customWidth="1"/>
    <col min="1036" max="1036" width="8.7109375" customWidth="1"/>
    <col min="1037" max="1038" width="13.7109375" customWidth="1"/>
    <col min="1039" max="1039" width="0.42578125" customWidth="1"/>
    <col min="1040" max="1044" width="13.7109375" customWidth="1"/>
    <col min="1282" max="1282" width="4" customWidth="1"/>
    <col min="1283" max="1283" width="20" customWidth="1"/>
    <col min="1284" max="1284" width="3.42578125" customWidth="1"/>
    <col min="1285" max="1285" width="4" customWidth="1"/>
    <col min="1286" max="1291" width="5.140625" customWidth="1"/>
    <col min="1292" max="1292" width="8.7109375" customWidth="1"/>
    <col min="1293" max="1294" width="13.7109375" customWidth="1"/>
    <col min="1295" max="1295" width="0.42578125" customWidth="1"/>
    <col min="1296" max="1300" width="13.7109375" customWidth="1"/>
    <col min="1538" max="1538" width="4" customWidth="1"/>
    <col min="1539" max="1539" width="20" customWidth="1"/>
    <col min="1540" max="1540" width="3.42578125" customWidth="1"/>
    <col min="1541" max="1541" width="4" customWidth="1"/>
    <col min="1542" max="1547" width="5.140625" customWidth="1"/>
    <col min="1548" max="1548" width="8.7109375" customWidth="1"/>
    <col min="1549" max="1550" width="13.7109375" customWidth="1"/>
    <col min="1551" max="1551" width="0.42578125" customWidth="1"/>
    <col min="1552" max="1556" width="13.7109375" customWidth="1"/>
    <col min="1794" max="1794" width="4" customWidth="1"/>
    <col min="1795" max="1795" width="20" customWidth="1"/>
    <col min="1796" max="1796" width="3.42578125" customWidth="1"/>
    <col min="1797" max="1797" width="4" customWidth="1"/>
    <col min="1798" max="1803" width="5.140625" customWidth="1"/>
    <col min="1804" max="1804" width="8.7109375" customWidth="1"/>
    <col min="1805" max="1806" width="13.7109375" customWidth="1"/>
    <col min="1807" max="1807" width="0.42578125" customWidth="1"/>
    <col min="1808" max="1812" width="13.7109375" customWidth="1"/>
    <col min="2050" max="2050" width="4" customWidth="1"/>
    <col min="2051" max="2051" width="20" customWidth="1"/>
    <col min="2052" max="2052" width="3.42578125" customWidth="1"/>
    <col min="2053" max="2053" width="4" customWidth="1"/>
    <col min="2054" max="2059" width="5.140625" customWidth="1"/>
    <col min="2060" max="2060" width="8.7109375" customWidth="1"/>
    <col min="2061" max="2062" width="13.7109375" customWidth="1"/>
    <col min="2063" max="2063" width="0.42578125" customWidth="1"/>
    <col min="2064" max="2068" width="13.7109375" customWidth="1"/>
    <col min="2306" max="2306" width="4" customWidth="1"/>
    <col min="2307" max="2307" width="20" customWidth="1"/>
    <col min="2308" max="2308" width="3.42578125" customWidth="1"/>
    <col min="2309" max="2309" width="4" customWidth="1"/>
    <col min="2310" max="2315" width="5.140625" customWidth="1"/>
    <col min="2316" max="2316" width="8.7109375" customWidth="1"/>
    <col min="2317" max="2318" width="13.7109375" customWidth="1"/>
    <col min="2319" max="2319" width="0.42578125" customWidth="1"/>
    <col min="2320" max="2324" width="13.7109375" customWidth="1"/>
    <col min="2562" max="2562" width="4" customWidth="1"/>
    <col min="2563" max="2563" width="20" customWidth="1"/>
    <col min="2564" max="2564" width="3.42578125" customWidth="1"/>
    <col min="2565" max="2565" width="4" customWidth="1"/>
    <col min="2566" max="2571" width="5.140625" customWidth="1"/>
    <col min="2572" max="2572" width="8.7109375" customWidth="1"/>
    <col min="2573" max="2574" width="13.7109375" customWidth="1"/>
    <col min="2575" max="2575" width="0.42578125" customWidth="1"/>
    <col min="2576" max="2580" width="13.7109375" customWidth="1"/>
    <col min="2818" max="2818" width="4" customWidth="1"/>
    <col min="2819" max="2819" width="20" customWidth="1"/>
    <col min="2820" max="2820" width="3.42578125" customWidth="1"/>
    <col min="2821" max="2821" width="4" customWidth="1"/>
    <col min="2822" max="2827" width="5.140625" customWidth="1"/>
    <col min="2828" max="2828" width="8.7109375" customWidth="1"/>
    <col min="2829" max="2830" width="13.7109375" customWidth="1"/>
    <col min="2831" max="2831" width="0.42578125" customWidth="1"/>
    <col min="2832" max="2836" width="13.7109375" customWidth="1"/>
    <col min="3074" max="3074" width="4" customWidth="1"/>
    <col min="3075" max="3075" width="20" customWidth="1"/>
    <col min="3076" max="3076" width="3.42578125" customWidth="1"/>
    <col min="3077" max="3077" width="4" customWidth="1"/>
    <col min="3078" max="3083" width="5.140625" customWidth="1"/>
    <col min="3084" max="3084" width="8.7109375" customWidth="1"/>
    <col min="3085" max="3086" width="13.7109375" customWidth="1"/>
    <col min="3087" max="3087" width="0.42578125" customWidth="1"/>
    <col min="3088" max="3092" width="13.7109375" customWidth="1"/>
    <col min="3330" max="3330" width="4" customWidth="1"/>
    <col min="3331" max="3331" width="20" customWidth="1"/>
    <col min="3332" max="3332" width="3.42578125" customWidth="1"/>
    <col min="3333" max="3333" width="4" customWidth="1"/>
    <col min="3334" max="3339" width="5.140625" customWidth="1"/>
    <col min="3340" max="3340" width="8.7109375" customWidth="1"/>
    <col min="3341" max="3342" width="13.7109375" customWidth="1"/>
    <col min="3343" max="3343" width="0.42578125" customWidth="1"/>
    <col min="3344" max="3348" width="13.7109375" customWidth="1"/>
    <col min="3586" max="3586" width="4" customWidth="1"/>
    <col min="3587" max="3587" width="20" customWidth="1"/>
    <col min="3588" max="3588" width="3.42578125" customWidth="1"/>
    <col min="3589" max="3589" width="4" customWidth="1"/>
    <col min="3590" max="3595" width="5.140625" customWidth="1"/>
    <col min="3596" max="3596" width="8.7109375" customWidth="1"/>
    <col min="3597" max="3598" width="13.7109375" customWidth="1"/>
    <col min="3599" max="3599" width="0.42578125" customWidth="1"/>
    <col min="3600" max="3604" width="13.7109375" customWidth="1"/>
    <col min="3842" max="3842" width="4" customWidth="1"/>
    <col min="3843" max="3843" width="20" customWidth="1"/>
    <col min="3844" max="3844" width="3.42578125" customWidth="1"/>
    <col min="3845" max="3845" width="4" customWidth="1"/>
    <col min="3846" max="3851" width="5.140625" customWidth="1"/>
    <col min="3852" max="3852" width="8.7109375" customWidth="1"/>
    <col min="3853" max="3854" width="13.7109375" customWidth="1"/>
    <col min="3855" max="3855" width="0.42578125" customWidth="1"/>
    <col min="3856" max="3860" width="13.7109375" customWidth="1"/>
    <col min="4098" max="4098" width="4" customWidth="1"/>
    <col min="4099" max="4099" width="20" customWidth="1"/>
    <col min="4100" max="4100" width="3.42578125" customWidth="1"/>
    <col min="4101" max="4101" width="4" customWidth="1"/>
    <col min="4102" max="4107" width="5.140625" customWidth="1"/>
    <col min="4108" max="4108" width="8.7109375" customWidth="1"/>
    <col min="4109" max="4110" width="13.7109375" customWidth="1"/>
    <col min="4111" max="4111" width="0.42578125" customWidth="1"/>
    <col min="4112" max="4116" width="13.7109375" customWidth="1"/>
    <col min="4354" max="4354" width="4" customWidth="1"/>
    <col min="4355" max="4355" width="20" customWidth="1"/>
    <col min="4356" max="4356" width="3.42578125" customWidth="1"/>
    <col min="4357" max="4357" width="4" customWidth="1"/>
    <col min="4358" max="4363" width="5.140625" customWidth="1"/>
    <col min="4364" max="4364" width="8.7109375" customWidth="1"/>
    <col min="4365" max="4366" width="13.7109375" customWidth="1"/>
    <col min="4367" max="4367" width="0.42578125" customWidth="1"/>
    <col min="4368" max="4372" width="13.7109375" customWidth="1"/>
    <col min="4610" max="4610" width="4" customWidth="1"/>
    <col min="4611" max="4611" width="20" customWidth="1"/>
    <col min="4612" max="4612" width="3.42578125" customWidth="1"/>
    <col min="4613" max="4613" width="4" customWidth="1"/>
    <col min="4614" max="4619" width="5.140625" customWidth="1"/>
    <col min="4620" max="4620" width="8.7109375" customWidth="1"/>
    <col min="4621" max="4622" width="13.7109375" customWidth="1"/>
    <col min="4623" max="4623" width="0.42578125" customWidth="1"/>
    <col min="4624" max="4628" width="13.7109375" customWidth="1"/>
    <col min="4866" max="4866" width="4" customWidth="1"/>
    <col min="4867" max="4867" width="20" customWidth="1"/>
    <col min="4868" max="4868" width="3.42578125" customWidth="1"/>
    <col min="4869" max="4869" width="4" customWidth="1"/>
    <col min="4870" max="4875" width="5.140625" customWidth="1"/>
    <col min="4876" max="4876" width="8.7109375" customWidth="1"/>
    <col min="4877" max="4878" width="13.7109375" customWidth="1"/>
    <col min="4879" max="4879" width="0.42578125" customWidth="1"/>
    <col min="4880" max="4884" width="13.7109375" customWidth="1"/>
    <col min="5122" max="5122" width="4" customWidth="1"/>
    <col min="5123" max="5123" width="20" customWidth="1"/>
    <col min="5124" max="5124" width="3.42578125" customWidth="1"/>
    <col min="5125" max="5125" width="4" customWidth="1"/>
    <col min="5126" max="5131" width="5.140625" customWidth="1"/>
    <col min="5132" max="5132" width="8.7109375" customWidth="1"/>
    <col min="5133" max="5134" width="13.7109375" customWidth="1"/>
    <col min="5135" max="5135" width="0.42578125" customWidth="1"/>
    <col min="5136" max="5140" width="13.7109375" customWidth="1"/>
    <col min="5378" max="5378" width="4" customWidth="1"/>
    <col min="5379" max="5379" width="20" customWidth="1"/>
    <col min="5380" max="5380" width="3.42578125" customWidth="1"/>
    <col min="5381" max="5381" width="4" customWidth="1"/>
    <col min="5382" max="5387" width="5.140625" customWidth="1"/>
    <col min="5388" max="5388" width="8.7109375" customWidth="1"/>
    <col min="5389" max="5390" width="13.7109375" customWidth="1"/>
    <col min="5391" max="5391" width="0.42578125" customWidth="1"/>
    <col min="5392" max="5396" width="13.7109375" customWidth="1"/>
    <col min="5634" max="5634" width="4" customWidth="1"/>
    <col min="5635" max="5635" width="20" customWidth="1"/>
    <col min="5636" max="5636" width="3.42578125" customWidth="1"/>
    <col min="5637" max="5637" width="4" customWidth="1"/>
    <col min="5638" max="5643" width="5.140625" customWidth="1"/>
    <col min="5644" max="5644" width="8.7109375" customWidth="1"/>
    <col min="5645" max="5646" width="13.7109375" customWidth="1"/>
    <col min="5647" max="5647" width="0.42578125" customWidth="1"/>
    <col min="5648" max="5652" width="13.7109375" customWidth="1"/>
    <col min="5890" max="5890" width="4" customWidth="1"/>
    <col min="5891" max="5891" width="20" customWidth="1"/>
    <col min="5892" max="5892" width="3.42578125" customWidth="1"/>
    <col min="5893" max="5893" width="4" customWidth="1"/>
    <col min="5894" max="5899" width="5.140625" customWidth="1"/>
    <col min="5900" max="5900" width="8.7109375" customWidth="1"/>
    <col min="5901" max="5902" width="13.7109375" customWidth="1"/>
    <col min="5903" max="5903" width="0.42578125" customWidth="1"/>
    <col min="5904" max="5908" width="13.7109375" customWidth="1"/>
    <col min="6146" max="6146" width="4" customWidth="1"/>
    <col min="6147" max="6147" width="20" customWidth="1"/>
    <col min="6148" max="6148" width="3.42578125" customWidth="1"/>
    <col min="6149" max="6149" width="4" customWidth="1"/>
    <col min="6150" max="6155" width="5.140625" customWidth="1"/>
    <col min="6156" max="6156" width="8.7109375" customWidth="1"/>
    <col min="6157" max="6158" width="13.7109375" customWidth="1"/>
    <col min="6159" max="6159" width="0.42578125" customWidth="1"/>
    <col min="6160" max="6164" width="13.7109375" customWidth="1"/>
    <col min="6402" max="6402" width="4" customWidth="1"/>
    <col min="6403" max="6403" width="20" customWidth="1"/>
    <col min="6404" max="6404" width="3.42578125" customWidth="1"/>
    <col min="6405" max="6405" width="4" customWidth="1"/>
    <col min="6406" max="6411" width="5.140625" customWidth="1"/>
    <col min="6412" max="6412" width="8.7109375" customWidth="1"/>
    <col min="6413" max="6414" width="13.7109375" customWidth="1"/>
    <col min="6415" max="6415" width="0.42578125" customWidth="1"/>
    <col min="6416" max="6420" width="13.7109375" customWidth="1"/>
    <col min="6658" max="6658" width="4" customWidth="1"/>
    <col min="6659" max="6659" width="20" customWidth="1"/>
    <col min="6660" max="6660" width="3.42578125" customWidth="1"/>
    <col min="6661" max="6661" width="4" customWidth="1"/>
    <col min="6662" max="6667" width="5.140625" customWidth="1"/>
    <col min="6668" max="6668" width="8.7109375" customWidth="1"/>
    <col min="6669" max="6670" width="13.7109375" customWidth="1"/>
    <col min="6671" max="6671" width="0.42578125" customWidth="1"/>
    <col min="6672" max="6676" width="13.7109375" customWidth="1"/>
    <col min="6914" max="6914" width="4" customWidth="1"/>
    <col min="6915" max="6915" width="20" customWidth="1"/>
    <col min="6916" max="6916" width="3.42578125" customWidth="1"/>
    <col min="6917" max="6917" width="4" customWidth="1"/>
    <col min="6918" max="6923" width="5.140625" customWidth="1"/>
    <col min="6924" max="6924" width="8.7109375" customWidth="1"/>
    <col min="6925" max="6926" width="13.7109375" customWidth="1"/>
    <col min="6927" max="6927" width="0.42578125" customWidth="1"/>
    <col min="6928" max="6932" width="13.7109375" customWidth="1"/>
    <col min="7170" max="7170" width="4" customWidth="1"/>
    <col min="7171" max="7171" width="20" customWidth="1"/>
    <col min="7172" max="7172" width="3.42578125" customWidth="1"/>
    <col min="7173" max="7173" width="4" customWidth="1"/>
    <col min="7174" max="7179" width="5.140625" customWidth="1"/>
    <col min="7180" max="7180" width="8.7109375" customWidth="1"/>
    <col min="7181" max="7182" width="13.7109375" customWidth="1"/>
    <col min="7183" max="7183" width="0.42578125" customWidth="1"/>
    <col min="7184" max="7188" width="13.7109375" customWidth="1"/>
    <col min="7426" max="7426" width="4" customWidth="1"/>
    <col min="7427" max="7427" width="20" customWidth="1"/>
    <col min="7428" max="7428" width="3.42578125" customWidth="1"/>
    <col min="7429" max="7429" width="4" customWidth="1"/>
    <col min="7430" max="7435" width="5.140625" customWidth="1"/>
    <col min="7436" max="7436" width="8.7109375" customWidth="1"/>
    <col min="7437" max="7438" width="13.7109375" customWidth="1"/>
    <col min="7439" max="7439" width="0.42578125" customWidth="1"/>
    <col min="7440" max="7444" width="13.7109375" customWidth="1"/>
    <col min="7682" max="7682" width="4" customWidth="1"/>
    <col min="7683" max="7683" width="20" customWidth="1"/>
    <col min="7684" max="7684" width="3.42578125" customWidth="1"/>
    <col min="7685" max="7685" width="4" customWidth="1"/>
    <col min="7686" max="7691" width="5.140625" customWidth="1"/>
    <col min="7692" max="7692" width="8.7109375" customWidth="1"/>
    <col min="7693" max="7694" width="13.7109375" customWidth="1"/>
    <col min="7695" max="7695" width="0.42578125" customWidth="1"/>
    <col min="7696" max="7700" width="13.7109375" customWidth="1"/>
    <col min="7938" max="7938" width="4" customWidth="1"/>
    <col min="7939" max="7939" width="20" customWidth="1"/>
    <col min="7940" max="7940" width="3.42578125" customWidth="1"/>
    <col min="7941" max="7941" width="4" customWidth="1"/>
    <col min="7942" max="7947" width="5.140625" customWidth="1"/>
    <col min="7948" max="7948" width="8.7109375" customWidth="1"/>
    <col min="7949" max="7950" width="13.7109375" customWidth="1"/>
    <col min="7951" max="7951" width="0.42578125" customWidth="1"/>
    <col min="7952" max="7956" width="13.7109375" customWidth="1"/>
    <col min="8194" max="8194" width="4" customWidth="1"/>
    <col min="8195" max="8195" width="20" customWidth="1"/>
    <col min="8196" max="8196" width="3.42578125" customWidth="1"/>
    <col min="8197" max="8197" width="4" customWidth="1"/>
    <col min="8198" max="8203" width="5.140625" customWidth="1"/>
    <col min="8204" max="8204" width="8.7109375" customWidth="1"/>
    <col min="8205" max="8206" width="13.7109375" customWidth="1"/>
    <col min="8207" max="8207" width="0.42578125" customWidth="1"/>
    <col min="8208" max="8212" width="13.7109375" customWidth="1"/>
    <col min="8450" max="8450" width="4" customWidth="1"/>
    <col min="8451" max="8451" width="20" customWidth="1"/>
    <col min="8452" max="8452" width="3.42578125" customWidth="1"/>
    <col min="8453" max="8453" width="4" customWidth="1"/>
    <col min="8454" max="8459" width="5.140625" customWidth="1"/>
    <col min="8460" max="8460" width="8.7109375" customWidth="1"/>
    <col min="8461" max="8462" width="13.7109375" customWidth="1"/>
    <col min="8463" max="8463" width="0.42578125" customWidth="1"/>
    <col min="8464" max="8468" width="13.7109375" customWidth="1"/>
    <col min="8706" max="8706" width="4" customWidth="1"/>
    <col min="8707" max="8707" width="20" customWidth="1"/>
    <col min="8708" max="8708" width="3.42578125" customWidth="1"/>
    <col min="8709" max="8709" width="4" customWidth="1"/>
    <col min="8710" max="8715" width="5.140625" customWidth="1"/>
    <col min="8716" max="8716" width="8.7109375" customWidth="1"/>
    <col min="8717" max="8718" width="13.7109375" customWidth="1"/>
    <col min="8719" max="8719" width="0.42578125" customWidth="1"/>
    <col min="8720" max="8724" width="13.7109375" customWidth="1"/>
    <col min="8962" max="8962" width="4" customWidth="1"/>
    <col min="8963" max="8963" width="20" customWidth="1"/>
    <col min="8964" max="8964" width="3.42578125" customWidth="1"/>
    <col min="8965" max="8965" width="4" customWidth="1"/>
    <col min="8966" max="8971" width="5.140625" customWidth="1"/>
    <col min="8972" max="8972" width="8.7109375" customWidth="1"/>
    <col min="8973" max="8974" width="13.7109375" customWidth="1"/>
    <col min="8975" max="8975" width="0.42578125" customWidth="1"/>
    <col min="8976" max="8980" width="13.7109375" customWidth="1"/>
    <col min="9218" max="9218" width="4" customWidth="1"/>
    <col min="9219" max="9219" width="20" customWidth="1"/>
    <col min="9220" max="9220" width="3.42578125" customWidth="1"/>
    <col min="9221" max="9221" width="4" customWidth="1"/>
    <col min="9222" max="9227" width="5.140625" customWidth="1"/>
    <col min="9228" max="9228" width="8.7109375" customWidth="1"/>
    <col min="9229" max="9230" width="13.7109375" customWidth="1"/>
    <col min="9231" max="9231" width="0.42578125" customWidth="1"/>
    <col min="9232" max="9236" width="13.7109375" customWidth="1"/>
    <col min="9474" max="9474" width="4" customWidth="1"/>
    <col min="9475" max="9475" width="20" customWidth="1"/>
    <col min="9476" max="9476" width="3.42578125" customWidth="1"/>
    <col min="9477" max="9477" width="4" customWidth="1"/>
    <col min="9478" max="9483" width="5.140625" customWidth="1"/>
    <col min="9484" max="9484" width="8.7109375" customWidth="1"/>
    <col min="9485" max="9486" width="13.7109375" customWidth="1"/>
    <col min="9487" max="9487" width="0.42578125" customWidth="1"/>
    <col min="9488" max="9492" width="13.7109375" customWidth="1"/>
    <col min="9730" max="9730" width="4" customWidth="1"/>
    <col min="9731" max="9731" width="20" customWidth="1"/>
    <col min="9732" max="9732" width="3.42578125" customWidth="1"/>
    <col min="9733" max="9733" width="4" customWidth="1"/>
    <col min="9734" max="9739" width="5.140625" customWidth="1"/>
    <col min="9740" max="9740" width="8.7109375" customWidth="1"/>
    <col min="9741" max="9742" width="13.7109375" customWidth="1"/>
    <col min="9743" max="9743" width="0.42578125" customWidth="1"/>
    <col min="9744" max="9748" width="13.7109375" customWidth="1"/>
    <col min="9986" max="9986" width="4" customWidth="1"/>
    <col min="9987" max="9987" width="20" customWidth="1"/>
    <col min="9988" max="9988" width="3.42578125" customWidth="1"/>
    <col min="9989" max="9989" width="4" customWidth="1"/>
    <col min="9990" max="9995" width="5.140625" customWidth="1"/>
    <col min="9996" max="9996" width="8.7109375" customWidth="1"/>
    <col min="9997" max="9998" width="13.7109375" customWidth="1"/>
    <col min="9999" max="9999" width="0.42578125" customWidth="1"/>
    <col min="10000" max="10004" width="13.7109375" customWidth="1"/>
    <col min="10242" max="10242" width="4" customWidth="1"/>
    <col min="10243" max="10243" width="20" customWidth="1"/>
    <col min="10244" max="10244" width="3.42578125" customWidth="1"/>
    <col min="10245" max="10245" width="4" customWidth="1"/>
    <col min="10246" max="10251" width="5.140625" customWidth="1"/>
    <col min="10252" max="10252" width="8.7109375" customWidth="1"/>
    <col min="10253" max="10254" width="13.7109375" customWidth="1"/>
    <col min="10255" max="10255" width="0.42578125" customWidth="1"/>
    <col min="10256" max="10260" width="13.7109375" customWidth="1"/>
    <col min="10498" max="10498" width="4" customWidth="1"/>
    <col min="10499" max="10499" width="20" customWidth="1"/>
    <col min="10500" max="10500" width="3.42578125" customWidth="1"/>
    <col min="10501" max="10501" width="4" customWidth="1"/>
    <col min="10502" max="10507" width="5.140625" customWidth="1"/>
    <col min="10508" max="10508" width="8.7109375" customWidth="1"/>
    <col min="10509" max="10510" width="13.7109375" customWidth="1"/>
    <col min="10511" max="10511" width="0.42578125" customWidth="1"/>
    <col min="10512" max="10516" width="13.7109375" customWidth="1"/>
    <col min="10754" max="10754" width="4" customWidth="1"/>
    <col min="10755" max="10755" width="20" customWidth="1"/>
    <col min="10756" max="10756" width="3.42578125" customWidth="1"/>
    <col min="10757" max="10757" width="4" customWidth="1"/>
    <col min="10758" max="10763" width="5.140625" customWidth="1"/>
    <col min="10764" max="10764" width="8.7109375" customWidth="1"/>
    <col min="10765" max="10766" width="13.7109375" customWidth="1"/>
    <col min="10767" max="10767" width="0.42578125" customWidth="1"/>
    <col min="10768" max="10772" width="13.7109375" customWidth="1"/>
    <col min="11010" max="11010" width="4" customWidth="1"/>
    <col min="11011" max="11011" width="20" customWidth="1"/>
    <col min="11012" max="11012" width="3.42578125" customWidth="1"/>
    <col min="11013" max="11013" width="4" customWidth="1"/>
    <col min="11014" max="11019" width="5.140625" customWidth="1"/>
    <col min="11020" max="11020" width="8.7109375" customWidth="1"/>
    <col min="11021" max="11022" width="13.7109375" customWidth="1"/>
    <col min="11023" max="11023" width="0.42578125" customWidth="1"/>
    <col min="11024" max="11028" width="13.7109375" customWidth="1"/>
    <col min="11266" max="11266" width="4" customWidth="1"/>
    <col min="11267" max="11267" width="20" customWidth="1"/>
    <col min="11268" max="11268" width="3.42578125" customWidth="1"/>
    <col min="11269" max="11269" width="4" customWidth="1"/>
    <col min="11270" max="11275" width="5.140625" customWidth="1"/>
    <col min="11276" max="11276" width="8.7109375" customWidth="1"/>
    <col min="11277" max="11278" width="13.7109375" customWidth="1"/>
    <col min="11279" max="11279" width="0.42578125" customWidth="1"/>
    <col min="11280" max="11284" width="13.7109375" customWidth="1"/>
    <col min="11522" max="11522" width="4" customWidth="1"/>
    <col min="11523" max="11523" width="20" customWidth="1"/>
    <col min="11524" max="11524" width="3.42578125" customWidth="1"/>
    <col min="11525" max="11525" width="4" customWidth="1"/>
    <col min="11526" max="11531" width="5.140625" customWidth="1"/>
    <col min="11532" max="11532" width="8.7109375" customWidth="1"/>
    <col min="11533" max="11534" width="13.7109375" customWidth="1"/>
    <col min="11535" max="11535" width="0.42578125" customWidth="1"/>
    <col min="11536" max="11540" width="13.7109375" customWidth="1"/>
    <col min="11778" max="11778" width="4" customWidth="1"/>
    <col min="11779" max="11779" width="20" customWidth="1"/>
    <col min="11780" max="11780" width="3.42578125" customWidth="1"/>
    <col min="11781" max="11781" width="4" customWidth="1"/>
    <col min="11782" max="11787" width="5.140625" customWidth="1"/>
    <col min="11788" max="11788" width="8.7109375" customWidth="1"/>
    <col min="11789" max="11790" width="13.7109375" customWidth="1"/>
    <col min="11791" max="11791" width="0.42578125" customWidth="1"/>
    <col min="11792" max="11796" width="13.7109375" customWidth="1"/>
    <col min="12034" max="12034" width="4" customWidth="1"/>
    <col min="12035" max="12035" width="20" customWidth="1"/>
    <col min="12036" max="12036" width="3.42578125" customWidth="1"/>
    <col min="12037" max="12037" width="4" customWidth="1"/>
    <col min="12038" max="12043" width="5.140625" customWidth="1"/>
    <col min="12044" max="12044" width="8.7109375" customWidth="1"/>
    <col min="12045" max="12046" width="13.7109375" customWidth="1"/>
    <col min="12047" max="12047" width="0.42578125" customWidth="1"/>
    <col min="12048" max="12052" width="13.7109375" customWidth="1"/>
    <col min="12290" max="12290" width="4" customWidth="1"/>
    <col min="12291" max="12291" width="20" customWidth="1"/>
    <col min="12292" max="12292" width="3.42578125" customWidth="1"/>
    <col min="12293" max="12293" width="4" customWidth="1"/>
    <col min="12294" max="12299" width="5.140625" customWidth="1"/>
    <col min="12300" max="12300" width="8.7109375" customWidth="1"/>
    <col min="12301" max="12302" width="13.7109375" customWidth="1"/>
    <col min="12303" max="12303" width="0.42578125" customWidth="1"/>
    <col min="12304" max="12308" width="13.7109375" customWidth="1"/>
    <col min="12546" max="12546" width="4" customWidth="1"/>
    <col min="12547" max="12547" width="20" customWidth="1"/>
    <col min="12548" max="12548" width="3.42578125" customWidth="1"/>
    <col min="12549" max="12549" width="4" customWidth="1"/>
    <col min="12550" max="12555" width="5.140625" customWidth="1"/>
    <col min="12556" max="12556" width="8.7109375" customWidth="1"/>
    <col min="12557" max="12558" width="13.7109375" customWidth="1"/>
    <col min="12559" max="12559" width="0.42578125" customWidth="1"/>
    <col min="12560" max="12564" width="13.7109375" customWidth="1"/>
    <col min="12802" max="12802" width="4" customWidth="1"/>
    <col min="12803" max="12803" width="20" customWidth="1"/>
    <col min="12804" max="12804" width="3.42578125" customWidth="1"/>
    <col min="12805" max="12805" width="4" customWidth="1"/>
    <col min="12806" max="12811" width="5.140625" customWidth="1"/>
    <col min="12812" max="12812" width="8.7109375" customWidth="1"/>
    <col min="12813" max="12814" width="13.7109375" customWidth="1"/>
    <col min="12815" max="12815" width="0.42578125" customWidth="1"/>
    <col min="12816" max="12820" width="13.7109375" customWidth="1"/>
    <col min="13058" max="13058" width="4" customWidth="1"/>
    <col min="13059" max="13059" width="20" customWidth="1"/>
    <col min="13060" max="13060" width="3.42578125" customWidth="1"/>
    <col min="13061" max="13061" width="4" customWidth="1"/>
    <col min="13062" max="13067" width="5.140625" customWidth="1"/>
    <col min="13068" max="13068" width="8.7109375" customWidth="1"/>
    <col min="13069" max="13070" width="13.7109375" customWidth="1"/>
    <col min="13071" max="13071" width="0.42578125" customWidth="1"/>
    <col min="13072" max="13076" width="13.7109375" customWidth="1"/>
    <col min="13314" max="13314" width="4" customWidth="1"/>
    <col min="13315" max="13315" width="20" customWidth="1"/>
    <col min="13316" max="13316" width="3.42578125" customWidth="1"/>
    <col min="13317" max="13317" width="4" customWidth="1"/>
    <col min="13318" max="13323" width="5.140625" customWidth="1"/>
    <col min="13324" max="13324" width="8.7109375" customWidth="1"/>
    <col min="13325" max="13326" width="13.7109375" customWidth="1"/>
    <col min="13327" max="13327" width="0.42578125" customWidth="1"/>
    <col min="13328" max="13332" width="13.7109375" customWidth="1"/>
    <col min="13570" max="13570" width="4" customWidth="1"/>
    <col min="13571" max="13571" width="20" customWidth="1"/>
    <col min="13572" max="13572" width="3.42578125" customWidth="1"/>
    <col min="13573" max="13573" width="4" customWidth="1"/>
    <col min="13574" max="13579" width="5.140625" customWidth="1"/>
    <col min="13580" max="13580" width="8.7109375" customWidth="1"/>
    <col min="13581" max="13582" width="13.7109375" customWidth="1"/>
    <col min="13583" max="13583" width="0.42578125" customWidth="1"/>
    <col min="13584" max="13588" width="13.7109375" customWidth="1"/>
    <col min="13826" max="13826" width="4" customWidth="1"/>
    <col min="13827" max="13827" width="20" customWidth="1"/>
    <col min="13828" max="13828" width="3.42578125" customWidth="1"/>
    <col min="13829" max="13829" width="4" customWidth="1"/>
    <col min="13830" max="13835" width="5.140625" customWidth="1"/>
    <col min="13836" max="13836" width="8.7109375" customWidth="1"/>
    <col min="13837" max="13838" width="13.7109375" customWidth="1"/>
    <col min="13839" max="13839" width="0.42578125" customWidth="1"/>
    <col min="13840" max="13844" width="13.7109375" customWidth="1"/>
    <col min="14082" max="14082" width="4" customWidth="1"/>
    <col min="14083" max="14083" width="20" customWidth="1"/>
    <col min="14084" max="14084" width="3.42578125" customWidth="1"/>
    <col min="14085" max="14085" width="4" customWidth="1"/>
    <col min="14086" max="14091" width="5.140625" customWidth="1"/>
    <col min="14092" max="14092" width="8.7109375" customWidth="1"/>
    <col min="14093" max="14094" width="13.7109375" customWidth="1"/>
    <col min="14095" max="14095" width="0.42578125" customWidth="1"/>
    <col min="14096" max="14100" width="13.7109375" customWidth="1"/>
    <col min="14338" max="14338" width="4" customWidth="1"/>
    <col min="14339" max="14339" width="20" customWidth="1"/>
    <col min="14340" max="14340" width="3.42578125" customWidth="1"/>
    <col min="14341" max="14341" width="4" customWidth="1"/>
    <col min="14342" max="14347" width="5.140625" customWidth="1"/>
    <col min="14348" max="14348" width="8.7109375" customWidth="1"/>
    <col min="14349" max="14350" width="13.7109375" customWidth="1"/>
    <col min="14351" max="14351" width="0.42578125" customWidth="1"/>
    <col min="14352" max="14356" width="13.7109375" customWidth="1"/>
    <col min="14594" max="14594" width="4" customWidth="1"/>
    <col min="14595" max="14595" width="20" customWidth="1"/>
    <col min="14596" max="14596" width="3.42578125" customWidth="1"/>
    <col min="14597" max="14597" width="4" customWidth="1"/>
    <col min="14598" max="14603" width="5.140625" customWidth="1"/>
    <col min="14604" max="14604" width="8.7109375" customWidth="1"/>
    <col min="14605" max="14606" width="13.7109375" customWidth="1"/>
    <col min="14607" max="14607" width="0.42578125" customWidth="1"/>
    <col min="14608" max="14612" width="13.7109375" customWidth="1"/>
    <col min="14850" max="14850" width="4" customWidth="1"/>
    <col min="14851" max="14851" width="20" customWidth="1"/>
    <col min="14852" max="14852" width="3.42578125" customWidth="1"/>
    <col min="14853" max="14853" width="4" customWidth="1"/>
    <col min="14854" max="14859" width="5.140625" customWidth="1"/>
    <col min="14860" max="14860" width="8.7109375" customWidth="1"/>
    <col min="14861" max="14862" width="13.7109375" customWidth="1"/>
    <col min="14863" max="14863" width="0.42578125" customWidth="1"/>
    <col min="14864" max="14868" width="13.7109375" customWidth="1"/>
    <col min="15106" max="15106" width="4" customWidth="1"/>
    <col min="15107" max="15107" width="20" customWidth="1"/>
    <col min="15108" max="15108" width="3.42578125" customWidth="1"/>
    <col min="15109" max="15109" width="4" customWidth="1"/>
    <col min="15110" max="15115" width="5.140625" customWidth="1"/>
    <col min="15116" max="15116" width="8.7109375" customWidth="1"/>
    <col min="15117" max="15118" width="13.7109375" customWidth="1"/>
    <col min="15119" max="15119" width="0.42578125" customWidth="1"/>
    <col min="15120" max="15124" width="13.7109375" customWidth="1"/>
    <col min="15362" max="15362" width="4" customWidth="1"/>
    <col min="15363" max="15363" width="20" customWidth="1"/>
    <col min="15364" max="15364" width="3.42578125" customWidth="1"/>
    <col min="15365" max="15365" width="4" customWidth="1"/>
    <col min="15366" max="15371" width="5.140625" customWidth="1"/>
    <col min="15372" max="15372" width="8.7109375" customWidth="1"/>
    <col min="15373" max="15374" width="13.7109375" customWidth="1"/>
    <col min="15375" max="15375" width="0.42578125" customWidth="1"/>
    <col min="15376" max="15380" width="13.7109375" customWidth="1"/>
    <col min="15618" max="15618" width="4" customWidth="1"/>
    <col min="15619" max="15619" width="20" customWidth="1"/>
    <col min="15620" max="15620" width="3.42578125" customWidth="1"/>
    <col min="15621" max="15621" width="4" customWidth="1"/>
    <col min="15622" max="15627" width="5.140625" customWidth="1"/>
    <col min="15628" max="15628" width="8.7109375" customWidth="1"/>
    <col min="15629" max="15630" width="13.7109375" customWidth="1"/>
    <col min="15631" max="15631" width="0.42578125" customWidth="1"/>
    <col min="15632" max="15636" width="13.7109375" customWidth="1"/>
    <col min="15874" max="15874" width="4" customWidth="1"/>
    <col min="15875" max="15875" width="20" customWidth="1"/>
    <col min="15876" max="15876" width="3.42578125" customWidth="1"/>
    <col min="15877" max="15877" width="4" customWidth="1"/>
    <col min="15878" max="15883" width="5.140625" customWidth="1"/>
    <col min="15884" max="15884" width="8.7109375" customWidth="1"/>
    <col min="15885" max="15886" width="13.7109375" customWidth="1"/>
    <col min="15887" max="15887" width="0.42578125" customWidth="1"/>
    <col min="15888" max="15892" width="13.7109375" customWidth="1"/>
    <col min="16130" max="16130" width="4" customWidth="1"/>
    <col min="16131" max="16131" width="20" customWidth="1"/>
    <col min="16132" max="16132" width="3.42578125" customWidth="1"/>
    <col min="16133" max="16133" width="4" customWidth="1"/>
    <col min="16134" max="16139" width="5.140625" customWidth="1"/>
    <col min="16140" max="16140" width="8.7109375" customWidth="1"/>
    <col min="16141" max="16142" width="13.7109375" customWidth="1"/>
    <col min="16143" max="16143" width="0.42578125" customWidth="1"/>
    <col min="16144" max="16148" width="13.7109375" customWidth="1"/>
  </cols>
  <sheetData>
    <row r="1" spans="2:20">
      <c r="B1" s="1826"/>
      <c r="C1" s="1826"/>
      <c r="D1" s="1826"/>
      <c r="E1" s="1826"/>
      <c r="F1" s="1826"/>
      <c r="G1" s="1826"/>
      <c r="H1" s="1826"/>
      <c r="I1" s="1826"/>
      <c r="J1" s="1826"/>
      <c r="K1" s="1826"/>
      <c r="L1" s="1826"/>
      <c r="M1" s="1826"/>
      <c r="N1" s="1826"/>
      <c r="O1" s="1826"/>
      <c r="P1" s="1826"/>
      <c r="Q1" s="1826"/>
      <c r="R1" s="1826"/>
      <c r="S1" s="1826"/>
      <c r="T1" s="1826"/>
    </row>
    <row r="2" spans="2:20" ht="24.75" customHeight="1">
      <c r="B2" s="778"/>
      <c r="C2" s="778"/>
      <c r="D2" s="778"/>
      <c r="E2" s="778"/>
      <c r="F2" s="778"/>
      <c r="G2" s="778"/>
      <c r="H2" s="779"/>
      <c r="I2" s="779"/>
      <c r="J2" s="779"/>
      <c r="K2" s="779"/>
      <c r="L2" s="779"/>
      <c r="M2" s="779"/>
      <c r="N2" s="779"/>
      <c r="O2" s="779"/>
      <c r="P2" s="779"/>
      <c r="Q2" s="779"/>
      <c r="R2" s="779"/>
      <c r="S2" s="1997" t="str">
        <f>IF([1]ACCUEIL!B1=1,"NOTE 27 B
NORMAL SYSTEM","NOTE 27 B
SYSTEME NORMAL")</f>
        <v>NOTE 27 B
SYSTEME NORMAL</v>
      </c>
      <c r="T2" s="1998"/>
    </row>
    <row r="3" spans="2:20" s="783" customFormat="1" ht="15" customHeight="1">
      <c r="B3" s="596" t="str">
        <f>'NOTE 27 A'!B4</f>
        <v>Désignation entité:</v>
      </c>
      <c r="C3" s="596"/>
      <c r="D3" s="780"/>
      <c r="E3" s="781" t="str">
        <f>'NOTE 27 A'!C4</f>
        <v/>
      </c>
      <c r="F3" s="782"/>
      <c r="G3" s="782"/>
      <c r="H3" s="782"/>
      <c r="I3" s="782"/>
      <c r="J3" s="782"/>
      <c r="K3" s="782"/>
      <c r="L3" s="782"/>
      <c r="M3" s="782"/>
      <c r="N3" s="782"/>
      <c r="O3" s="782"/>
      <c r="P3" s="782"/>
      <c r="Q3" s="782"/>
      <c r="R3" s="782"/>
      <c r="S3" s="782"/>
      <c r="T3" s="782"/>
    </row>
    <row r="4" spans="2:20" s="783" customFormat="1" ht="15" customHeight="1">
      <c r="B4" s="596" t="str">
        <f>'NOTE 27 A'!B5</f>
        <v>Sigle usuel :</v>
      </c>
      <c r="C4" s="596"/>
      <c r="D4" s="780"/>
      <c r="E4" s="784" t="str">
        <f>'NOTE 27 A'!C5</f>
        <v/>
      </c>
      <c r="F4" s="785"/>
      <c r="G4" s="786"/>
      <c r="I4" s="787"/>
      <c r="J4" s="787"/>
      <c r="K4" s="787"/>
      <c r="L4" s="787"/>
      <c r="M4" s="787"/>
      <c r="N4" s="787"/>
      <c r="O4" s="787"/>
      <c r="P4" s="787"/>
      <c r="Q4" s="787"/>
      <c r="R4" s="786"/>
      <c r="S4" s="786"/>
      <c r="T4" s="786"/>
    </row>
    <row r="5" spans="2:20" s="783" customFormat="1" ht="15" customHeight="1">
      <c r="B5" s="596" t="str">
        <f>'NOTE 27 A'!B6</f>
        <v>Adresse:</v>
      </c>
      <c r="C5" s="596"/>
      <c r="E5" s="788">
        <f>'NOTE 27 A'!C6</f>
        <v>0</v>
      </c>
      <c r="F5" s="788"/>
      <c r="G5" s="788"/>
      <c r="H5" s="595"/>
      <c r="I5" s="595"/>
      <c r="J5" s="595"/>
      <c r="K5" s="595"/>
      <c r="L5" s="595"/>
      <c r="M5" s="595"/>
      <c r="N5" s="595"/>
      <c r="O5" s="595"/>
      <c r="P5" s="789"/>
      <c r="Q5" s="789"/>
      <c r="R5" s="790"/>
      <c r="S5" s="600" t="str">
        <f>'NOTE 27 A'!F6</f>
        <v>BP:</v>
      </c>
      <c r="T5" s="601" t="str">
        <f>'NOTE 27 A'!G6</f>
        <v/>
      </c>
    </row>
    <row r="6" spans="2:20" s="783" customFormat="1" ht="15" customHeight="1">
      <c r="B6" s="596" t="str">
        <f>'NOTE 27 A'!B7</f>
        <v>Numéro d'identification:</v>
      </c>
      <c r="C6" s="596"/>
      <c r="E6" s="1999" t="str">
        <f>'NOTE 27 A'!C7</f>
        <v/>
      </c>
      <c r="F6" s="1999"/>
      <c r="G6" s="1999"/>
      <c r="H6" s="1999"/>
      <c r="I6" s="1999"/>
      <c r="J6" s="1999"/>
      <c r="K6" s="1999"/>
      <c r="L6" s="1999"/>
      <c r="M6" s="1999"/>
      <c r="N6" s="1999"/>
      <c r="P6" s="1833" t="str">
        <f>'NOTE 27 A'!D7</f>
        <v xml:space="preserve">   Exercice clos le 31 - 12- </v>
      </c>
      <c r="Q6" s="1833"/>
      <c r="R6" s="599">
        <f>+'NOTE 27 A'!E7</f>
        <v>2025</v>
      </c>
      <c r="S6" s="600" t="str">
        <f>'NOTE 27 A'!F7</f>
        <v xml:space="preserve">    Durée (en mois):</v>
      </c>
      <c r="T6" s="601">
        <f>'NOTE 27 A'!G7</f>
        <v>12</v>
      </c>
    </row>
    <row r="7" spans="2:20" ht="35.1" customHeight="1">
      <c r="B7" s="1638" t="str">
        <f>IF([1]ACCUEIL!B1=1,"NOTE 27 B: WORKFORCE, SALARY MASS AND EXTERNAL STAFF","NOTE 27 B : EFFECTIFS, MASSE SALARIALE ET PERSONNEL EXTERIEUR")</f>
        <v>NOTE 27 B : EFFECTIFS, MASSE SALARIALE ET PERSONNEL EXTERIEUR</v>
      </c>
      <c r="C7" s="1638"/>
      <c r="D7" s="1638"/>
      <c r="E7" s="1638"/>
      <c r="F7" s="1638"/>
      <c r="G7" s="1638"/>
      <c r="H7" s="1638"/>
      <c r="I7" s="1638"/>
      <c r="J7" s="1638"/>
      <c r="K7" s="1638"/>
      <c r="L7" s="1638"/>
      <c r="M7" s="1638"/>
      <c r="N7" s="1638"/>
      <c r="O7" s="1638"/>
      <c r="P7" s="1638"/>
      <c r="Q7" s="1638"/>
      <c r="R7" s="1638"/>
      <c r="S7" s="1638"/>
      <c r="T7" s="1638"/>
    </row>
    <row r="8" spans="2:20">
      <c r="B8" s="791"/>
      <c r="C8" s="1995" t="str">
        <f>IF([1]ACCUEIL!B1=1,"WORKFORCE AND MASS PAY","EFFECTIF  ET MASSE SALARIALE")</f>
        <v>EFFECTIF  ET MASSE SALARIALE</v>
      </c>
      <c r="D8" s="1995"/>
      <c r="E8" s="1995"/>
      <c r="F8" s="1996" t="str">
        <f>IF([1]ACCUEIL!B1=1,"WORKFORCE","EFFECTIFS")</f>
        <v>EFFECTIFS</v>
      </c>
      <c r="G8" s="1996"/>
      <c r="H8" s="1996"/>
      <c r="I8" s="1996"/>
      <c r="J8" s="1996"/>
      <c r="K8" s="1996"/>
      <c r="L8" s="1996"/>
      <c r="M8" s="1996" t="str">
        <f>IF([1]ACCUEIL!B1=1,"SALARY MASS","MASSE SALARIALE")</f>
        <v>MASSE SALARIALE</v>
      </c>
      <c r="N8" s="1996"/>
      <c r="O8" s="1996"/>
      <c r="P8" s="1996"/>
      <c r="Q8" s="1996"/>
      <c r="R8" s="1996"/>
      <c r="S8" s="1996"/>
      <c r="T8" s="1996"/>
    </row>
    <row r="9" spans="2:20">
      <c r="B9" s="791"/>
      <c r="C9" s="2001"/>
      <c r="D9" s="2001"/>
      <c r="E9" s="2001"/>
      <c r="F9" s="2003" t="str">
        <f>IF([1]ACCUEIL!B1=1,"National","Nationaux")</f>
        <v>Nationaux</v>
      </c>
      <c r="G9" s="2003"/>
      <c r="H9" s="2003" t="str">
        <f>IF([1]ACCUEIL!B1=1,"Other
States of
WAEMU","Autres
États de
UEMOA")</f>
        <v>Autres
États de
UEMOA</v>
      </c>
      <c r="I9" s="2003"/>
      <c r="J9" s="2003" t="str">
        <f>IF([1]ACCUEIL!B1=1,"Except
WAEMU","Hors
UEMOA")</f>
        <v>Hors
UEMOA</v>
      </c>
      <c r="K9" s="2003"/>
      <c r="L9" s="1996" t="s">
        <v>25</v>
      </c>
      <c r="M9" s="2003" t="str">
        <f>F9</f>
        <v>Nationaux</v>
      </c>
      <c r="N9" s="2003"/>
      <c r="O9" s="792"/>
      <c r="P9" s="2003" t="str">
        <f>H9</f>
        <v>Autres
États de
UEMOA</v>
      </c>
      <c r="Q9" s="2003"/>
      <c r="R9" s="2003" t="str">
        <f>J9</f>
        <v>Hors
UEMOA</v>
      </c>
      <c r="S9" s="2003"/>
      <c r="T9" s="1996" t="s">
        <v>25</v>
      </c>
    </row>
    <row r="10" spans="2:20" ht="24" customHeight="1">
      <c r="B10" s="791"/>
      <c r="C10" s="2002"/>
      <c r="D10" s="2002"/>
      <c r="E10" s="2002"/>
      <c r="F10" s="2003"/>
      <c r="G10" s="2003"/>
      <c r="H10" s="2003"/>
      <c r="I10" s="2003"/>
      <c r="J10" s="2003"/>
      <c r="K10" s="2003"/>
      <c r="L10" s="1996"/>
      <c r="M10" s="2003"/>
      <c r="N10" s="2003"/>
      <c r="O10" s="793"/>
      <c r="P10" s="2003"/>
      <c r="Q10" s="2003"/>
      <c r="R10" s="2003"/>
      <c r="S10" s="2003"/>
      <c r="T10" s="1996"/>
    </row>
    <row r="11" spans="2:20" s="795" customFormat="1" ht="14.25" customHeight="1">
      <c r="B11" s="791"/>
      <c r="C11" s="2004" t="str">
        <f>IF([1]ACCUEIL!B1=1,"QUALIFICATIONS","QUALIFICATIONS")</f>
        <v>QUALIFICATIONS</v>
      </c>
      <c r="D11" s="2004"/>
      <c r="E11" s="2004"/>
      <c r="F11" s="792" t="s">
        <v>279</v>
      </c>
      <c r="G11" s="792" t="s">
        <v>160</v>
      </c>
      <c r="H11" s="792" t="s">
        <v>279</v>
      </c>
      <c r="I11" s="792" t="s">
        <v>160</v>
      </c>
      <c r="J11" s="792" t="s">
        <v>279</v>
      </c>
      <c r="K11" s="792" t="s">
        <v>160</v>
      </c>
      <c r="L11" s="794"/>
      <c r="M11" s="792" t="s">
        <v>279</v>
      </c>
      <c r="N11" s="792" t="s">
        <v>160</v>
      </c>
      <c r="O11" s="792"/>
      <c r="P11" s="792" t="s">
        <v>279</v>
      </c>
      <c r="Q11" s="792" t="s">
        <v>160</v>
      </c>
      <c r="R11" s="792" t="s">
        <v>279</v>
      </c>
      <c r="S11" s="792" t="s">
        <v>160</v>
      </c>
      <c r="T11" s="794"/>
    </row>
    <row r="12" spans="2:20">
      <c r="B12" s="796" t="s">
        <v>280</v>
      </c>
      <c r="C12" s="2000" t="str">
        <f>IF([1]ACCUEIL!B1=1,"1. Senior management","1. Cadres supérieurs")</f>
        <v>1. Cadres supérieurs</v>
      </c>
      <c r="D12" s="2000"/>
      <c r="E12" s="2000"/>
      <c r="F12" s="797">
        <f>'[1]NOTE 27 B'!F12</f>
        <v>0</v>
      </c>
      <c r="G12" s="797">
        <f>'[1]NOTE 27 B'!G12</f>
        <v>0</v>
      </c>
      <c r="H12" s="797">
        <f>'[1]NOTE 27 B'!H12</f>
        <v>0</v>
      </c>
      <c r="I12" s="797">
        <f>'[1]NOTE 27 B'!I12</f>
        <v>0</v>
      </c>
      <c r="J12" s="797">
        <f>'[1]NOTE 27 B'!J12</f>
        <v>0</v>
      </c>
      <c r="K12" s="797">
        <f>'[1]NOTE 27 B'!K12</f>
        <v>0</v>
      </c>
      <c r="L12" s="798">
        <f>SUM(F12:K12)</f>
        <v>0</v>
      </c>
      <c r="M12" s="799">
        <f>'[1]NOTE 27 B'!M12</f>
        <v>0</v>
      </c>
      <c r="N12" s="799">
        <f>'[1]NOTE 27 B'!N12</f>
        <v>0</v>
      </c>
      <c r="O12" s="800"/>
      <c r="P12" s="799">
        <f>'[1]NOTE 27 B'!P12</f>
        <v>0</v>
      </c>
      <c r="Q12" s="799">
        <f>'[1]NOTE 27 B'!Q12</f>
        <v>0</v>
      </c>
      <c r="R12" s="799">
        <f>'[1]NOTE 27 B'!R12</f>
        <v>0</v>
      </c>
      <c r="S12" s="799">
        <f>'[1]NOTE 27 B'!S12</f>
        <v>0</v>
      </c>
      <c r="T12" s="801">
        <f t="shared" ref="T12:T18" si="0">M12+N12+P12+Q12+R12+S12</f>
        <v>0</v>
      </c>
    </row>
    <row r="13" spans="2:20" ht="25.5" customHeight="1">
      <c r="B13" s="796" t="s">
        <v>281</v>
      </c>
      <c r="C13" s="2000" t="str">
        <f>IF([1]ACCUEIL!B1=1,"2. Senior technicians
and middle managers","2. Techniciens supérieurs
et cadres moyens")</f>
        <v>2. Techniciens supérieurs
et cadres moyens</v>
      </c>
      <c r="D13" s="2000"/>
      <c r="E13" s="2000"/>
      <c r="F13" s="797">
        <f>'[1]NOTE 27 B'!F13</f>
        <v>0</v>
      </c>
      <c r="G13" s="797">
        <f>'[1]NOTE 27 B'!G13</f>
        <v>0</v>
      </c>
      <c r="H13" s="797">
        <f>'[1]NOTE 27 B'!H13</f>
        <v>0</v>
      </c>
      <c r="I13" s="797">
        <f>'[1]NOTE 27 B'!I13</f>
        <v>0</v>
      </c>
      <c r="J13" s="797">
        <f>'[1]NOTE 27 B'!J13</f>
        <v>0</v>
      </c>
      <c r="K13" s="797">
        <f>'[1]NOTE 27 B'!K13</f>
        <v>0</v>
      </c>
      <c r="L13" s="798">
        <f>SUM(F13:K13)</f>
        <v>0</v>
      </c>
      <c r="M13" s="799">
        <f>'[1]NOTE 27 B'!M13</f>
        <v>0</v>
      </c>
      <c r="N13" s="799">
        <f>'[1]NOTE 27 B'!N13</f>
        <v>0</v>
      </c>
      <c r="O13" s="800"/>
      <c r="P13" s="799">
        <f>'[1]NOTE 27 B'!P13</f>
        <v>0</v>
      </c>
      <c r="Q13" s="799">
        <f>'[1]NOTE 27 B'!Q13</f>
        <v>0</v>
      </c>
      <c r="R13" s="799">
        <f>'[1]NOTE 27 B'!R13</f>
        <v>0</v>
      </c>
      <c r="S13" s="799">
        <f>'[1]NOTE 27 B'!S13</f>
        <v>0</v>
      </c>
      <c r="T13" s="801">
        <f t="shared" si="0"/>
        <v>0</v>
      </c>
    </row>
    <row r="14" spans="2:20" ht="25.5" customHeight="1">
      <c r="B14" s="796" t="s">
        <v>282</v>
      </c>
      <c r="C14" s="2000" t="str">
        <f>IF([1]ACCUEIL!B1=1,"3. Technicians, supervisors
and skilled workers","3. Techniciens, agents de maîtrise
et ouvriers  qualifiés")</f>
        <v>3. Techniciens, agents de maîtrise
et ouvriers  qualifiés</v>
      </c>
      <c r="D14" s="2000"/>
      <c r="E14" s="2000"/>
      <c r="F14" s="797">
        <f>'[1]NOTE 27 B'!F14</f>
        <v>0</v>
      </c>
      <c r="G14" s="797">
        <f>'[1]NOTE 27 B'!G14</f>
        <v>0</v>
      </c>
      <c r="H14" s="797">
        <f>'[1]NOTE 27 B'!H14</f>
        <v>0</v>
      </c>
      <c r="I14" s="797">
        <f>'[1]NOTE 27 B'!I14</f>
        <v>0</v>
      </c>
      <c r="J14" s="797">
        <f>'[1]NOTE 27 B'!J14</f>
        <v>0</v>
      </c>
      <c r="K14" s="797">
        <f>'[1]NOTE 27 B'!K14</f>
        <v>0</v>
      </c>
      <c r="L14" s="798">
        <f>SUM(F14:K14)</f>
        <v>0</v>
      </c>
      <c r="M14" s="799">
        <f>'[1]NOTE 27 B'!M14</f>
        <v>0</v>
      </c>
      <c r="N14" s="799">
        <f>'[1]NOTE 27 B'!N14</f>
        <v>0</v>
      </c>
      <c r="O14" s="800"/>
      <c r="P14" s="799">
        <f>'[1]NOTE 27 B'!P14</f>
        <v>0</v>
      </c>
      <c r="Q14" s="799">
        <f>'[1]NOTE 27 B'!Q14</f>
        <v>0</v>
      </c>
      <c r="R14" s="799">
        <f>'[1]NOTE 27 B'!R14</f>
        <v>0</v>
      </c>
      <c r="S14" s="799">
        <f>'[1]NOTE 27 B'!S14</f>
        <v>0</v>
      </c>
      <c r="T14" s="801">
        <f t="shared" si="0"/>
        <v>0</v>
      </c>
    </row>
    <row r="15" spans="2:20" ht="25.5" customHeight="1">
      <c r="B15" s="796" t="s">
        <v>283</v>
      </c>
      <c r="C15" s="2000" t="str">
        <f>IF([1]ACCUEIL!B1=1,"4. Employees, laborers,
workers and apprentices","4. Employés, manœuvres,
ouvriers, et apprentis")</f>
        <v>4. Employés, manœuvres,
ouvriers, et apprentis</v>
      </c>
      <c r="D15" s="2000"/>
      <c r="E15" s="2000"/>
      <c r="F15" s="797">
        <f>'[1]NOTE 27 B'!F15</f>
        <v>0</v>
      </c>
      <c r="G15" s="797">
        <f>'[1]NOTE 27 B'!G15</f>
        <v>0</v>
      </c>
      <c r="H15" s="797">
        <f>'[1]NOTE 27 B'!H15</f>
        <v>0</v>
      </c>
      <c r="I15" s="797">
        <f>'[1]NOTE 27 B'!I15</f>
        <v>0</v>
      </c>
      <c r="J15" s="797">
        <f>'[1]NOTE 27 B'!J15</f>
        <v>0</v>
      </c>
      <c r="K15" s="797">
        <f>'[1]NOTE 27 B'!K15</f>
        <v>0</v>
      </c>
      <c r="L15" s="798">
        <f>SUM(F15:K15)</f>
        <v>0</v>
      </c>
      <c r="M15" s="799">
        <f>'[1]NOTE 27 B'!M15</f>
        <v>0</v>
      </c>
      <c r="N15" s="799">
        <f>'[1]NOTE 27 B'!N15</f>
        <v>0</v>
      </c>
      <c r="O15" s="800"/>
      <c r="P15" s="799">
        <f>'[1]NOTE 27 B'!P15</f>
        <v>0</v>
      </c>
      <c r="Q15" s="799">
        <f>'[1]NOTE 27 B'!Q15</f>
        <v>0</v>
      </c>
      <c r="R15" s="799">
        <f>'[1]NOTE 27 B'!R15</f>
        <v>0</v>
      </c>
      <c r="S15" s="799">
        <f>'[1]NOTE 27 B'!S15</f>
        <v>0</v>
      </c>
      <c r="T15" s="801">
        <f t="shared" si="0"/>
        <v>0</v>
      </c>
    </row>
    <row r="16" spans="2:20">
      <c r="B16" s="796" t="s">
        <v>284</v>
      </c>
      <c r="C16" s="2005" t="s">
        <v>285</v>
      </c>
      <c r="D16" s="2005"/>
      <c r="E16" s="2005"/>
      <c r="F16" s="798">
        <f t="shared" ref="F16:N16" si="1">SUM(F12:F15)</f>
        <v>0</v>
      </c>
      <c r="G16" s="798">
        <f t="shared" si="1"/>
        <v>0</v>
      </c>
      <c r="H16" s="798">
        <f t="shared" si="1"/>
        <v>0</v>
      </c>
      <c r="I16" s="798">
        <f t="shared" si="1"/>
        <v>0</v>
      </c>
      <c r="J16" s="798">
        <f t="shared" si="1"/>
        <v>0</v>
      </c>
      <c r="K16" s="798">
        <f t="shared" si="1"/>
        <v>0</v>
      </c>
      <c r="L16" s="798">
        <f t="shared" si="1"/>
        <v>0</v>
      </c>
      <c r="M16" s="801">
        <f t="shared" si="1"/>
        <v>0</v>
      </c>
      <c r="N16" s="801">
        <f t="shared" si="1"/>
        <v>0</v>
      </c>
      <c r="O16" s="801"/>
      <c r="P16" s="801">
        <f>SUM(P12:P15)</f>
        <v>0</v>
      </c>
      <c r="Q16" s="801">
        <f>SUM(Q12:Q15)</f>
        <v>0</v>
      </c>
      <c r="R16" s="801">
        <f>SUM(R12:R15)</f>
        <v>0</v>
      </c>
      <c r="S16" s="801">
        <f>SUM(S12:S15)</f>
        <v>0</v>
      </c>
      <c r="T16" s="801">
        <f>M16+N16+P16+Q16+R16+S16</f>
        <v>0</v>
      </c>
    </row>
    <row r="17" spans="2:20">
      <c r="B17" s="796" t="s">
        <v>286</v>
      </c>
      <c r="C17" s="2000" t="str">
        <f>IF([1]ACCUEIL!B1=1,"Permanent","Permanents")</f>
        <v>Permanents</v>
      </c>
      <c r="D17" s="2000"/>
      <c r="E17" s="2000"/>
      <c r="F17" s="797">
        <f>'[1]NOTE 27 B'!F17</f>
        <v>0</v>
      </c>
      <c r="G17" s="797">
        <f>'[1]NOTE 27 B'!G17</f>
        <v>0</v>
      </c>
      <c r="H17" s="797">
        <f>'[1]NOTE 27 B'!H17</f>
        <v>0</v>
      </c>
      <c r="I17" s="797">
        <f>'[1]NOTE 27 B'!I17</f>
        <v>0</v>
      </c>
      <c r="J17" s="797">
        <f>'[1]NOTE 27 B'!J17</f>
        <v>0</v>
      </c>
      <c r="K17" s="797">
        <f>'[1]NOTE 27 B'!K17</f>
        <v>0</v>
      </c>
      <c r="L17" s="798">
        <f>SUM(F17:K17)</f>
        <v>0</v>
      </c>
      <c r="M17" s="799">
        <f>'[1]NOTE 27 B'!M17</f>
        <v>0</v>
      </c>
      <c r="N17" s="799">
        <f>'[1]NOTE 27 B'!N17</f>
        <v>0</v>
      </c>
      <c r="O17" s="800"/>
      <c r="P17" s="799">
        <f>'[1]NOTE 27 B'!P17</f>
        <v>0</v>
      </c>
      <c r="Q17" s="799">
        <f>'[1]NOTE 27 B'!Q17</f>
        <v>0</v>
      </c>
      <c r="R17" s="799">
        <f>'[1]NOTE 27 B'!R17</f>
        <v>0</v>
      </c>
      <c r="S17" s="799">
        <f>'[1]NOTE 27 B'!S17</f>
        <v>0</v>
      </c>
      <c r="T17" s="801">
        <f t="shared" si="0"/>
        <v>0</v>
      </c>
    </row>
    <row r="18" spans="2:20">
      <c r="B18" s="796" t="s">
        <v>287</v>
      </c>
      <c r="C18" s="2000" t="str">
        <f>IF([1]ACCUEIL!B1=1,"Seasonal","Saisonniers")</f>
        <v>Saisonniers</v>
      </c>
      <c r="D18" s="2000"/>
      <c r="E18" s="2000"/>
      <c r="F18" s="797">
        <f>'[1]NOTE 27 B'!F18</f>
        <v>0</v>
      </c>
      <c r="G18" s="797">
        <f>'[1]NOTE 27 B'!G18</f>
        <v>0</v>
      </c>
      <c r="H18" s="797">
        <f>'[1]NOTE 27 B'!H18</f>
        <v>0</v>
      </c>
      <c r="I18" s="797">
        <f>'[1]NOTE 27 B'!I18</f>
        <v>0</v>
      </c>
      <c r="J18" s="797">
        <f>'[1]NOTE 27 B'!J18</f>
        <v>0</v>
      </c>
      <c r="K18" s="797">
        <f>'[1]NOTE 27 B'!K18</f>
        <v>0</v>
      </c>
      <c r="L18" s="798">
        <f>SUM(F18:K18)</f>
        <v>0</v>
      </c>
      <c r="M18" s="799">
        <f>'[1]NOTE 27 B'!M18</f>
        <v>0</v>
      </c>
      <c r="N18" s="799">
        <f>'[1]NOTE 27 B'!N18</f>
        <v>0</v>
      </c>
      <c r="O18" s="800"/>
      <c r="P18" s="799">
        <f>'[1]NOTE 27 B'!P18</f>
        <v>0</v>
      </c>
      <c r="Q18" s="799">
        <f>'[1]NOTE 27 B'!Q18</f>
        <v>0</v>
      </c>
      <c r="R18" s="799">
        <f>'[1]NOTE 27 B'!R18</f>
        <v>0</v>
      </c>
      <c r="S18" s="799">
        <f>'[1]NOTE 27 B'!S18</f>
        <v>0</v>
      </c>
      <c r="T18" s="801">
        <f t="shared" si="0"/>
        <v>0</v>
      </c>
    </row>
    <row r="19" spans="2:20" ht="7.5" customHeight="1">
      <c r="B19" s="802"/>
      <c r="C19" s="791"/>
      <c r="D19" s="803"/>
      <c r="E19" s="803"/>
      <c r="F19" s="802"/>
      <c r="G19" s="802"/>
      <c r="H19" s="802"/>
      <c r="I19" s="802"/>
      <c r="J19" s="802"/>
      <c r="K19" s="802"/>
      <c r="L19" s="804"/>
      <c r="M19" s="791"/>
      <c r="N19" s="791"/>
      <c r="O19" s="791"/>
      <c r="P19" s="791"/>
      <c r="Q19" s="791"/>
      <c r="R19" s="791"/>
      <c r="S19" s="791"/>
      <c r="T19" s="791"/>
    </row>
    <row r="20" spans="2:20" ht="17.25" customHeight="1">
      <c r="B20" s="802"/>
      <c r="C20" s="791"/>
      <c r="D20" s="803"/>
      <c r="E20" s="803"/>
      <c r="F20" s="802"/>
      <c r="G20" s="802"/>
      <c r="H20" s="802"/>
      <c r="I20" s="802"/>
      <c r="J20" s="802"/>
      <c r="K20" s="802"/>
      <c r="L20" s="804"/>
      <c r="M20" s="2010" t="str">
        <f>IF([1]ACCUEIL!B1=1,"Invoicing to the entity","Facturation à l'entité")</f>
        <v>Facturation à l'entité</v>
      </c>
      <c r="N20" s="2011"/>
      <c r="O20" s="802"/>
      <c r="Q20" s="805"/>
      <c r="R20" s="805"/>
      <c r="S20" s="806"/>
      <c r="T20" s="2006" t="str">
        <f>IF([1]ACCUEIL!B1=1,"Note n ° / reference to the other parties States","Note n°/référence aux autres parties des états")</f>
        <v>Note n°/référence aux autres parties des états</v>
      </c>
    </row>
    <row r="21" spans="2:20" ht="17.25" customHeight="1">
      <c r="B21" s="802"/>
      <c r="C21" s="2008" t="str">
        <f>IF([1]ACCUEIL!B1=1,"2. External personnel","2. Personnel extérieur")</f>
        <v>2. Personnel extérieur</v>
      </c>
      <c r="D21" s="2008"/>
      <c r="E21" s="2008"/>
      <c r="F21" s="802"/>
      <c r="G21" s="802"/>
      <c r="H21" s="802"/>
      <c r="I21" s="802"/>
      <c r="J21" s="802"/>
      <c r="K21" s="802"/>
      <c r="L21" s="804"/>
      <c r="M21" s="2012"/>
      <c r="N21" s="2013"/>
      <c r="O21" s="802"/>
      <c r="P21" s="805"/>
      <c r="Q21" s="805"/>
      <c r="R21" s="805"/>
      <c r="S21" s="806"/>
      <c r="T21" s="2007"/>
    </row>
    <row r="22" spans="2:20" ht="17.25" customHeight="1">
      <c r="B22" s="796" t="s">
        <v>288</v>
      </c>
      <c r="C22" s="2000" t="str">
        <f>IF([1]ACCUEIL!B1=1,"1. Senior management","1. Cadres supérieurs")</f>
        <v>1. Cadres supérieurs</v>
      </c>
      <c r="D22" s="2000"/>
      <c r="E22" s="2000"/>
      <c r="F22" s="797">
        <f>'[1]NOTE 27 B'!F22</f>
        <v>0</v>
      </c>
      <c r="G22" s="797">
        <f>'[1]NOTE 27 B'!G22</f>
        <v>0</v>
      </c>
      <c r="H22" s="797">
        <f>'[1]NOTE 27 B'!H22</f>
        <v>0</v>
      </c>
      <c r="I22" s="797">
        <f>'[1]NOTE 27 B'!I22</f>
        <v>0</v>
      </c>
      <c r="J22" s="797">
        <f>'[1]NOTE 27 B'!J22</f>
        <v>0</v>
      </c>
      <c r="K22" s="797">
        <f>'[1]NOTE 27 B'!K22</f>
        <v>0</v>
      </c>
      <c r="L22" s="798">
        <f>SUM(F22:K22)</f>
        <v>0</v>
      </c>
      <c r="M22" s="799">
        <f>'[1]NOTE 27 B'!M22</f>
        <v>0</v>
      </c>
      <c r="N22" s="799">
        <f>'[1]NOTE 27 B'!N22</f>
        <v>0</v>
      </c>
      <c r="O22" s="807"/>
      <c r="P22" s="2000" t="str">
        <f>IF([1]ACCUEIL!B1=1,"B - Amounts recognized not reported in state 301 (2)","B - Montants comptabilisés non rapportés dans l'état 301 (2)")</f>
        <v>B - Montants comptabilisés non rapportés dans l'état 301 (2)</v>
      </c>
      <c r="Q22" s="2000"/>
      <c r="R22" s="2000"/>
      <c r="S22" s="2009">
        <f>'[1]NOTE 27 B'!S22:S23</f>
        <v>0</v>
      </c>
      <c r="T22" s="2009">
        <f>'[1]NOTE 27 B'!T22:T23</f>
        <v>0</v>
      </c>
    </row>
    <row r="23" spans="2:20" ht="25.5" customHeight="1">
      <c r="B23" s="796" t="s">
        <v>289</v>
      </c>
      <c r="C23" s="2000" t="str">
        <f>IF([1]ACCUEIL!B1=1,"2. Senior technicians
and middle managers","2. Techniciens supérieurs
et cadres moyens")</f>
        <v>2. Techniciens supérieurs
et cadres moyens</v>
      </c>
      <c r="D23" s="2000"/>
      <c r="E23" s="2000"/>
      <c r="F23" s="797">
        <f>'[1]NOTE 27 B'!F23</f>
        <v>0</v>
      </c>
      <c r="G23" s="797">
        <f>'[1]NOTE 27 B'!G23</f>
        <v>0</v>
      </c>
      <c r="H23" s="797">
        <f>'[1]NOTE 27 B'!H23</f>
        <v>0</v>
      </c>
      <c r="I23" s="797">
        <f>'[1]NOTE 27 B'!I23</f>
        <v>0</v>
      </c>
      <c r="J23" s="797">
        <f>'[1]NOTE 27 B'!J23</f>
        <v>0</v>
      </c>
      <c r="K23" s="797">
        <f>'[1]NOTE 27 B'!K23</f>
        <v>0</v>
      </c>
      <c r="L23" s="798">
        <f>SUM(F23:K23)</f>
        <v>0</v>
      </c>
      <c r="M23" s="799">
        <f>'[1]NOTE 27 B'!M23</f>
        <v>0</v>
      </c>
      <c r="N23" s="799">
        <f>'[1]NOTE 27 B'!N23</f>
        <v>0</v>
      </c>
      <c r="O23" s="807"/>
      <c r="P23" s="2000"/>
      <c r="Q23" s="2000"/>
      <c r="R23" s="2000"/>
      <c r="S23" s="2009"/>
      <c r="T23" s="2009"/>
    </row>
    <row r="24" spans="2:20" ht="36.75" customHeight="1">
      <c r="B24" s="796" t="s">
        <v>290</v>
      </c>
      <c r="C24" s="2000" t="str">
        <f>IF([1]ACCUEIL!B1=1,"3. Technicians, supervisors
and skilled workers","3. Techniciens, agents de maîtrise
et ouvriers  qualifiés")</f>
        <v>3. Techniciens, agents de maîtrise
et ouvriers  qualifiés</v>
      </c>
      <c r="D24" s="2000"/>
      <c r="E24" s="2000"/>
      <c r="F24" s="797">
        <f>'[1]NOTE 27 B'!F24</f>
        <v>0</v>
      </c>
      <c r="G24" s="797">
        <f>'[1]NOTE 27 B'!G24</f>
        <v>0</v>
      </c>
      <c r="H24" s="797">
        <f>'[1]NOTE 27 B'!H24</f>
        <v>0</v>
      </c>
      <c r="I24" s="797">
        <f>'[1]NOTE 27 B'!I24</f>
        <v>0</v>
      </c>
      <c r="J24" s="797">
        <f>'[1]NOTE 27 B'!J24</f>
        <v>0</v>
      </c>
      <c r="K24" s="797">
        <f>'[1]NOTE 27 B'!K24</f>
        <v>0</v>
      </c>
      <c r="L24" s="798">
        <f>SUM(F24:K24)</f>
        <v>0</v>
      </c>
      <c r="M24" s="799">
        <f>'[1]NOTE 27 B'!M24</f>
        <v>0</v>
      </c>
      <c r="N24" s="799">
        <f>'[1]NOTE 27 B'!N24</f>
        <v>0</v>
      </c>
      <c r="O24" s="807"/>
      <c r="P24" s="2015" t="str">
        <f>IF([1]ACCUEIL!B1=1,"C - Amounts of benefits in kind and in cash recognized in personnel expense accounts","C - Montants des avantages en nature et en espèces comptabilisés en comptes de charges de personnel")</f>
        <v>C - Montants des avantages en nature et en espèces comptabilisés en comptes de charges de personnel</v>
      </c>
      <c r="Q24" s="2015"/>
      <c r="R24" s="2015"/>
      <c r="S24" s="808">
        <f>'[1]NOTE 27 B'!S24</f>
        <v>0</v>
      </c>
      <c r="T24" s="808">
        <f>'[1]NOTE 27 B'!T24</f>
        <v>0</v>
      </c>
    </row>
    <row r="25" spans="2:20" ht="25.5" customHeight="1">
      <c r="B25" s="796" t="s">
        <v>291</v>
      </c>
      <c r="C25" s="2000" t="str">
        <f>IF([1]ACCUEIL!B1=1,"4. Employees, laborers, workers and apprentices","4. Employés, manœuvres, ouvriers, et apprentis")</f>
        <v>4. Employés, manœuvres, ouvriers, et apprentis</v>
      </c>
      <c r="D25" s="2000"/>
      <c r="E25" s="2000"/>
      <c r="F25" s="797">
        <f>'[1]NOTE 27 B'!F25</f>
        <v>0</v>
      </c>
      <c r="G25" s="797">
        <f>'[1]NOTE 27 B'!G25</f>
        <v>0</v>
      </c>
      <c r="H25" s="797">
        <f>'[1]NOTE 27 B'!H25</f>
        <v>0</v>
      </c>
      <c r="I25" s="797">
        <f>'[1]NOTE 27 B'!I25</f>
        <v>0</v>
      </c>
      <c r="J25" s="797">
        <f>'[1]NOTE 27 B'!J25</f>
        <v>0</v>
      </c>
      <c r="K25" s="797">
        <f>'[1]NOTE 27 B'!K25</f>
        <v>0</v>
      </c>
      <c r="L25" s="798">
        <f>SUM(F25:K25)</f>
        <v>0</v>
      </c>
      <c r="M25" s="799">
        <f>'[1]NOTE 27 B'!M25</f>
        <v>0</v>
      </c>
      <c r="N25" s="799">
        <f>'[1]NOTE 27 B'!N25</f>
        <v>0</v>
      </c>
      <c r="O25" s="807"/>
      <c r="P25" s="2005" t="str">
        <f>IF([1]ACCUEIL!B1=1,"Total staff costs RK line
(A + B + C)","Total frais de personnel ligne RK
( A + B + C)")</f>
        <v>Total frais de personnel ligne RK
( A + B + C)</v>
      </c>
      <c r="Q25" s="2005"/>
      <c r="R25" s="2005"/>
      <c r="S25" s="809">
        <f>T16+S22+S24</f>
        <v>0</v>
      </c>
      <c r="T25" s="810"/>
    </row>
    <row r="26" spans="2:20" ht="15" customHeight="1">
      <c r="B26" s="796" t="s">
        <v>292</v>
      </c>
      <c r="C26" s="2005" t="s">
        <v>293</v>
      </c>
      <c r="D26" s="2005"/>
      <c r="E26" s="2005"/>
      <c r="F26" s="798">
        <f t="shared" ref="F26:N26" si="2">SUM(F22:F25)</f>
        <v>0</v>
      </c>
      <c r="G26" s="798">
        <f t="shared" si="2"/>
        <v>0</v>
      </c>
      <c r="H26" s="798">
        <f t="shared" si="2"/>
        <v>0</v>
      </c>
      <c r="I26" s="798">
        <f t="shared" si="2"/>
        <v>0</v>
      </c>
      <c r="J26" s="798">
        <f t="shared" si="2"/>
        <v>0</v>
      </c>
      <c r="K26" s="798">
        <f t="shared" si="2"/>
        <v>0</v>
      </c>
      <c r="L26" s="798">
        <f t="shared" si="2"/>
        <v>0</v>
      </c>
      <c r="M26" s="798">
        <f t="shared" si="2"/>
        <v>0</v>
      </c>
      <c r="N26" s="798">
        <f t="shared" si="2"/>
        <v>0</v>
      </c>
      <c r="O26" s="811"/>
      <c r="P26" s="2016" t="str">
        <f>IF([1]ACCUEIL!B1=1,"(1): Amounts indicated in statement 301 excluding benefits in kind and in cash","(1): Montants indiqués dans l'état 301 hors avantages en nature et en espèces")</f>
        <v>(1): Montants indiqués dans l'état 301 hors avantages en nature et en espèces</v>
      </c>
      <c r="Q26" s="2016"/>
      <c r="R26" s="2016"/>
      <c r="S26" s="2016"/>
      <c r="T26" s="2016"/>
    </row>
    <row r="27" spans="2:20">
      <c r="B27" s="796" t="s">
        <v>294</v>
      </c>
      <c r="C27" s="2000" t="str">
        <f>IF([1]ACCUEIL!B1=1,"Permanent","Permanents")</f>
        <v>Permanents</v>
      </c>
      <c r="D27" s="2000"/>
      <c r="E27" s="2000"/>
      <c r="F27" s="797">
        <f>'[1]NOTE 27 B'!F27</f>
        <v>0</v>
      </c>
      <c r="G27" s="797">
        <f>'[1]NOTE 27 B'!G27</f>
        <v>0</v>
      </c>
      <c r="H27" s="797">
        <f>'[1]NOTE 27 B'!H27</f>
        <v>0</v>
      </c>
      <c r="I27" s="797">
        <f>'[1]NOTE 27 B'!I27</f>
        <v>0</v>
      </c>
      <c r="J27" s="797">
        <f>'[1]NOTE 27 B'!J27</f>
        <v>0</v>
      </c>
      <c r="K27" s="797">
        <f>'[1]NOTE 27 B'!K27</f>
        <v>0</v>
      </c>
      <c r="L27" s="798">
        <f>SUM(F27:K27)</f>
        <v>0</v>
      </c>
      <c r="M27" s="799">
        <f>'[1]NOTE 27 B'!M27</f>
        <v>0</v>
      </c>
      <c r="N27" s="799">
        <f>'[1]NOTE 27 B'!N27</f>
        <v>0</v>
      </c>
      <c r="O27" s="807"/>
      <c r="P27" s="2017" t="str">
        <f>IF([1]ACCUEIL!B1=1,"(2): of which provisions for paid holidays","(2): dont provisions pour congés payés")</f>
        <v>(2): dont provisions pour congés payés</v>
      </c>
      <c r="Q27" s="2017"/>
      <c r="R27" s="2017"/>
      <c r="S27" s="2017"/>
      <c r="T27" s="2017"/>
    </row>
    <row r="28" spans="2:20" ht="14.25" customHeight="1">
      <c r="B28" s="796" t="s">
        <v>295</v>
      </c>
      <c r="C28" s="2000" t="str">
        <f>IF([1]ACCUEIL!B1=1,"Seasonal","Saisonniers")</f>
        <v>Saisonniers</v>
      </c>
      <c r="D28" s="2000"/>
      <c r="E28" s="2000"/>
      <c r="F28" s="797">
        <f>'[1]NOTE 27 B'!F28</f>
        <v>0</v>
      </c>
      <c r="G28" s="797">
        <f>'[1]NOTE 27 B'!G28</f>
        <v>0</v>
      </c>
      <c r="H28" s="797">
        <f>'[1]NOTE 27 B'!H28</f>
        <v>0</v>
      </c>
      <c r="I28" s="797">
        <f>'[1]NOTE 27 B'!I28</f>
        <v>0</v>
      </c>
      <c r="J28" s="797">
        <f>'[1]NOTE 27 B'!J28</f>
        <v>0</v>
      </c>
      <c r="K28" s="797">
        <f>'[1]NOTE 27 B'!K28</f>
        <v>0</v>
      </c>
      <c r="L28" s="798">
        <f>SUM(F28:K28)</f>
        <v>0</v>
      </c>
      <c r="M28" s="799">
        <f>'[1]NOTE 27 B'!M28</f>
        <v>0</v>
      </c>
      <c r="N28" s="799">
        <f>'[1]NOTE 27 B'!N28</f>
        <v>0</v>
      </c>
      <c r="O28" s="807"/>
      <c r="P28" s="812" t="str">
        <f>IF([1]ACCUEIL!B1=1,"M: Male","M : Masculin")</f>
        <v>M : Masculin</v>
      </c>
      <c r="Q28" s="791"/>
      <c r="R28" s="791"/>
      <c r="S28" s="791"/>
      <c r="T28" s="791"/>
    </row>
    <row r="29" spans="2:20">
      <c r="B29" s="796" t="s">
        <v>296</v>
      </c>
      <c r="C29" s="2005" t="s">
        <v>297</v>
      </c>
      <c r="D29" s="2005"/>
      <c r="E29" s="2005"/>
      <c r="F29" s="798">
        <f t="shared" ref="F29:L29" si="3">F16+F26</f>
        <v>0</v>
      </c>
      <c r="G29" s="798">
        <f t="shared" si="3"/>
        <v>0</v>
      </c>
      <c r="H29" s="798">
        <f t="shared" si="3"/>
        <v>0</v>
      </c>
      <c r="I29" s="798">
        <f t="shared" si="3"/>
        <v>0</v>
      </c>
      <c r="J29" s="798">
        <f t="shared" si="3"/>
        <v>0</v>
      </c>
      <c r="K29" s="798">
        <f t="shared" si="3"/>
        <v>0</v>
      </c>
      <c r="L29" s="798">
        <f t="shared" si="3"/>
        <v>0</v>
      </c>
      <c r="M29" s="2018"/>
      <c r="N29" s="2019"/>
      <c r="O29" s="813"/>
      <c r="P29" s="791" t="str">
        <f>IF([1]ACCUEIL!B1=1,"F: Female","F: Féminin")</f>
        <v>F: Féminin</v>
      </c>
      <c r="Q29" s="791"/>
      <c r="R29" s="791"/>
      <c r="S29" s="791"/>
      <c r="T29" s="791"/>
    </row>
    <row r="30" spans="2:20">
      <c r="B30" s="814"/>
      <c r="C30" s="814"/>
      <c r="D30" s="814"/>
      <c r="E30" s="814"/>
      <c r="F30" s="814"/>
      <c r="G30" s="814"/>
      <c r="H30" s="814"/>
      <c r="I30" s="814"/>
      <c r="J30" s="814"/>
      <c r="K30" s="814"/>
      <c r="L30" s="814"/>
      <c r="M30" s="814"/>
      <c r="N30" s="814"/>
    </row>
    <row r="31" spans="2:20" ht="17.100000000000001" customHeight="1">
      <c r="B31" s="2014" t="str">
        <f>'NOTE 27 A'!B21</f>
        <v>COMMENTAIRE</v>
      </c>
      <c r="C31" s="2014"/>
    </row>
    <row r="32" spans="2:20" ht="15.75">
      <c r="B32" s="815"/>
      <c r="D32" s="1660">
        <f>'[1]NOTE 27 B'!D32:T32</f>
        <v>0</v>
      </c>
      <c r="E32" s="1660"/>
      <c r="F32" s="1660"/>
      <c r="G32" s="1660"/>
      <c r="H32" s="1660"/>
      <c r="I32" s="1660"/>
      <c r="J32" s="1660"/>
      <c r="K32" s="1660"/>
      <c r="L32" s="1660"/>
      <c r="M32" s="1660"/>
      <c r="N32" s="1660"/>
      <c r="O32" s="1660"/>
      <c r="P32" s="1660"/>
      <c r="Q32" s="1660"/>
      <c r="R32" s="1660"/>
      <c r="S32" s="1660"/>
      <c r="T32" s="1660"/>
    </row>
    <row r="33" spans="4:20">
      <c r="D33" s="1660">
        <f>'[1]NOTE 27 B'!D33:T33</f>
        <v>0</v>
      </c>
      <c r="E33" s="1660"/>
      <c r="F33" s="1660"/>
      <c r="G33" s="1660"/>
      <c r="H33" s="1660"/>
      <c r="I33" s="1660"/>
      <c r="J33" s="1660"/>
      <c r="K33" s="1660"/>
      <c r="L33" s="1660"/>
      <c r="M33" s="1660"/>
      <c r="N33" s="1660"/>
      <c r="O33" s="1660"/>
      <c r="P33" s="1660"/>
      <c r="Q33" s="1660"/>
      <c r="R33" s="1660"/>
      <c r="S33" s="1660"/>
      <c r="T33" s="1660"/>
    </row>
    <row r="34" spans="4:20">
      <c r="D34" s="1660">
        <f>'[1]NOTE 27 B'!D34:T34</f>
        <v>0</v>
      </c>
      <c r="E34" s="1660"/>
      <c r="F34" s="1660"/>
      <c r="G34" s="1660"/>
      <c r="H34" s="1660"/>
      <c r="I34" s="1660"/>
      <c r="J34" s="1660"/>
      <c r="K34" s="1660"/>
      <c r="L34" s="1660"/>
      <c r="M34" s="1660"/>
      <c r="N34" s="1660"/>
      <c r="O34" s="1660"/>
      <c r="P34" s="1660"/>
      <c r="Q34" s="1660"/>
      <c r="R34" s="1660"/>
      <c r="S34" s="1660"/>
      <c r="T34" s="1660"/>
    </row>
    <row r="35" spans="4:20">
      <c r="D35" s="1660">
        <f>'[1]NOTE 27 B'!D35:T35</f>
        <v>0</v>
      </c>
      <c r="E35" s="1660"/>
      <c r="F35" s="1660"/>
      <c r="G35" s="1660"/>
      <c r="H35" s="1660"/>
      <c r="I35" s="1660"/>
      <c r="J35" s="1660"/>
      <c r="K35" s="1660"/>
      <c r="L35" s="1660"/>
      <c r="M35" s="1660"/>
      <c r="N35" s="1660"/>
      <c r="O35" s="1660"/>
      <c r="P35" s="1660"/>
      <c r="Q35" s="1660"/>
      <c r="R35" s="1660"/>
      <c r="S35" s="1660"/>
      <c r="T35" s="1660"/>
    </row>
    <row r="36" spans="4:20">
      <c r="D36" s="1660">
        <f>'[1]NOTE 27 B'!D36:T36</f>
        <v>0</v>
      </c>
      <c r="E36" s="1660"/>
      <c r="F36" s="1660"/>
      <c r="G36" s="1660"/>
      <c r="H36" s="1660"/>
      <c r="I36" s="1660"/>
      <c r="J36" s="1660"/>
      <c r="K36" s="1660"/>
      <c r="L36" s="1660"/>
      <c r="M36" s="1660"/>
      <c r="N36" s="1660"/>
      <c r="O36" s="1660"/>
      <c r="P36" s="1660"/>
      <c r="Q36" s="1660"/>
      <c r="R36" s="1660"/>
      <c r="S36" s="1660"/>
      <c r="T36" s="1660"/>
    </row>
    <row r="37" spans="4:20">
      <c r="D37" s="1660">
        <f>'[1]NOTE 27 B'!D37:T37</f>
        <v>0</v>
      </c>
      <c r="E37" s="1660"/>
      <c r="F37" s="1660"/>
      <c r="G37" s="1660"/>
      <c r="H37" s="1660"/>
      <c r="I37" s="1660"/>
      <c r="J37" s="1660"/>
      <c r="K37" s="1660"/>
      <c r="L37" s="1660"/>
      <c r="M37" s="1660"/>
      <c r="N37" s="1660"/>
      <c r="O37" s="1660"/>
      <c r="P37" s="1660"/>
      <c r="Q37" s="1660"/>
      <c r="R37" s="1660"/>
      <c r="S37" s="1660"/>
      <c r="T37" s="1660"/>
    </row>
    <row r="38" spans="4:20">
      <c r="D38" s="1660">
        <f>'[1]NOTE 27 B'!D38:T38</f>
        <v>0</v>
      </c>
      <c r="E38" s="1660"/>
      <c r="F38" s="1660"/>
      <c r="G38" s="1660"/>
      <c r="H38" s="1660"/>
      <c r="I38" s="1660"/>
      <c r="J38" s="1660"/>
      <c r="K38" s="1660"/>
      <c r="L38" s="1660"/>
      <c r="M38" s="1660"/>
      <c r="N38" s="1660"/>
      <c r="O38" s="1660"/>
      <c r="P38" s="1660"/>
      <c r="Q38" s="1660"/>
      <c r="R38" s="1660"/>
      <c r="S38" s="1660"/>
      <c r="T38" s="1660"/>
    </row>
    <row r="39" spans="4:20">
      <c r="D39" s="1660">
        <f>'[1]NOTE 27 B'!D39:T39</f>
        <v>0</v>
      </c>
      <c r="E39" s="1660"/>
      <c r="F39" s="1660"/>
      <c r="G39" s="1660"/>
      <c r="H39" s="1660"/>
      <c r="I39" s="1660"/>
      <c r="J39" s="1660"/>
      <c r="K39" s="1660"/>
      <c r="L39" s="1660"/>
      <c r="M39" s="1660"/>
      <c r="N39" s="1660"/>
      <c r="O39" s="1660"/>
      <c r="P39" s="1660"/>
      <c r="Q39" s="1660"/>
      <c r="R39" s="1660"/>
      <c r="S39" s="1660"/>
      <c r="T39" s="1660"/>
    </row>
    <row r="40" spans="4:20">
      <c r="D40" s="1660">
        <f>'[1]NOTE 27 B'!D40:T40</f>
        <v>0</v>
      </c>
      <c r="E40" s="1660"/>
      <c r="F40" s="1660"/>
      <c r="G40" s="1660"/>
      <c r="H40" s="1660"/>
      <c r="I40" s="1660"/>
      <c r="J40" s="1660"/>
      <c r="K40" s="1660"/>
      <c r="L40" s="1660"/>
      <c r="M40" s="1660"/>
      <c r="N40" s="1660"/>
      <c r="O40" s="1660"/>
      <c r="P40" s="1660"/>
      <c r="Q40" s="1660"/>
      <c r="R40" s="1660"/>
      <c r="S40" s="1660"/>
      <c r="T40" s="1660"/>
    </row>
    <row r="41" spans="4:20">
      <c r="D41" s="1660">
        <f>'[1]NOTE 27 B'!D41:T41</f>
        <v>0</v>
      </c>
      <c r="E41" s="1660"/>
      <c r="F41" s="1660"/>
      <c r="G41" s="1660"/>
      <c r="H41" s="1660"/>
      <c r="I41" s="1660"/>
      <c r="J41" s="1660"/>
      <c r="K41" s="1660"/>
      <c r="L41" s="1660"/>
      <c r="M41" s="1660"/>
      <c r="N41" s="1660"/>
      <c r="O41" s="1660"/>
      <c r="P41" s="1660"/>
      <c r="Q41" s="1660"/>
      <c r="R41" s="1660"/>
      <c r="S41" s="1660"/>
      <c r="T41" s="1660"/>
    </row>
    <row r="42" spans="4:20">
      <c r="D42" s="1660">
        <f>'[1]NOTE 27 B'!D42:T42</f>
        <v>0</v>
      </c>
      <c r="E42" s="1660"/>
      <c r="F42" s="1660"/>
      <c r="G42" s="1660"/>
      <c r="H42" s="1660"/>
      <c r="I42" s="1660"/>
      <c r="J42" s="1660"/>
      <c r="K42" s="1660"/>
      <c r="L42" s="1660"/>
      <c r="M42" s="1660"/>
      <c r="N42" s="1660"/>
      <c r="O42" s="1660"/>
      <c r="P42" s="1660"/>
      <c r="Q42" s="1660"/>
      <c r="R42" s="1660"/>
      <c r="S42" s="1660"/>
      <c r="T42" s="1660"/>
    </row>
    <row r="43" spans="4:20">
      <c r="D43" s="1660">
        <f>'[1]NOTE 27 B'!D43:T43</f>
        <v>0</v>
      </c>
      <c r="E43" s="1660"/>
      <c r="F43" s="1660"/>
      <c r="G43" s="1660"/>
      <c r="H43" s="1660"/>
      <c r="I43" s="1660"/>
      <c r="J43" s="1660"/>
      <c r="K43" s="1660"/>
      <c r="L43" s="1660"/>
      <c r="M43" s="1660"/>
      <c r="N43" s="1660"/>
      <c r="O43" s="1660"/>
      <c r="P43" s="1660"/>
      <c r="Q43" s="1660"/>
      <c r="R43" s="1660"/>
      <c r="S43" s="1660"/>
      <c r="T43" s="1660"/>
    </row>
  </sheetData>
  <sheetProtection selectLockedCells="1"/>
  <mergeCells count="57">
    <mergeCell ref="D43:T43"/>
    <mergeCell ref="D32:T32"/>
    <mergeCell ref="D33:T33"/>
    <mergeCell ref="D34:T34"/>
    <mergeCell ref="D35:T35"/>
    <mergeCell ref="D36:T36"/>
    <mergeCell ref="D37:T37"/>
    <mergeCell ref="D38:T38"/>
    <mergeCell ref="D39:T39"/>
    <mergeCell ref="D40:T40"/>
    <mergeCell ref="D41:T41"/>
    <mergeCell ref="D42:T42"/>
    <mergeCell ref="B31:C31"/>
    <mergeCell ref="C24:E24"/>
    <mergeCell ref="P24:R24"/>
    <mergeCell ref="C25:E25"/>
    <mergeCell ref="P25:R25"/>
    <mergeCell ref="C26:E26"/>
    <mergeCell ref="P26:T26"/>
    <mergeCell ref="C27:E27"/>
    <mergeCell ref="P27:T27"/>
    <mergeCell ref="C28:E28"/>
    <mergeCell ref="C29:E29"/>
    <mergeCell ref="M29:N29"/>
    <mergeCell ref="T20:T21"/>
    <mergeCell ref="C21:E21"/>
    <mergeCell ref="C22:E22"/>
    <mergeCell ref="P22:R23"/>
    <mergeCell ref="S22:S23"/>
    <mergeCell ref="T22:T23"/>
    <mergeCell ref="C23:E23"/>
    <mergeCell ref="M20:N21"/>
    <mergeCell ref="C14:E14"/>
    <mergeCell ref="C15:E15"/>
    <mergeCell ref="C16:E16"/>
    <mergeCell ref="C17:E17"/>
    <mergeCell ref="C18:E18"/>
    <mergeCell ref="P9:Q10"/>
    <mergeCell ref="R9:S10"/>
    <mergeCell ref="T9:T10"/>
    <mergeCell ref="C11:E11"/>
    <mergeCell ref="C12:E12"/>
    <mergeCell ref="L9:L10"/>
    <mergeCell ref="M9:N10"/>
    <mergeCell ref="C13:E13"/>
    <mergeCell ref="C9:E10"/>
    <mergeCell ref="F9:G10"/>
    <mergeCell ref="H9:I10"/>
    <mergeCell ref="J9:K10"/>
    <mergeCell ref="C8:E8"/>
    <mergeCell ref="F8:L8"/>
    <mergeCell ref="M8:T8"/>
    <mergeCell ref="B1:T1"/>
    <mergeCell ref="S2:T2"/>
    <mergeCell ref="E6:N6"/>
    <mergeCell ref="P6:Q6"/>
    <mergeCell ref="B7:T7"/>
  </mergeCells>
  <printOptions horizontalCentered="1"/>
  <pageMargins left="0.78740157480314965" right="0" top="0.59055118110236227" bottom="0.19685039370078741" header="0.31496062992125984" footer="0.31496062992125984"/>
  <pageSetup paperSize="9" scale="73" orientation="landscape" r:id="rId1"/>
  <headerFooter>
    <oddHeader>&amp;C&amp;"-,Gras"&amp;14Page &amp;P / &amp;N</oddHead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Feuil67">
    <pageSetUpPr fitToPage="1"/>
  </sheetPr>
  <dimension ref="B1:M35"/>
  <sheetViews>
    <sheetView showGridLines="0" showZeros="0" zoomScale="70" zoomScaleNormal="70" workbookViewId="0">
      <selection activeCell="B20" sqref="B20:E20"/>
    </sheetView>
  </sheetViews>
  <sheetFormatPr baseColWidth="10" defaultColWidth="11.5703125" defaultRowHeight="15"/>
  <cols>
    <col min="1" max="1" width="3.5703125" customWidth="1"/>
    <col min="2" max="2" width="19.140625" customWidth="1"/>
    <col min="3" max="3" width="3.5703125" customWidth="1"/>
    <col min="4" max="4" width="22.140625" customWidth="1"/>
    <col min="5" max="5" width="11.5703125" customWidth="1"/>
    <col min="6" max="6" width="19.28515625" customWidth="1"/>
    <col min="7" max="7" width="18.5703125" customWidth="1"/>
    <col min="8" max="8" width="19.5703125" customWidth="1"/>
    <col min="9" max="9" width="19.28515625" customWidth="1"/>
    <col min="10" max="10" width="20.42578125" customWidth="1"/>
    <col min="11" max="11" width="17.42578125" customWidth="1"/>
    <col min="12" max="12" width="17.140625" customWidth="1"/>
    <col min="13" max="13" width="16.7109375" customWidth="1"/>
    <col min="259" max="259" width="12" customWidth="1"/>
    <col min="260" max="260" width="4.140625" customWidth="1"/>
    <col min="261" max="261" width="11.85546875" customWidth="1"/>
    <col min="262" max="269" width="15.7109375" customWidth="1"/>
    <col min="515" max="515" width="12" customWidth="1"/>
    <col min="516" max="516" width="4.140625" customWidth="1"/>
    <col min="517" max="517" width="11.85546875" customWidth="1"/>
    <col min="518" max="525" width="15.7109375" customWidth="1"/>
    <col min="771" max="771" width="12" customWidth="1"/>
    <col min="772" max="772" width="4.140625" customWidth="1"/>
    <col min="773" max="773" width="11.85546875" customWidth="1"/>
    <col min="774" max="781" width="15.7109375" customWidth="1"/>
    <col min="1027" max="1027" width="12" customWidth="1"/>
    <col min="1028" max="1028" width="4.140625" customWidth="1"/>
    <col min="1029" max="1029" width="11.85546875" customWidth="1"/>
    <col min="1030" max="1037" width="15.7109375" customWidth="1"/>
    <col min="1283" max="1283" width="12" customWidth="1"/>
    <col min="1284" max="1284" width="4.140625" customWidth="1"/>
    <col min="1285" max="1285" width="11.85546875" customWidth="1"/>
    <col min="1286" max="1293" width="15.7109375" customWidth="1"/>
    <col min="1539" max="1539" width="12" customWidth="1"/>
    <col min="1540" max="1540" width="4.140625" customWidth="1"/>
    <col min="1541" max="1541" width="11.85546875" customWidth="1"/>
    <col min="1542" max="1549" width="15.7109375" customWidth="1"/>
    <col min="1795" max="1795" width="12" customWidth="1"/>
    <col min="1796" max="1796" width="4.140625" customWidth="1"/>
    <col min="1797" max="1797" width="11.85546875" customWidth="1"/>
    <col min="1798" max="1805" width="15.7109375" customWidth="1"/>
    <col min="2051" max="2051" width="12" customWidth="1"/>
    <col min="2052" max="2052" width="4.140625" customWidth="1"/>
    <col min="2053" max="2053" width="11.85546875" customWidth="1"/>
    <col min="2054" max="2061" width="15.7109375" customWidth="1"/>
    <col min="2307" max="2307" width="12" customWidth="1"/>
    <col min="2308" max="2308" width="4.140625" customWidth="1"/>
    <col min="2309" max="2309" width="11.85546875" customWidth="1"/>
    <col min="2310" max="2317" width="15.7109375" customWidth="1"/>
    <col min="2563" max="2563" width="12" customWidth="1"/>
    <col min="2564" max="2564" width="4.140625" customWidth="1"/>
    <col min="2565" max="2565" width="11.85546875" customWidth="1"/>
    <col min="2566" max="2573" width="15.7109375" customWidth="1"/>
    <col min="2819" max="2819" width="12" customWidth="1"/>
    <col min="2820" max="2820" width="4.140625" customWidth="1"/>
    <col min="2821" max="2821" width="11.85546875" customWidth="1"/>
    <col min="2822" max="2829" width="15.7109375" customWidth="1"/>
    <col min="3075" max="3075" width="12" customWidth="1"/>
    <col min="3076" max="3076" width="4.140625" customWidth="1"/>
    <col min="3077" max="3077" width="11.85546875" customWidth="1"/>
    <col min="3078" max="3085" width="15.7109375" customWidth="1"/>
    <col min="3331" max="3331" width="12" customWidth="1"/>
    <col min="3332" max="3332" width="4.140625" customWidth="1"/>
    <col min="3333" max="3333" width="11.85546875" customWidth="1"/>
    <col min="3334" max="3341" width="15.7109375" customWidth="1"/>
    <col min="3587" max="3587" width="12" customWidth="1"/>
    <col min="3588" max="3588" width="4.140625" customWidth="1"/>
    <col min="3589" max="3589" width="11.85546875" customWidth="1"/>
    <col min="3590" max="3597" width="15.7109375" customWidth="1"/>
    <col min="3843" max="3843" width="12" customWidth="1"/>
    <col min="3844" max="3844" width="4.140625" customWidth="1"/>
    <col min="3845" max="3845" width="11.85546875" customWidth="1"/>
    <col min="3846" max="3853" width="15.7109375" customWidth="1"/>
    <col min="4099" max="4099" width="12" customWidth="1"/>
    <col min="4100" max="4100" width="4.140625" customWidth="1"/>
    <col min="4101" max="4101" width="11.85546875" customWidth="1"/>
    <col min="4102" max="4109" width="15.7109375" customWidth="1"/>
    <col min="4355" max="4355" width="12" customWidth="1"/>
    <col min="4356" max="4356" width="4.140625" customWidth="1"/>
    <col min="4357" max="4357" width="11.85546875" customWidth="1"/>
    <col min="4358" max="4365" width="15.7109375" customWidth="1"/>
    <col min="4611" max="4611" width="12" customWidth="1"/>
    <col min="4612" max="4612" width="4.140625" customWidth="1"/>
    <col min="4613" max="4613" width="11.85546875" customWidth="1"/>
    <col min="4614" max="4621" width="15.7109375" customWidth="1"/>
    <col min="4867" max="4867" width="12" customWidth="1"/>
    <col min="4868" max="4868" width="4.140625" customWidth="1"/>
    <col min="4869" max="4869" width="11.85546875" customWidth="1"/>
    <col min="4870" max="4877" width="15.7109375" customWidth="1"/>
    <col min="5123" max="5123" width="12" customWidth="1"/>
    <col min="5124" max="5124" width="4.140625" customWidth="1"/>
    <col min="5125" max="5125" width="11.85546875" customWidth="1"/>
    <col min="5126" max="5133" width="15.7109375" customWidth="1"/>
    <col min="5379" max="5379" width="12" customWidth="1"/>
    <col min="5380" max="5380" width="4.140625" customWidth="1"/>
    <col min="5381" max="5381" width="11.85546875" customWidth="1"/>
    <col min="5382" max="5389" width="15.7109375" customWidth="1"/>
    <col min="5635" max="5635" width="12" customWidth="1"/>
    <col min="5636" max="5636" width="4.140625" customWidth="1"/>
    <col min="5637" max="5637" width="11.85546875" customWidth="1"/>
    <col min="5638" max="5645" width="15.7109375" customWidth="1"/>
    <col min="5891" max="5891" width="12" customWidth="1"/>
    <col min="5892" max="5892" width="4.140625" customWidth="1"/>
    <col min="5893" max="5893" width="11.85546875" customWidth="1"/>
    <col min="5894" max="5901" width="15.7109375" customWidth="1"/>
    <col min="6147" max="6147" width="12" customWidth="1"/>
    <col min="6148" max="6148" width="4.140625" customWidth="1"/>
    <col min="6149" max="6149" width="11.85546875" customWidth="1"/>
    <col min="6150" max="6157" width="15.7109375" customWidth="1"/>
    <col min="6403" max="6403" width="12" customWidth="1"/>
    <col min="6404" max="6404" width="4.140625" customWidth="1"/>
    <col min="6405" max="6405" width="11.85546875" customWidth="1"/>
    <col min="6406" max="6413" width="15.7109375" customWidth="1"/>
    <col min="6659" max="6659" width="12" customWidth="1"/>
    <col min="6660" max="6660" width="4.140625" customWidth="1"/>
    <col min="6661" max="6661" width="11.85546875" customWidth="1"/>
    <col min="6662" max="6669" width="15.7109375" customWidth="1"/>
    <col min="6915" max="6915" width="12" customWidth="1"/>
    <col min="6916" max="6916" width="4.140625" customWidth="1"/>
    <col min="6917" max="6917" width="11.85546875" customWidth="1"/>
    <col min="6918" max="6925" width="15.7109375" customWidth="1"/>
    <col min="7171" max="7171" width="12" customWidth="1"/>
    <col min="7172" max="7172" width="4.140625" customWidth="1"/>
    <col min="7173" max="7173" width="11.85546875" customWidth="1"/>
    <col min="7174" max="7181" width="15.7109375" customWidth="1"/>
    <col min="7427" max="7427" width="12" customWidth="1"/>
    <col min="7428" max="7428" width="4.140625" customWidth="1"/>
    <col min="7429" max="7429" width="11.85546875" customWidth="1"/>
    <col min="7430" max="7437" width="15.7109375" customWidth="1"/>
    <col min="7683" max="7683" width="12" customWidth="1"/>
    <col min="7684" max="7684" width="4.140625" customWidth="1"/>
    <col min="7685" max="7685" width="11.85546875" customWidth="1"/>
    <col min="7686" max="7693" width="15.7109375" customWidth="1"/>
    <col min="7939" max="7939" width="12" customWidth="1"/>
    <col min="7940" max="7940" width="4.140625" customWidth="1"/>
    <col min="7941" max="7941" width="11.85546875" customWidth="1"/>
    <col min="7942" max="7949" width="15.7109375" customWidth="1"/>
    <col min="8195" max="8195" width="12" customWidth="1"/>
    <col min="8196" max="8196" width="4.140625" customWidth="1"/>
    <col min="8197" max="8197" width="11.85546875" customWidth="1"/>
    <col min="8198" max="8205" width="15.7109375" customWidth="1"/>
    <col min="8451" max="8451" width="12" customWidth="1"/>
    <col min="8452" max="8452" width="4.140625" customWidth="1"/>
    <col min="8453" max="8453" width="11.85546875" customWidth="1"/>
    <col min="8454" max="8461" width="15.7109375" customWidth="1"/>
    <col min="8707" max="8707" width="12" customWidth="1"/>
    <col min="8708" max="8708" width="4.140625" customWidth="1"/>
    <col min="8709" max="8709" width="11.85546875" customWidth="1"/>
    <col min="8710" max="8717" width="15.7109375" customWidth="1"/>
    <col min="8963" max="8963" width="12" customWidth="1"/>
    <col min="8964" max="8964" width="4.140625" customWidth="1"/>
    <col min="8965" max="8965" width="11.85546875" customWidth="1"/>
    <col min="8966" max="8973" width="15.7109375" customWidth="1"/>
    <col min="9219" max="9219" width="12" customWidth="1"/>
    <col min="9220" max="9220" width="4.140625" customWidth="1"/>
    <col min="9221" max="9221" width="11.85546875" customWidth="1"/>
    <col min="9222" max="9229" width="15.7109375" customWidth="1"/>
    <col min="9475" max="9475" width="12" customWidth="1"/>
    <col min="9476" max="9476" width="4.140625" customWidth="1"/>
    <col min="9477" max="9477" width="11.85546875" customWidth="1"/>
    <col min="9478" max="9485" width="15.7109375" customWidth="1"/>
    <col min="9731" max="9731" width="12" customWidth="1"/>
    <col min="9732" max="9732" width="4.140625" customWidth="1"/>
    <col min="9733" max="9733" width="11.85546875" customWidth="1"/>
    <col min="9734" max="9741" width="15.7109375" customWidth="1"/>
    <col min="9987" max="9987" width="12" customWidth="1"/>
    <col min="9988" max="9988" width="4.140625" customWidth="1"/>
    <col min="9989" max="9989" width="11.85546875" customWidth="1"/>
    <col min="9990" max="9997" width="15.7109375" customWidth="1"/>
    <col min="10243" max="10243" width="12" customWidth="1"/>
    <col min="10244" max="10244" width="4.140625" customWidth="1"/>
    <col min="10245" max="10245" width="11.85546875" customWidth="1"/>
    <col min="10246" max="10253" width="15.7109375" customWidth="1"/>
    <col min="10499" max="10499" width="12" customWidth="1"/>
    <col min="10500" max="10500" width="4.140625" customWidth="1"/>
    <col min="10501" max="10501" width="11.85546875" customWidth="1"/>
    <col min="10502" max="10509" width="15.7109375" customWidth="1"/>
    <col min="10755" max="10755" width="12" customWidth="1"/>
    <col min="10756" max="10756" width="4.140625" customWidth="1"/>
    <col min="10757" max="10757" width="11.85546875" customWidth="1"/>
    <col min="10758" max="10765" width="15.7109375" customWidth="1"/>
    <col min="11011" max="11011" width="12" customWidth="1"/>
    <col min="11012" max="11012" width="4.140625" customWidth="1"/>
    <col min="11013" max="11013" width="11.85546875" customWidth="1"/>
    <col min="11014" max="11021" width="15.7109375" customWidth="1"/>
    <col min="11267" max="11267" width="12" customWidth="1"/>
    <col min="11268" max="11268" width="4.140625" customWidth="1"/>
    <col min="11269" max="11269" width="11.85546875" customWidth="1"/>
    <col min="11270" max="11277" width="15.7109375" customWidth="1"/>
    <col min="11523" max="11523" width="12" customWidth="1"/>
    <col min="11524" max="11524" width="4.140625" customWidth="1"/>
    <col min="11525" max="11525" width="11.85546875" customWidth="1"/>
    <col min="11526" max="11533" width="15.7109375" customWidth="1"/>
    <col min="11779" max="11779" width="12" customWidth="1"/>
    <col min="11780" max="11780" width="4.140625" customWidth="1"/>
    <col min="11781" max="11781" width="11.85546875" customWidth="1"/>
    <col min="11782" max="11789" width="15.7109375" customWidth="1"/>
    <col min="12035" max="12035" width="12" customWidth="1"/>
    <col min="12036" max="12036" width="4.140625" customWidth="1"/>
    <col min="12037" max="12037" width="11.85546875" customWidth="1"/>
    <col min="12038" max="12045" width="15.7109375" customWidth="1"/>
    <col min="12291" max="12291" width="12" customWidth="1"/>
    <col min="12292" max="12292" width="4.140625" customWidth="1"/>
    <col min="12293" max="12293" width="11.85546875" customWidth="1"/>
    <col min="12294" max="12301" width="15.7109375" customWidth="1"/>
    <col min="12547" max="12547" width="12" customWidth="1"/>
    <col min="12548" max="12548" width="4.140625" customWidth="1"/>
    <col min="12549" max="12549" width="11.85546875" customWidth="1"/>
    <col min="12550" max="12557" width="15.7109375" customWidth="1"/>
    <col min="12803" max="12803" width="12" customWidth="1"/>
    <col min="12804" max="12804" width="4.140625" customWidth="1"/>
    <col min="12805" max="12805" width="11.85546875" customWidth="1"/>
    <col min="12806" max="12813" width="15.7109375" customWidth="1"/>
    <col min="13059" max="13059" width="12" customWidth="1"/>
    <col min="13060" max="13060" width="4.140625" customWidth="1"/>
    <col min="13061" max="13061" width="11.85546875" customWidth="1"/>
    <col min="13062" max="13069" width="15.7109375" customWidth="1"/>
    <col min="13315" max="13315" width="12" customWidth="1"/>
    <col min="13316" max="13316" width="4.140625" customWidth="1"/>
    <col min="13317" max="13317" width="11.85546875" customWidth="1"/>
    <col min="13318" max="13325" width="15.7109375" customWidth="1"/>
    <col min="13571" max="13571" width="12" customWidth="1"/>
    <col min="13572" max="13572" width="4.140625" customWidth="1"/>
    <col min="13573" max="13573" width="11.85546875" customWidth="1"/>
    <col min="13574" max="13581" width="15.7109375" customWidth="1"/>
    <col min="13827" max="13827" width="12" customWidth="1"/>
    <col min="13828" max="13828" width="4.140625" customWidth="1"/>
    <col min="13829" max="13829" width="11.85546875" customWidth="1"/>
    <col min="13830" max="13837" width="15.7109375" customWidth="1"/>
    <col min="14083" max="14083" width="12" customWidth="1"/>
    <col min="14084" max="14084" width="4.140625" customWidth="1"/>
    <col min="14085" max="14085" width="11.85546875" customWidth="1"/>
    <col min="14086" max="14093" width="15.7109375" customWidth="1"/>
    <col min="14339" max="14339" width="12" customWidth="1"/>
    <col min="14340" max="14340" width="4.140625" customWidth="1"/>
    <col min="14341" max="14341" width="11.85546875" customWidth="1"/>
    <col min="14342" max="14349" width="15.7109375" customWidth="1"/>
    <col min="14595" max="14595" width="12" customWidth="1"/>
    <col min="14596" max="14596" width="4.140625" customWidth="1"/>
    <col min="14597" max="14597" width="11.85546875" customWidth="1"/>
    <col min="14598" max="14605" width="15.7109375" customWidth="1"/>
    <col min="14851" max="14851" width="12" customWidth="1"/>
    <col min="14852" max="14852" width="4.140625" customWidth="1"/>
    <col min="14853" max="14853" width="11.85546875" customWidth="1"/>
    <col min="14854" max="14861" width="15.7109375" customWidth="1"/>
    <col min="15107" max="15107" width="12" customWidth="1"/>
    <col min="15108" max="15108" width="4.140625" customWidth="1"/>
    <col min="15109" max="15109" width="11.85546875" customWidth="1"/>
    <col min="15110" max="15117" width="15.7109375" customWidth="1"/>
    <col min="15363" max="15363" width="12" customWidth="1"/>
    <col min="15364" max="15364" width="4.140625" customWidth="1"/>
    <col min="15365" max="15365" width="11.85546875" customWidth="1"/>
    <col min="15366" max="15373" width="15.7109375" customWidth="1"/>
    <col min="15619" max="15619" width="12" customWidth="1"/>
    <col min="15620" max="15620" width="4.140625" customWidth="1"/>
    <col min="15621" max="15621" width="11.85546875" customWidth="1"/>
    <col min="15622" max="15629" width="15.7109375" customWidth="1"/>
    <col min="15875" max="15875" width="12" customWidth="1"/>
    <col min="15876" max="15876" width="4.140625" customWidth="1"/>
    <col min="15877" max="15877" width="11.85546875" customWidth="1"/>
    <col min="15878" max="15885" width="15.7109375" customWidth="1"/>
    <col min="16131" max="16131" width="12" customWidth="1"/>
    <col min="16132" max="16132" width="4.140625" customWidth="1"/>
    <col min="16133" max="16133" width="11.85546875" customWidth="1"/>
    <col min="16134" max="16141" width="15.7109375" customWidth="1"/>
  </cols>
  <sheetData>
    <row r="1" spans="2:13">
      <c r="B1" s="2020"/>
      <c r="C1" s="2020"/>
      <c r="D1" s="2020"/>
      <c r="E1" s="2020"/>
      <c r="F1" s="2020"/>
      <c r="G1" s="2020"/>
      <c r="H1" s="2020"/>
      <c r="I1" s="2020"/>
      <c r="J1" s="2020"/>
      <c r="K1" s="2020"/>
      <c r="L1" s="2020"/>
      <c r="M1" s="2020"/>
    </row>
    <row r="2" spans="2:13" ht="30.95" customHeight="1">
      <c r="B2" s="1130"/>
      <c r="C2" s="1130"/>
      <c r="D2" s="1130"/>
      <c r="E2" s="1130"/>
      <c r="F2" s="1130"/>
      <c r="G2" s="1130"/>
      <c r="L2" s="2021" t="str">
        <f>IF([1]ACCUEIL!B1=1,"NOTE 28 A
NORMAL SYSTEM","NOTE 28 A
SYSTEME NORMAL")</f>
        <v>NOTE 28 A
SYSTEME NORMAL</v>
      </c>
      <c r="M2" s="2022"/>
    </row>
    <row r="3" spans="2:13" ht="15" customHeight="1">
      <c r="B3" s="816" t="str">
        <f>'NOTE 27 B'!B3</f>
        <v>Désignation entité:</v>
      </c>
      <c r="C3" s="1131"/>
      <c r="D3" s="1132" t="str">
        <f>+'NOTE 27 B'!E3</f>
        <v/>
      </c>
      <c r="E3" s="1133"/>
      <c r="F3" s="817"/>
      <c r="G3" s="817"/>
      <c r="H3" s="817"/>
      <c r="I3" s="817"/>
      <c r="J3" s="817"/>
      <c r="K3" s="818"/>
      <c r="L3" s="818"/>
      <c r="M3" s="818"/>
    </row>
    <row r="4" spans="2:13" ht="15" customHeight="1">
      <c r="B4" s="816" t="str">
        <f>'NOTE 27 B'!B4</f>
        <v>Sigle usuel :</v>
      </c>
      <c r="D4" s="817" t="str">
        <f>+'NOTE 27 B'!E4</f>
        <v/>
      </c>
      <c r="G4" s="816"/>
      <c r="H4" s="816"/>
      <c r="I4" s="816"/>
      <c r="J4" s="816"/>
      <c r="M4" s="602"/>
    </row>
    <row r="5" spans="2:13" ht="15" customHeight="1">
      <c r="B5" s="816" t="str">
        <f>'NOTE 27 B'!B5</f>
        <v>Adresse:</v>
      </c>
      <c r="D5" s="817">
        <f>+'NOTE 27 B'!E5</f>
        <v>0</v>
      </c>
      <c r="E5" s="819"/>
      <c r="F5" s="819"/>
      <c r="G5" s="819"/>
      <c r="H5" s="602"/>
      <c r="I5" s="602"/>
      <c r="J5" s="602"/>
      <c r="K5" s="602"/>
      <c r="L5" s="820" t="str">
        <f>'NOTE 27 B'!S5</f>
        <v>BP:</v>
      </c>
      <c r="M5" s="1097" t="str">
        <f>+'NOTE 27 B'!T5</f>
        <v/>
      </c>
    </row>
    <row r="6" spans="2:13" ht="15" customHeight="1">
      <c r="B6" s="816" t="str">
        <f>'NOTE 27 B'!B6</f>
        <v>Numéro d'identification:</v>
      </c>
      <c r="C6" s="1134"/>
      <c r="D6" s="819" t="str">
        <f>+'NOTE 27 B'!E6</f>
        <v/>
      </c>
      <c r="E6" s="819"/>
      <c r="F6" s="819"/>
      <c r="G6" s="819"/>
      <c r="H6" s="602"/>
      <c r="I6" s="602"/>
      <c r="J6" s="1098" t="str">
        <f>'NOTE 27 B'!P6</f>
        <v xml:space="preserve">   Exercice clos le 31 - 12- </v>
      </c>
      <c r="K6" s="1135">
        <f>+'NOTE 27 B'!R6</f>
        <v>2025</v>
      </c>
      <c r="L6" s="1098" t="str">
        <f>'NOTE 27 B'!S6</f>
        <v xml:space="preserve">    Durée (en mois):</v>
      </c>
      <c r="M6" s="821">
        <f>+'NOTE 27 B'!T6</f>
        <v>12</v>
      </c>
    </row>
    <row r="7" spans="2:13" ht="34.5" customHeight="1">
      <c r="B7" s="1638" t="str">
        <f>IF([1]ACCUEIL!B1=1,"NOTE 28 A: PROVISIONS FOR RISKS AND CHARGES","NOTE 28 A : PROVISIONS POUR RISQUES ET CHARGES  ")</f>
        <v xml:space="preserve">NOTE 28 A : PROVISIONS POUR RISQUES ET CHARGES  </v>
      </c>
      <c r="C7" s="1638"/>
      <c r="D7" s="1638"/>
      <c r="E7" s="1638"/>
      <c r="F7" s="1638"/>
      <c r="G7" s="1638"/>
      <c r="H7" s="1638"/>
      <c r="I7" s="1638"/>
      <c r="J7" s="1638"/>
      <c r="K7" s="1638"/>
      <c r="L7" s="1638"/>
      <c r="M7" s="1638"/>
    </row>
    <row r="8" spans="2:13">
      <c r="B8" s="2023" t="str">
        <f>IF([1]ACCUEIL!B1=1,"SITUATIONS AND MOVEMENTS","SITUATIONS ET MOUVEMENTS")</f>
        <v>SITUATIONS ET MOUVEMENTS</v>
      </c>
      <c r="C8" s="2024"/>
      <c r="D8" s="2024"/>
      <c r="E8" s="2025"/>
      <c r="F8" s="1136" t="s">
        <v>92</v>
      </c>
      <c r="G8" s="2026" t="s">
        <v>100</v>
      </c>
      <c r="H8" s="2026"/>
      <c r="I8" s="2026"/>
      <c r="J8" s="2026" t="s">
        <v>102</v>
      </c>
      <c r="K8" s="2026"/>
      <c r="L8" s="2026"/>
      <c r="M8" s="1136" t="s">
        <v>251</v>
      </c>
    </row>
    <row r="9" spans="2:13">
      <c r="B9" s="2027"/>
      <c r="C9" s="2028"/>
      <c r="D9" s="2028"/>
      <c r="E9" s="2029"/>
      <c r="F9" s="2026" t="str">
        <f>IF([1]ACCUEIL!B1=1,"PROVISIONS A
OPENING
SOME EXERCICE","PROVISIONS A
L'OUVERTURE
DE L'EXERCICE")</f>
        <v>PROVISIONS A
L'OUVERTURE
DE L'EXERCICE</v>
      </c>
      <c r="G9" s="2026" t="str">
        <f>IF([1]ACCUEIL!B1=1,"INCREASES: ENDOWMENTS","AUGMENTATIONS : DOTATIONS")</f>
        <v>AUGMENTATIONS : DOTATIONS</v>
      </c>
      <c r="H9" s="2026"/>
      <c r="I9" s="2026"/>
      <c r="J9" s="2026" t="str">
        <f>IF([1]ACCUEIL!B1=1,"DECREASES: RESUMES","DIMINUTIONS : REPRISES")</f>
        <v>DIMINUTIONS : REPRISES</v>
      </c>
      <c r="K9" s="2026"/>
      <c r="L9" s="2026"/>
      <c r="M9" s="2026" t="str">
        <f>IF([1]ACCUEIL!B1=1,"PROVISIONS AT
FENCE
SOME EXERCICE","PROVISIONS À
LA CLÔTURE
DE L'EXERCICE")</f>
        <v>PROVISIONS À
LA CLÔTURE
DE L'EXERCICE</v>
      </c>
    </row>
    <row r="10" spans="2:13" ht="45">
      <c r="B10" s="2030" t="s">
        <v>298</v>
      </c>
      <c r="C10" s="2031"/>
      <c r="D10" s="2031"/>
      <c r="E10" s="2032"/>
      <c r="F10" s="2026"/>
      <c r="G10" s="1136" t="str">
        <f>IF([1]ACCUEIL!B1=1,"OPERATING","D'EXPLOITATION")</f>
        <v>D'EXPLOITATION</v>
      </c>
      <c r="H10" s="1136" t="str">
        <f>IF([1]ACCUEIL!B1=1,"FINANCIAL","FINANCIÈRES")</f>
        <v>FINANCIÈRES</v>
      </c>
      <c r="I10" s="1136" t="str">
        <f>IF([1]ACCUEIL!B1=1,"OUT OF ACTIVITIES
REGULAR","HORS ACTIVITÉS
ORDINAIRES")</f>
        <v>HORS ACTIVITÉS
ORDINAIRES</v>
      </c>
      <c r="J10" s="1136" t="str">
        <f>G10</f>
        <v>D'EXPLOITATION</v>
      </c>
      <c r="K10" s="1136" t="str">
        <f>H10</f>
        <v>FINANCIÈRES</v>
      </c>
      <c r="L10" s="1136" t="str">
        <f>I10</f>
        <v>HORS ACTIVITÉS
ORDINAIRES</v>
      </c>
      <c r="M10" s="2026"/>
    </row>
    <row r="11" spans="2:13" ht="24.95" customHeight="1">
      <c r="B11" s="2036" t="str">
        <f>IF([1]ACCUEIL!B1=1,"Provisions for litigation","Provisions pour litiges")</f>
        <v>Provisions pour litiges</v>
      </c>
      <c r="C11" s="2036"/>
      <c r="D11" s="2036"/>
      <c r="E11" s="2036"/>
      <c r="F11" s="1137">
        <f>'[1]CLASSE 1'!F237</f>
        <v>0</v>
      </c>
      <c r="G11" s="1137">
        <f>'[1]CLASSE 1'!H237</f>
        <v>0</v>
      </c>
      <c r="H11" s="1137"/>
      <c r="I11" s="1137"/>
      <c r="J11" s="1137">
        <f>'[1]CLASSE 1'!G237</f>
        <v>0</v>
      </c>
      <c r="K11" s="1137"/>
      <c r="L11" s="1137"/>
      <c r="M11" s="1137">
        <f>'[1]CLASSE 1'!J237</f>
        <v>0</v>
      </c>
    </row>
    <row r="12" spans="2:13" ht="24.95" customHeight="1">
      <c r="B12" s="2036" t="str">
        <f>IF([1]ACCUEIL!B1=1,"Provisions for guarantees given to customers","Provisions pour garanties données aux clients")</f>
        <v>Provisions pour garanties données aux clients</v>
      </c>
      <c r="C12" s="2036"/>
      <c r="D12" s="2036"/>
      <c r="E12" s="2036"/>
      <c r="F12" s="1137">
        <f>'[1]CLASSE 1'!F238</f>
        <v>0</v>
      </c>
      <c r="G12" s="1137">
        <f>'[1]CLASSE 1'!H238</f>
        <v>0</v>
      </c>
      <c r="H12" s="1137"/>
      <c r="I12" s="1137"/>
      <c r="J12" s="1137">
        <f>'[1]CLASSE 1'!G238</f>
        <v>0</v>
      </c>
      <c r="K12" s="1137"/>
      <c r="L12" s="1137"/>
      <c r="M12" s="1137">
        <f>'[1]CLASSE 1'!J238</f>
        <v>0</v>
      </c>
    </row>
    <row r="13" spans="2:13" ht="24.95" customHeight="1">
      <c r="B13" s="2036" t="str">
        <f>IF([1]ACCUEIL!B1=1,"Provisions for future market losses","Provisions pour pertes sur marchés à achèvement futur")</f>
        <v>Provisions pour pertes sur marchés à achèvement futur</v>
      </c>
      <c r="C13" s="2036"/>
      <c r="D13" s="2036"/>
      <c r="E13" s="2036"/>
      <c r="F13" s="1137">
        <f>'[1]CLASSE 1'!F239</f>
        <v>0</v>
      </c>
      <c r="G13" s="1137">
        <f>'[1]CLASSE 1'!H239</f>
        <v>0</v>
      </c>
      <c r="H13" s="1137"/>
      <c r="I13" s="1137"/>
      <c r="J13" s="1137">
        <f>'[1]CLASSE 1'!G239</f>
        <v>0</v>
      </c>
      <c r="K13" s="1137"/>
      <c r="L13" s="1137"/>
      <c r="M13" s="1137">
        <f>'[1]CLASSE 1'!J239</f>
        <v>0</v>
      </c>
    </row>
    <row r="14" spans="2:13" ht="24.95" customHeight="1">
      <c r="B14" s="2036" t="str">
        <f>IF([1]ACCUEIL!B1=1,"Provisions for exchange loss","Provisions pour perte de change")</f>
        <v>Provisions pour perte de change</v>
      </c>
      <c r="C14" s="2036"/>
      <c r="D14" s="2036"/>
      <c r="E14" s="2036"/>
      <c r="F14" s="1137">
        <f>'[1]CLASSE 1'!F240</f>
        <v>0</v>
      </c>
      <c r="G14" s="1137"/>
      <c r="H14" s="1137">
        <f>'[1]CLASSE 1'!H240</f>
        <v>0</v>
      </c>
      <c r="I14" s="1137"/>
      <c r="J14" s="1137"/>
      <c r="K14" s="1137">
        <f>'[1]CLASSE 1'!G240</f>
        <v>0</v>
      </c>
      <c r="L14" s="1137"/>
      <c r="M14" s="1137">
        <f>'[1]CLASSE 1'!J240</f>
        <v>0</v>
      </c>
    </row>
    <row r="15" spans="2:13" ht="24.95" customHeight="1">
      <c r="B15" s="2036" t="str">
        <f>IF([1]ACCUEIL!B1=1,"Provisions for taxes","Provisions pour impôts")</f>
        <v>Provisions pour impôts</v>
      </c>
      <c r="C15" s="2036"/>
      <c r="D15" s="2036"/>
      <c r="E15" s="2036"/>
      <c r="F15" s="1137">
        <f>'[1]CLASSE 1'!F241</f>
        <v>0</v>
      </c>
      <c r="G15" s="1137">
        <f>'[1]CLASSE 1'!H241</f>
        <v>0</v>
      </c>
      <c r="H15" s="1137"/>
      <c r="I15" s="1137"/>
      <c r="J15" s="1137">
        <f>'[1]CLASSE 1'!G241</f>
        <v>0</v>
      </c>
      <c r="K15" s="1137"/>
      <c r="L15" s="1137"/>
      <c r="M15" s="1137">
        <f>'[1]CLASSE 1'!J241</f>
        <v>0</v>
      </c>
    </row>
    <row r="16" spans="2:13" ht="24.95" customHeight="1">
      <c r="B16" s="2036" t="str">
        <f>IF([1]ACCUEIL!B1=1,"Provisions for pensions and similar obligations","Provisions pour pensions et obligations similaires")</f>
        <v>Provisions pour pensions et obligations similaires</v>
      </c>
      <c r="C16" s="2036"/>
      <c r="D16" s="2036"/>
      <c r="E16" s="2036"/>
      <c r="F16" s="1137">
        <f>'[1]CLASSE 1'!F247</f>
        <v>0</v>
      </c>
      <c r="G16" s="1137">
        <f>'[1]CLASSE 1'!H247</f>
        <v>0</v>
      </c>
      <c r="H16" s="1137"/>
      <c r="I16" s="1137"/>
      <c r="J16" s="1137">
        <f>'[1]CLASSE 1'!G247</f>
        <v>0</v>
      </c>
      <c r="K16" s="1137"/>
      <c r="L16" s="1137"/>
      <c r="M16" s="1137">
        <f>'[1]CLASSE 1'!J247</f>
        <v>0</v>
      </c>
    </row>
    <row r="17" spans="2:13" ht="24.95" customHeight="1">
      <c r="B17" s="2036" t="str">
        <f>IF([1]ACCUEIL!B1=1,"Provisions for restructuring","Provisions pour restructurations")</f>
        <v>Provisions pour restructurations</v>
      </c>
      <c r="C17" s="2036"/>
      <c r="D17" s="2036"/>
      <c r="E17" s="2036"/>
      <c r="F17" s="1137">
        <f>'[1]CLASSE 1'!F248</f>
        <v>0</v>
      </c>
      <c r="G17" s="1137">
        <f>'[1]CLASSE 1'!H248</f>
        <v>0</v>
      </c>
      <c r="H17" s="1137"/>
      <c r="I17" s="1137"/>
      <c r="J17" s="1137">
        <f>'[1]CLASSE 1'!G248</f>
        <v>0</v>
      </c>
      <c r="K17" s="1137"/>
      <c r="L17" s="1137"/>
      <c r="M17" s="1137">
        <f>'[1]CLASSE 1'!J248</f>
        <v>0</v>
      </c>
    </row>
    <row r="18" spans="2:13" ht="24.95" customHeight="1">
      <c r="B18" s="2036" t="str">
        <f>IF([1]ACCUEIL!B1=1,"Other provisions for risks and charges","Autres provisions pour risques et charges")</f>
        <v>Autres provisions pour risques et charges</v>
      </c>
      <c r="C18" s="2036"/>
      <c r="D18" s="2036"/>
      <c r="E18" s="2036"/>
      <c r="F18" s="1137">
        <f>'[1]CLASSE 1'!F260</f>
        <v>0</v>
      </c>
      <c r="G18" s="1137">
        <f>'[1]CLASSE 1'!H260</f>
        <v>0</v>
      </c>
      <c r="H18" s="1137"/>
      <c r="I18" s="1137"/>
      <c r="J18" s="1137">
        <f>'[1]CLASSE 1'!G260</f>
        <v>0</v>
      </c>
      <c r="K18" s="1137"/>
      <c r="L18" s="1137"/>
      <c r="M18" s="1137">
        <f>'[1]CLASSE 1'!J260</f>
        <v>0</v>
      </c>
    </row>
    <row r="19" spans="2:13" ht="31.5" customHeight="1">
      <c r="B19" s="2037" t="str">
        <f>IF([1]ACCUEIL!B1=1,"TOTAL PROVISIONS FOR RISKS AND CHARGES (LONG-TERM)","TOTAL PROVISIONS POUR RISQUES ET CHARGES (LONG TERME)")</f>
        <v>TOTAL PROVISIONS POUR RISQUES ET CHARGES (LONG TERME)</v>
      </c>
      <c r="C19" s="2037"/>
      <c r="D19" s="2037"/>
      <c r="E19" s="2037"/>
      <c r="F19" s="1138">
        <f>SUM(F11:F18)</f>
        <v>0</v>
      </c>
      <c r="G19" s="1138">
        <f t="shared" ref="G19:L19" si="0">SUM(G11:G18)</f>
        <v>0</v>
      </c>
      <c r="H19" s="1138">
        <f t="shared" si="0"/>
        <v>0</v>
      </c>
      <c r="I19" s="1138">
        <f t="shared" si="0"/>
        <v>0</v>
      </c>
      <c r="J19" s="1138">
        <f t="shared" si="0"/>
        <v>0</v>
      </c>
      <c r="K19" s="1138">
        <f t="shared" si="0"/>
        <v>0</v>
      </c>
      <c r="L19" s="1138">
        <f t="shared" si="0"/>
        <v>0</v>
      </c>
      <c r="M19" s="1138">
        <f>SUM(M11:M18)</f>
        <v>0</v>
      </c>
    </row>
    <row r="20" spans="2:13" ht="35.450000000000003" customHeight="1">
      <c r="B20" s="2033" t="str">
        <f>IF([1]ACCUEIL!B1=1,"Provisions for short-term risks on operating transactions","Provisions pour risques à court terme sur opérations d'exploitation")</f>
        <v>Provisions pour risques à court terme sur opérations d'exploitation</v>
      </c>
      <c r="C20" s="2034"/>
      <c r="D20" s="2034"/>
      <c r="E20" s="2035"/>
      <c r="F20" s="1137">
        <f>'[1]CLASSE 4'!F478</f>
        <v>0</v>
      </c>
      <c r="G20" s="1137">
        <f>'[1]CLASSE 4'!H478</f>
        <v>0</v>
      </c>
      <c r="H20" s="1137"/>
      <c r="I20" s="1137"/>
      <c r="J20" s="1137">
        <f>'[1]CLASSE 4'!G478</f>
        <v>0</v>
      </c>
      <c r="K20" s="1137"/>
      <c r="L20" s="1137"/>
      <c r="M20" s="1137">
        <f>'[1]CLASSE 4'!J478</f>
        <v>0</v>
      </c>
    </row>
    <row r="21" spans="2:13" ht="33.6" customHeight="1">
      <c r="B21" s="2033" t="str">
        <f>IF([1]ACCUEIL!B1=1,"Provisions for short-term risks on financial transactions","Provisions pour risques à court terme sur opérations financières")</f>
        <v>Provisions pour risques à court terme sur opérations financières</v>
      </c>
      <c r="C21" s="2034"/>
      <c r="D21" s="2034"/>
      <c r="E21" s="2035"/>
      <c r="F21" s="1137">
        <f>'[1]CLASSE 4'!F480+'[1]CLASSE 5'!F139</f>
        <v>0</v>
      </c>
      <c r="G21" s="1137"/>
      <c r="H21" s="1137">
        <f>'[1]CLASSE 4'!H480+'[1]CLASSE 5'!H139</f>
        <v>0</v>
      </c>
      <c r="I21" s="1137"/>
      <c r="J21" s="1137"/>
      <c r="K21" s="1137">
        <f>'[1]CLASSE 4'!G480+'[1]CLASSE 5'!G139</f>
        <v>0</v>
      </c>
      <c r="L21" s="1137"/>
      <c r="M21" s="1137">
        <f>'[1]CLASSE 4'!J480+'[1]CLASSE 5'!J139</f>
        <v>0</v>
      </c>
    </row>
    <row r="22" spans="2:13" ht="24.95" customHeight="1">
      <c r="B22" s="2033" t="str">
        <f>IF([1]ACCUEIL!B1=1,"Provisions for short-term risks on EOA transactions","Provisions pour risques à court terme sur opérations HAO")</f>
        <v>Provisions pour risques à court terme sur opérations HAO</v>
      </c>
      <c r="C22" s="2034"/>
      <c r="D22" s="2034"/>
      <c r="E22" s="2035"/>
      <c r="F22" s="1137">
        <f>'[1]CLASSE 4'!F482</f>
        <v>0</v>
      </c>
      <c r="G22" s="1137"/>
      <c r="H22" s="1137"/>
      <c r="I22" s="1137">
        <f>'[1]CLASSE 4'!H482</f>
        <v>0</v>
      </c>
      <c r="J22" s="1137"/>
      <c r="K22" s="1137"/>
      <c r="L22" s="1137">
        <f>'[1]CLASSE 4'!G482</f>
        <v>0</v>
      </c>
      <c r="M22" s="1137">
        <f>'[1]CLASSE 4'!J482</f>
        <v>0</v>
      </c>
    </row>
    <row r="23" spans="2:13" ht="24.95" customHeight="1">
      <c r="B23" s="2039" t="str">
        <f>IF([1]ACCUEIL!B1=1,"TOTAL PROVISIONS FOR SHORT-TERM RISKS","TOTAL PROVISIONS POUR RISQUES À COURT TERME")</f>
        <v>TOTAL PROVISIONS POUR RISQUES À COURT TERME</v>
      </c>
      <c r="C23" s="2039"/>
      <c r="D23" s="2039"/>
      <c r="E23" s="2039"/>
      <c r="F23" s="1138">
        <f>SUM(F20:F22)</f>
        <v>0</v>
      </c>
      <c r="G23" s="1138">
        <f t="shared" ref="G23:M23" si="1">SUM(G20:G22)</f>
        <v>0</v>
      </c>
      <c r="H23" s="1138">
        <f t="shared" si="1"/>
        <v>0</v>
      </c>
      <c r="I23" s="1138">
        <f t="shared" si="1"/>
        <v>0</v>
      </c>
      <c r="J23" s="1138">
        <f t="shared" si="1"/>
        <v>0</v>
      </c>
      <c r="K23" s="1138">
        <f t="shared" si="1"/>
        <v>0</v>
      </c>
      <c r="L23" s="1138">
        <f t="shared" si="1"/>
        <v>0</v>
      </c>
      <c r="M23" s="1138">
        <f t="shared" si="1"/>
        <v>0</v>
      </c>
    </row>
    <row r="24" spans="2:13" ht="24.95" customHeight="1">
      <c r="B24" s="2039" t="str">
        <f>IF([1]ACCUEIL!B1=1,"GRAND TOTAL","TOTAL GÉNÉRALL")</f>
        <v>TOTAL GÉNÉRALL</v>
      </c>
      <c r="C24" s="2039"/>
      <c r="D24" s="2039"/>
      <c r="E24" s="2039"/>
      <c r="F24" s="1138">
        <f>F23+F19</f>
        <v>0</v>
      </c>
      <c r="G24" s="1138">
        <f t="shared" ref="G24:M24" si="2">G23+G19</f>
        <v>0</v>
      </c>
      <c r="H24" s="1138">
        <f t="shared" si="2"/>
        <v>0</v>
      </c>
      <c r="I24" s="1138">
        <f t="shared" si="2"/>
        <v>0</v>
      </c>
      <c r="J24" s="1138">
        <f t="shared" si="2"/>
        <v>0</v>
      </c>
      <c r="K24" s="1138">
        <f t="shared" si="2"/>
        <v>0</v>
      </c>
      <c r="L24" s="1138">
        <f t="shared" si="2"/>
        <v>0</v>
      </c>
      <c r="M24" s="1138">
        <f t="shared" si="2"/>
        <v>0</v>
      </c>
    </row>
    <row r="25" spans="2:13">
      <c r="B25" s="1139"/>
      <c r="C25" s="1139"/>
      <c r="D25" s="1139"/>
      <c r="E25" s="1139"/>
      <c r="F25" s="1139"/>
      <c r="G25" s="1139"/>
      <c r="H25" s="1139"/>
      <c r="I25" s="1139"/>
      <c r="J25" s="1139"/>
      <c r="K25" s="1139"/>
      <c r="L25" s="1139"/>
      <c r="M25" s="1139"/>
    </row>
    <row r="26" spans="2:13">
      <c r="B26" s="1140" t="str">
        <f>'NOTE 27 B'!B31:C31</f>
        <v>COMMENTAIRE</v>
      </c>
      <c r="D26" s="2038">
        <f>'[1]NOTE 28 A'!D26:M26</f>
        <v>0</v>
      </c>
      <c r="E26" s="2038"/>
      <c r="F26" s="2038"/>
      <c r="G26" s="2038"/>
      <c r="H26" s="2038"/>
      <c r="I26" s="2038"/>
      <c r="J26" s="2038"/>
      <c r="K26" s="2038"/>
      <c r="L26" s="2038"/>
      <c r="M26" s="2038"/>
    </row>
    <row r="27" spans="2:13">
      <c r="B27" s="1141"/>
      <c r="D27" s="2038">
        <f>'[1]NOTE 28 A'!D27:M27</f>
        <v>0</v>
      </c>
      <c r="E27" s="2038"/>
      <c r="F27" s="2038"/>
      <c r="G27" s="2038"/>
      <c r="H27" s="2038"/>
      <c r="I27" s="2038"/>
      <c r="J27" s="2038"/>
      <c r="K27" s="2038"/>
      <c r="L27" s="2038"/>
      <c r="M27" s="2038"/>
    </row>
    <row r="28" spans="2:13">
      <c r="D28" s="2038">
        <f>'[1]NOTE 28 A'!D28:M28</f>
        <v>0</v>
      </c>
      <c r="E28" s="2038"/>
      <c r="F28" s="2038"/>
      <c r="G28" s="2038"/>
      <c r="H28" s="2038"/>
      <c r="I28" s="2038"/>
      <c r="J28" s="2038"/>
      <c r="K28" s="2038"/>
      <c r="L28" s="2038"/>
      <c r="M28" s="2038"/>
    </row>
    <row r="29" spans="2:13">
      <c r="D29" s="2038">
        <f>'[1]NOTE 28 A'!D29:M29</f>
        <v>0</v>
      </c>
      <c r="E29" s="2038"/>
      <c r="F29" s="2038"/>
      <c r="G29" s="2038"/>
      <c r="H29" s="2038"/>
      <c r="I29" s="2038"/>
      <c r="J29" s="2038"/>
      <c r="K29" s="2038"/>
      <c r="L29" s="2038"/>
      <c r="M29" s="2038"/>
    </row>
    <row r="30" spans="2:13">
      <c r="D30" s="2038">
        <f>'[1]NOTE 28 A'!D30:M30</f>
        <v>0</v>
      </c>
      <c r="E30" s="2038"/>
      <c r="F30" s="2038"/>
      <c r="G30" s="2038"/>
      <c r="H30" s="2038"/>
      <c r="I30" s="2038"/>
      <c r="J30" s="2038"/>
      <c r="K30" s="2038"/>
      <c r="L30" s="2038"/>
      <c r="M30" s="2038"/>
    </row>
    <row r="31" spans="2:13">
      <c r="D31" s="2038">
        <f>'[1]NOTE 28 A'!D31:M31</f>
        <v>0</v>
      </c>
      <c r="E31" s="2038"/>
      <c r="F31" s="2038"/>
      <c r="G31" s="2038"/>
      <c r="H31" s="2038"/>
      <c r="I31" s="2038"/>
      <c r="J31" s="2038"/>
      <c r="K31" s="2038"/>
      <c r="L31" s="2038"/>
      <c r="M31" s="2038"/>
    </row>
    <row r="32" spans="2:13">
      <c r="D32" s="2038">
        <f>'[1]NOTE 28 A'!D32:M32</f>
        <v>0</v>
      </c>
      <c r="E32" s="2038"/>
      <c r="F32" s="2038"/>
      <c r="G32" s="2038"/>
      <c r="H32" s="2038"/>
      <c r="I32" s="2038"/>
      <c r="J32" s="2038"/>
      <c r="K32" s="2038"/>
      <c r="L32" s="2038"/>
      <c r="M32" s="2038"/>
    </row>
    <row r="33" spans="4:13">
      <c r="D33" s="2038">
        <f>'[1]NOTE 28 A'!D33:M33</f>
        <v>0</v>
      </c>
      <c r="E33" s="2038"/>
      <c r="F33" s="2038"/>
      <c r="G33" s="2038"/>
      <c r="H33" s="2038"/>
      <c r="I33" s="2038"/>
      <c r="J33" s="2038"/>
      <c r="K33" s="2038"/>
      <c r="L33" s="2038"/>
      <c r="M33" s="2038"/>
    </row>
    <row r="34" spans="4:13">
      <c r="D34" s="2038">
        <f>'[1]NOTE 28 A'!D34:M34</f>
        <v>0</v>
      </c>
      <c r="E34" s="2038"/>
      <c r="F34" s="2038"/>
      <c r="G34" s="2038"/>
      <c r="H34" s="2038"/>
      <c r="I34" s="2038"/>
      <c r="J34" s="2038"/>
      <c r="K34" s="2038"/>
      <c r="L34" s="2038"/>
      <c r="M34" s="2038"/>
    </row>
    <row r="35" spans="4:13">
      <c r="D35" s="2038">
        <f>'[1]NOTE 28 A'!D35:M35</f>
        <v>0</v>
      </c>
      <c r="E35" s="2038"/>
      <c r="F35" s="2038"/>
      <c r="G35" s="2038"/>
      <c r="H35" s="2038"/>
      <c r="I35" s="2038"/>
      <c r="J35" s="2038"/>
      <c r="K35" s="2038"/>
      <c r="L35" s="2038"/>
      <c r="M35" s="2038"/>
    </row>
  </sheetData>
  <sheetProtection selectLockedCells="1"/>
  <mergeCells count="36">
    <mergeCell ref="D35:M35"/>
    <mergeCell ref="B23:E23"/>
    <mergeCell ref="B24:E24"/>
    <mergeCell ref="D26:M26"/>
    <mergeCell ref="D27:M27"/>
    <mergeCell ref="D28:M28"/>
    <mergeCell ref="D29:M29"/>
    <mergeCell ref="D30:M30"/>
    <mergeCell ref="D31:M31"/>
    <mergeCell ref="D32:M32"/>
    <mergeCell ref="D33:M33"/>
    <mergeCell ref="D34:M34"/>
    <mergeCell ref="B22:E22"/>
    <mergeCell ref="B11:E11"/>
    <mergeCell ref="B12:E12"/>
    <mergeCell ref="B13:E13"/>
    <mergeCell ref="B14:E14"/>
    <mergeCell ref="B15:E15"/>
    <mergeCell ref="B16:E16"/>
    <mergeCell ref="B17:E17"/>
    <mergeCell ref="B18:E18"/>
    <mergeCell ref="B19:E19"/>
    <mergeCell ref="B20:E20"/>
    <mergeCell ref="B21:E21"/>
    <mergeCell ref="B9:E9"/>
    <mergeCell ref="F9:F10"/>
    <mergeCell ref="G9:I9"/>
    <mergeCell ref="J9:L9"/>
    <mergeCell ref="M9:M10"/>
    <mergeCell ref="B10:E10"/>
    <mergeCell ref="B1:M1"/>
    <mergeCell ref="L2:M2"/>
    <mergeCell ref="B7:M7"/>
    <mergeCell ref="B8:E8"/>
    <mergeCell ref="G8:I8"/>
    <mergeCell ref="J8:L8"/>
  </mergeCells>
  <printOptions horizontalCentered="1"/>
  <pageMargins left="0.78740157480314965" right="0" top="0.59055118110236227" bottom="0.19685039370078741" header="0.31496062992125984" footer="0.31496062992125984"/>
  <pageSetup paperSize="9" scale="66" orientation="landscape" r:id="rId1"/>
  <headerFooter>
    <oddHeader>&amp;C&amp;"-,Gras"&amp;14Page &amp;P / &amp;N</oddHead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Feuil68">
    <pageSetUpPr fitToPage="1"/>
  </sheetPr>
  <dimension ref="B1:L46"/>
  <sheetViews>
    <sheetView showGridLines="0" showZeros="0" topLeftCell="A4" zoomScale="70" zoomScaleNormal="70" workbookViewId="0">
      <selection activeCell="C14" sqref="C14"/>
    </sheetView>
  </sheetViews>
  <sheetFormatPr baseColWidth="10" defaultColWidth="11.5703125" defaultRowHeight="15.75"/>
  <cols>
    <col min="1" max="1" width="9.85546875" style="1121" customWidth="1"/>
    <col min="2" max="2" width="11.5703125" style="1121"/>
    <col min="3" max="3" width="20.5703125" style="1121" customWidth="1"/>
    <col min="4" max="4" width="34.140625" style="1121" customWidth="1"/>
    <col min="5" max="5" width="12.28515625" style="1121" customWidth="1"/>
    <col min="6" max="6" width="14" style="1121" customWidth="1"/>
    <col min="7" max="7" width="9.42578125" style="1121" customWidth="1"/>
    <col min="8" max="8" width="16.42578125" style="1121" customWidth="1"/>
    <col min="9" max="9" width="11.42578125" style="1121" customWidth="1"/>
    <col min="10" max="10" width="16.7109375" style="1121" customWidth="1"/>
    <col min="11" max="11" width="11.5703125" style="1121"/>
    <col min="12" max="12" width="16" style="1121" customWidth="1"/>
    <col min="13" max="259" width="11.5703125" style="1121"/>
    <col min="260" max="260" width="34.140625" style="1121" customWidth="1"/>
    <col min="261" max="261" width="12.28515625" style="1121" customWidth="1"/>
    <col min="262" max="262" width="13.140625" style="1121" customWidth="1"/>
    <col min="263" max="263" width="14.28515625" style="1121" customWidth="1"/>
    <col min="264" max="264" width="12.7109375" style="1121" customWidth="1"/>
    <col min="265" max="265" width="11.42578125" style="1121" customWidth="1"/>
    <col min="266" max="266" width="14.5703125" style="1121" customWidth="1"/>
    <col min="267" max="267" width="11.5703125" style="1121"/>
    <col min="268" max="268" width="18.28515625" style="1121" customWidth="1"/>
    <col min="269" max="515" width="11.5703125" style="1121"/>
    <col min="516" max="516" width="34.140625" style="1121" customWidth="1"/>
    <col min="517" max="517" width="12.28515625" style="1121" customWidth="1"/>
    <col min="518" max="518" width="13.140625" style="1121" customWidth="1"/>
    <col min="519" max="519" width="14.28515625" style="1121" customWidth="1"/>
    <col min="520" max="520" width="12.7109375" style="1121" customWidth="1"/>
    <col min="521" max="521" width="11.42578125" style="1121" customWidth="1"/>
    <col min="522" max="522" width="14.5703125" style="1121" customWidth="1"/>
    <col min="523" max="523" width="11.5703125" style="1121"/>
    <col min="524" max="524" width="18.28515625" style="1121" customWidth="1"/>
    <col min="525" max="771" width="11.5703125" style="1121"/>
    <col min="772" max="772" width="34.140625" style="1121" customWidth="1"/>
    <col min="773" max="773" width="12.28515625" style="1121" customWidth="1"/>
    <col min="774" max="774" width="13.140625" style="1121" customWidth="1"/>
    <col min="775" max="775" width="14.28515625" style="1121" customWidth="1"/>
    <col min="776" max="776" width="12.7109375" style="1121" customWidth="1"/>
    <col min="777" max="777" width="11.42578125" style="1121" customWidth="1"/>
    <col min="778" max="778" width="14.5703125" style="1121" customWidth="1"/>
    <col min="779" max="779" width="11.5703125" style="1121"/>
    <col min="780" max="780" width="18.28515625" style="1121" customWidth="1"/>
    <col min="781" max="1027" width="11.5703125" style="1121"/>
    <col min="1028" max="1028" width="34.140625" style="1121" customWidth="1"/>
    <col min="1029" max="1029" width="12.28515625" style="1121" customWidth="1"/>
    <col min="1030" max="1030" width="13.140625" style="1121" customWidth="1"/>
    <col min="1031" max="1031" width="14.28515625" style="1121" customWidth="1"/>
    <col min="1032" max="1032" width="12.7109375" style="1121" customWidth="1"/>
    <col min="1033" max="1033" width="11.42578125" style="1121" customWidth="1"/>
    <col min="1034" max="1034" width="14.5703125" style="1121" customWidth="1"/>
    <col min="1035" max="1035" width="11.5703125" style="1121"/>
    <col min="1036" max="1036" width="18.28515625" style="1121" customWidth="1"/>
    <col min="1037" max="1283" width="11.5703125" style="1121"/>
    <col min="1284" max="1284" width="34.140625" style="1121" customWidth="1"/>
    <col min="1285" max="1285" width="12.28515625" style="1121" customWidth="1"/>
    <col min="1286" max="1286" width="13.140625" style="1121" customWidth="1"/>
    <col min="1287" max="1287" width="14.28515625" style="1121" customWidth="1"/>
    <col min="1288" max="1288" width="12.7109375" style="1121" customWidth="1"/>
    <col min="1289" max="1289" width="11.42578125" style="1121" customWidth="1"/>
    <col min="1290" max="1290" width="14.5703125" style="1121" customWidth="1"/>
    <col min="1291" max="1291" width="11.5703125" style="1121"/>
    <col min="1292" max="1292" width="18.28515625" style="1121" customWidth="1"/>
    <col min="1293" max="1539" width="11.5703125" style="1121"/>
    <col min="1540" max="1540" width="34.140625" style="1121" customWidth="1"/>
    <col min="1541" max="1541" width="12.28515625" style="1121" customWidth="1"/>
    <col min="1542" max="1542" width="13.140625" style="1121" customWidth="1"/>
    <col min="1543" max="1543" width="14.28515625" style="1121" customWidth="1"/>
    <col min="1544" max="1544" width="12.7109375" style="1121" customWidth="1"/>
    <col min="1545" max="1545" width="11.42578125" style="1121" customWidth="1"/>
    <col min="1546" max="1546" width="14.5703125" style="1121" customWidth="1"/>
    <col min="1547" max="1547" width="11.5703125" style="1121"/>
    <col min="1548" max="1548" width="18.28515625" style="1121" customWidth="1"/>
    <col min="1549" max="1795" width="11.5703125" style="1121"/>
    <col min="1796" max="1796" width="34.140625" style="1121" customWidth="1"/>
    <col min="1797" max="1797" width="12.28515625" style="1121" customWidth="1"/>
    <col min="1798" max="1798" width="13.140625" style="1121" customWidth="1"/>
    <col min="1799" max="1799" width="14.28515625" style="1121" customWidth="1"/>
    <col min="1800" max="1800" width="12.7109375" style="1121" customWidth="1"/>
    <col min="1801" max="1801" width="11.42578125" style="1121" customWidth="1"/>
    <col min="1802" max="1802" width="14.5703125" style="1121" customWidth="1"/>
    <col min="1803" max="1803" width="11.5703125" style="1121"/>
    <col min="1804" max="1804" width="18.28515625" style="1121" customWidth="1"/>
    <col min="1805" max="2051" width="11.5703125" style="1121"/>
    <col min="2052" max="2052" width="34.140625" style="1121" customWidth="1"/>
    <col min="2053" max="2053" width="12.28515625" style="1121" customWidth="1"/>
    <col min="2054" max="2054" width="13.140625" style="1121" customWidth="1"/>
    <col min="2055" max="2055" width="14.28515625" style="1121" customWidth="1"/>
    <col min="2056" max="2056" width="12.7109375" style="1121" customWidth="1"/>
    <col min="2057" max="2057" width="11.42578125" style="1121" customWidth="1"/>
    <col min="2058" max="2058" width="14.5703125" style="1121" customWidth="1"/>
    <col min="2059" max="2059" width="11.5703125" style="1121"/>
    <col min="2060" max="2060" width="18.28515625" style="1121" customWidth="1"/>
    <col min="2061" max="2307" width="11.5703125" style="1121"/>
    <col min="2308" max="2308" width="34.140625" style="1121" customWidth="1"/>
    <col min="2309" max="2309" width="12.28515625" style="1121" customWidth="1"/>
    <col min="2310" max="2310" width="13.140625" style="1121" customWidth="1"/>
    <col min="2311" max="2311" width="14.28515625" style="1121" customWidth="1"/>
    <col min="2312" max="2312" width="12.7109375" style="1121" customWidth="1"/>
    <col min="2313" max="2313" width="11.42578125" style="1121" customWidth="1"/>
    <col min="2314" max="2314" width="14.5703125" style="1121" customWidth="1"/>
    <col min="2315" max="2315" width="11.5703125" style="1121"/>
    <col min="2316" max="2316" width="18.28515625" style="1121" customWidth="1"/>
    <col min="2317" max="2563" width="11.5703125" style="1121"/>
    <col min="2564" max="2564" width="34.140625" style="1121" customWidth="1"/>
    <col min="2565" max="2565" width="12.28515625" style="1121" customWidth="1"/>
    <col min="2566" max="2566" width="13.140625" style="1121" customWidth="1"/>
    <col min="2567" max="2567" width="14.28515625" style="1121" customWidth="1"/>
    <col min="2568" max="2568" width="12.7109375" style="1121" customWidth="1"/>
    <col min="2569" max="2569" width="11.42578125" style="1121" customWidth="1"/>
    <col min="2570" max="2570" width="14.5703125" style="1121" customWidth="1"/>
    <col min="2571" max="2571" width="11.5703125" style="1121"/>
    <col min="2572" max="2572" width="18.28515625" style="1121" customWidth="1"/>
    <col min="2573" max="2819" width="11.5703125" style="1121"/>
    <col min="2820" max="2820" width="34.140625" style="1121" customWidth="1"/>
    <col min="2821" max="2821" width="12.28515625" style="1121" customWidth="1"/>
    <col min="2822" max="2822" width="13.140625" style="1121" customWidth="1"/>
    <col min="2823" max="2823" width="14.28515625" style="1121" customWidth="1"/>
    <col min="2824" max="2824" width="12.7109375" style="1121" customWidth="1"/>
    <col min="2825" max="2825" width="11.42578125" style="1121" customWidth="1"/>
    <col min="2826" max="2826" width="14.5703125" style="1121" customWidth="1"/>
    <col min="2827" max="2827" width="11.5703125" style="1121"/>
    <col min="2828" max="2828" width="18.28515625" style="1121" customWidth="1"/>
    <col min="2829" max="3075" width="11.5703125" style="1121"/>
    <col min="3076" max="3076" width="34.140625" style="1121" customWidth="1"/>
    <col min="3077" max="3077" width="12.28515625" style="1121" customWidth="1"/>
    <col min="3078" max="3078" width="13.140625" style="1121" customWidth="1"/>
    <col min="3079" max="3079" width="14.28515625" style="1121" customWidth="1"/>
    <col min="3080" max="3080" width="12.7109375" style="1121" customWidth="1"/>
    <col min="3081" max="3081" width="11.42578125" style="1121" customWidth="1"/>
    <col min="3082" max="3082" width="14.5703125" style="1121" customWidth="1"/>
    <col min="3083" max="3083" width="11.5703125" style="1121"/>
    <col min="3084" max="3084" width="18.28515625" style="1121" customWidth="1"/>
    <col min="3085" max="3331" width="11.5703125" style="1121"/>
    <col min="3332" max="3332" width="34.140625" style="1121" customWidth="1"/>
    <col min="3333" max="3333" width="12.28515625" style="1121" customWidth="1"/>
    <col min="3334" max="3334" width="13.140625" style="1121" customWidth="1"/>
    <col min="3335" max="3335" width="14.28515625" style="1121" customWidth="1"/>
    <col min="3336" max="3336" width="12.7109375" style="1121" customWidth="1"/>
    <col min="3337" max="3337" width="11.42578125" style="1121" customWidth="1"/>
    <col min="3338" max="3338" width="14.5703125" style="1121" customWidth="1"/>
    <col min="3339" max="3339" width="11.5703125" style="1121"/>
    <col min="3340" max="3340" width="18.28515625" style="1121" customWidth="1"/>
    <col min="3341" max="3587" width="11.5703125" style="1121"/>
    <col min="3588" max="3588" width="34.140625" style="1121" customWidth="1"/>
    <col min="3589" max="3589" width="12.28515625" style="1121" customWidth="1"/>
    <col min="3590" max="3590" width="13.140625" style="1121" customWidth="1"/>
    <col min="3591" max="3591" width="14.28515625" style="1121" customWidth="1"/>
    <col min="3592" max="3592" width="12.7109375" style="1121" customWidth="1"/>
    <col min="3593" max="3593" width="11.42578125" style="1121" customWidth="1"/>
    <col min="3594" max="3594" width="14.5703125" style="1121" customWidth="1"/>
    <col min="3595" max="3595" width="11.5703125" style="1121"/>
    <col min="3596" max="3596" width="18.28515625" style="1121" customWidth="1"/>
    <col min="3597" max="3843" width="11.5703125" style="1121"/>
    <col min="3844" max="3844" width="34.140625" style="1121" customWidth="1"/>
    <col min="3845" max="3845" width="12.28515625" style="1121" customWidth="1"/>
    <col min="3846" max="3846" width="13.140625" style="1121" customWidth="1"/>
    <col min="3847" max="3847" width="14.28515625" style="1121" customWidth="1"/>
    <col min="3848" max="3848" width="12.7109375" style="1121" customWidth="1"/>
    <col min="3849" max="3849" width="11.42578125" style="1121" customWidth="1"/>
    <col min="3850" max="3850" width="14.5703125" style="1121" customWidth="1"/>
    <col min="3851" max="3851" width="11.5703125" style="1121"/>
    <col min="3852" max="3852" width="18.28515625" style="1121" customWidth="1"/>
    <col min="3853" max="4099" width="11.5703125" style="1121"/>
    <col min="4100" max="4100" width="34.140625" style="1121" customWidth="1"/>
    <col min="4101" max="4101" width="12.28515625" style="1121" customWidth="1"/>
    <col min="4102" max="4102" width="13.140625" style="1121" customWidth="1"/>
    <col min="4103" max="4103" width="14.28515625" style="1121" customWidth="1"/>
    <col min="4104" max="4104" width="12.7109375" style="1121" customWidth="1"/>
    <col min="4105" max="4105" width="11.42578125" style="1121" customWidth="1"/>
    <col min="4106" max="4106" width="14.5703125" style="1121" customWidth="1"/>
    <col min="4107" max="4107" width="11.5703125" style="1121"/>
    <col min="4108" max="4108" width="18.28515625" style="1121" customWidth="1"/>
    <col min="4109" max="4355" width="11.5703125" style="1121"/>
    <col min="4356" max="4356" width="34.140625" style="1121" customWidth="1"/>
    <col min="4357" max="4357" width="12.28515625" style="1121" customWidth="1"/>
    <col min="4358" max="4358" width="13.140625" style="1121" customWidth="1"/>
    <col min="4359" max="4359" width="14.28515625" style="1121" customWidth="1"/>
    <col min="4360" max="4360" width="12.7109375" style="1121" customWidth="1"/>
    <col min="4361" max="4361" width="11.42578125" style="1121" customWidth="1"/>
    <col min="4362" max="4362" width="14.5703125" style="1121" customWidth="1"/>
    <col min="4363" max="4363" width="11.5703125" style="1121"/>
    <col min="4364" max="4364" width="18.28515625" style="1121" customWidth="1"/>
    <col min="4365" max="4611" width="11.5703125" style="1121"/>
    <col min="4612" max="4612" width="34.140625" style="1121" customWidth="1"/>
    <col min="4613" max="4613" width="12.28515625" style="1121" customWidth="1"/>
    <col min="4614" max="4614" width="13.140625" style="1121" customWidth="1"/>
    <col min="4615" max="4615" width="14.28515625" style="1121" customWidth="1"/>
    <col min="4616" max="4616" width="12.7109375" style="1121" customWidth="1"/>
    <col min="4617" max="4617" width="11.42578125" style="1121" customWidth="1"/>
    <col min="4618" max="4618" width="14.5703125" style="1121" customWidth="1"/>
    <col min="4619" max="4619" width="11.5703125" style="1121"/>
    <col min="4620" max="4620" width="18.28515625" style="1121" customWidth="1"/>
    <col min="4621" max="4867" width="11.5703125" style="1121"/>
    <col min="4868" max="4868" width="34.140625" style="1121" customWidth="1"/>
    <col min="4869" max="4869" width="12.28515625" style="1121" customWidth="1"/>
    <col min="4870" max="4870" width="13.140625" style="1121" customWidth="1"/>
    <col min="4871" max="4871" width="14.28515625" style="1121" customWidth="1"/>
    <col min="4872" max="4872" width="12.7109375" style="1121" customWidth="1"/>
    <col min="4873" max="4873" width="11.42578125" style="1121" customWidth="1"/>
    <col min="4874" max="4874" width="14.5703125" style="1121" customWidth="1"/>
    <col min="4875" max="4875" width="11.5703125" style="1121"/>
    <col min="4876" max="4876" width="18.28515625" style="1121" customWidth="1"/>
    <col min="4877" max="5123" width="11.5703125" style="1121"/>
    <col min="5124" max="5124" width="34.140625" style="1121" customWidth="1"/>
    <col min="5125" max="5125" width="12.28515625" style="1121" customWidth="1"/>
    <col min="5126" max="5126" width="13.140625" style="1121" customWidth="1"/>
    <col min="5127" max="5127" width="14.28515625" style="1121" customWidth="1"/>
    <col min="5128" max="5128" width="12.7109375" style="1121" customWidth="1"/>
    <col min="5129" max="5129" width="11.42578125" style="1121" customWidth="1"/>
    <col min="5130" max="5130" width="14.5703125" style="1121" customWidth="1"/>
    <col min="5131" max="5131" width="11.5703125" style="1121"/>
    <col min="5132" max="5132" width="18.28515625" style="1121" customWidth="1"/>
    <col min="5133" max="5379" width="11.5703125" style="1121"/>
    <col min="5380" max="5380" width="34.140625" style="1121" customWidth="1"/>
    <col min="5381" max="5381" width="12.28515625" style="1121" customWidth="1"/>
    <col min="5382" max="5382" width="13.140625" style="1121" customWidth="1"/>
    <col min="5383" max="5383" width="14.28515625" style="1121" customWidth="1"/>
    <col min="5384" max="5384" width="12.7109375" style="1121" customWidth="1"/>
    <col min="5385" max="5385" width="11.42578125" style="1121" customWidth="1"/>
    <col min="5386" max="5386" width="14.5703125" style="1121" customWidth="1"/>
    <col min="5387" max="5387" width="11.5703125" style="1121"/>
    <col min="5388" max="5388" width="18.28515625" style="1121" customWidth="1"/>
    <col min="5389" max="5635" width="11.5703125" style="1121"/>
    <col min="5636" max="5636" width="34.140625" style="1121" customWidth="1"/>
    <col min="5637" max="5637" width="12.28515625" style="1121" customWidth="1"/>
    <col min="5638" max="5638" width="13.140625" style="1121" customWidth="1"/>
    <col min="5639" max="5639" width="14.28515625" style="1121" customWidth="1"/>
    <col min="5640" max="5640" width="12.7109375" style="1121" customWidth="1"/>
    <col min="5641" max="5641" width="11.42578125" style="1121" customWidth="1"/>
    <col min="5642" max="5642" width="14.5703125" style="1121" customWidth="1"/>
    <col min="5643" max="5643" width="11.5703125" style="1121"/>
    <col min="5644" max="5644" width="18.28515625" style="1121" customWidth="1"/>
    <col min="5645" max="5891" width="11.5703125" style="1121"/>
    <col min="5892" max="5892" width="34.140625" style="1121" customWidth="1"/>
    <col min="5893" max="5893" width="12.28515625" style="1121" customWidth="1"/>
    <col min="5894" max="5894" width="13.140625" style="1121" customWidth="1"/>
    <col min="5895" max="5895" width="14.28515625" style="1121" customWidth="1"/>
    <col min="5896" max="5896" width="12.7109375" style="1121" customWidth="1"/>
    <col min="5897" max="5897" width="11.42578125" style="1121" customWidth="1"/>
    <col min="5898" max="5898" width="14.5703125" style="1121" customWidth="1"/>
    <col min="5899" max="5899" width="11.5703125" style="1121"/>
    <col min="5900" max="5900" width="18.28515625" style="1121" customWidth="1"/>
    <col min="5901" max="6147" width="11.5703125" style="1121"/>
    <col min="6148" max="6148" width="34.140625" style="1121" customWidth="1"/>
    <col min="6149" max="6149" width="12.28515625" style="1121" customWidth="1"/>
    <col min="6150" max="6150" width="13.140625" style="1121" customWidth="1"/>
    <col min="6151" max="6151" width="14.28515625" style="1121" customWidth="1"/>
    <col min="6152" max="6152" width="12.7109375" style="1121" customWidth="1"/>
    <col min="6153" max="6153" width="11.42578125" style="1121" customWidth="1"/>
    <col min="6154" max="6154" width="14.5703125" style="1121" customWidth="1"/>
    <col min="6155" max="6155" width="11.5703125" style="1121"/>
    <col min="6156" max="6156" width="18.28515625" style="1121" customWidth="1"/>
    <col min="6157" max="6403" width="11.5703125" style="1121"/>
    <col min="6404" max="6404" width="34.140625" style="1121" customWidth="1"/>
    <col min="6405" max="6405" width="12.28515625" style="1121" customWidth="1"/>
    <col min="6406" max="6406" width="13.140625" style="1121" customWidth="1"/>
    <col min="6407" max="6407" width="14.28515625" style="1121" customWidth="1"/>
    <col min="6408" max="6408" width="12.7109375" style="1121" customWidth="1"/>
    <col min="6409" max="6409" width="11.42578125" style="1121" customWidth="1"/>
    <col min="6410" max="6410" width="14.5703125" style="1121" customWidth="1"/>
    <col min="6411" max="6411" width="11.5703125" style="1121"/>
    <col min="6412" max="6412" width="18.28515625" style="1121" customWidth="1"/>
    <col min="6413" max="6659" width="11.5703125" style="1121"/>
    <col min="6660" max="6660" width="34.140625" style="1121" customWidth="1"/>
    <col min="6661" max="6661" width="12.28515625" style="1121" customWidth="1"/>
    <col min="6662" max="6662" width="13.140625" style="1121" customWidth="1"/>
    <col min="6663" max="6663" width="14.28515625" style="1121" customWidth="1"/>
    <col min="6664" max="6664" width="12.7109375" style="1121" customWidth="1"/>
    <col min="6665" max="6665" width="11.42578125" style="1121" customWidth="1"/>
    <col min="6666" max="6666" width="14.5703125" style="1121" customWidth="1"/>
    <col min="6667" max="6667" width="11.5703125" style="1121"/>
    <col min="6668" max="6668" width="18.28515625" style="1121" customWidth="1"/>
    <col min="6669" max="6915" width="11.5703125" style="1121"/>
    <col min="6916" max="6916" width="34.140625" style="1121" customWidth="1"/>
    <col min="6917" max="6917" width="12.28515625" style="1121" customWidth="1"/>
    <col min="6918" max="6918" width="13.140625" style="1121" customWidth="1"/>
    <col min="6919" max="6919" width="14.28515625" style="1121" customWidth="1"/>
    <col min="6920" max="6920" width="12.7109375" style="1121" customWidth="1"/>
    <col min="6921" max="6921" width="11.42578125" style="1121" customWidth="1"/>
    <col min="6922" max="6922" width="14.5703125" style="1121" customWidth="1"/>
    <col min="6923" max="6923" width="11.5703125" style="1121"/>
    <col min="6924" max="6924" width="18.28515625" style="1121" customWidth="1"/>
    <col min="6925" max="7171" width="11.5703125" style="1121"/>
    <col min="7172" max="7172" width="34.140625" style="1121" customWidth="1"/>
    <col min="7173" max="7173" width="12.28515625" style="1121" customWidth="1"/>
    <col min="7174" max="7174" width="13.140625" style="1121" customWidth="1"/>
    <col min="7175" max="7175" width="14.28515625" style="1121" customWidth="1"/>
    <col min="7176" max="7176" width="12.7109375" style="1121" customWidth="1"/>
    <col min="7177" max="7177" width="11.42578125" style="1121" customWidth="1"/>
    <col min="7178" max="7178" width="14.5703125" style="1121" customWidth="1"/>
    <col min="7179" max="7179" width="11.5703125" style="1121"/>
    <col min="7180" max="7180" width="18.28515625" style="1121" customWidth="1"/>
    <col min="7181" max="7427" width="11.5703125" style="1121"/>
    <col min="7428" max="7428" width="34.140625" style="1121" customWidth="1"/>
    <col min="7429" max="7429" width="12.28515625" style="1121" customWidth="1"/>
    <col min="7430" max="7430" width="13.140625" style="1121" customWidth="1"/>
    <col min="7431" max="7431" width="14.28515625" style="1121" customWidth="1"/>
    <col min="7432" max="7432" width="12.7109375" style="1121" customWidth="1"/>
    <col min="7433" max="7433" width="11.42578125" style="1121" customWidth="1"/>
    <col min="7434" max="7434" width="14.5703125" style="1121" customWidth="1"/>
    <col min="7435" max="7435" width="11.5703125" style="1121"/>
    <col min="7436" max="7436" width="18.28515625" style="1121" customWidth="1"/>
    <col min="7437" max="7683" width="11.5703125" style="1121"/>
    <col min="7684" max="7684" width="34.140625" style="1121" customWidth="1"/>
    <col min="7685" max="7685" width="12.28515625" style="1121" customWidth="1"/>
    <col min="7686" max="7686" width="13.140625" style="1121" customWidth="1"/>
    <col min="7687" max="7687" width="14.28515625" style="1121" customWidth="1"/>
    <col min="7688" max="7688" width="12.7109375" style="1121" customWidth="1"/>
    <col min="7689" max="7689" width="11.42578125" style="1121" customWidth="1"/>
    <col min="7690" max="7690" width="14.5703125" style="1121" customWidth="1"/>
    <col min="7691" max="7691" width="11.5703125" style="1121"/>
    <col min="7692" max="7692" width="18.28515625" style="1121" customWidth="1"/>
    <col min="7693" max="7939" width="11.5703125" style="1121"/>
    <col min="7940" max="7940" width="34.140625" style="1121" customWidth="1"/>
    <col min="7941" max="7941" width="12.28515625" style="1121" customWidth="1"/>
    <col min="7942" max="7942" width="13.140625" style="1121" customWidth="1"/>
    <col min="7943" max="7943" width="14.28515625" style="1121" customWidth="1"/>
    <col min="7944" max="7944" width="12.7109375" style="1121" customWidth="1"/>
    <col min="7945" max="7945" width="11.42578125" style="1121" customWidth="1"/>
    <col min="7946" max="7946" width="14.5703125" style="1121" customWidth="1"/>
    <col min="7947" max="7947" width="11.5703125" style="1121"/>
    <col min="7948" max="7948" width="18.28515625" style="1121" customWidth="1"/>
    <col min="7949" max="8195" width="11.5703125" style="1121"/>
    <col min="8196" max="8196" width="34.140625" style="1121" customWidth="1"/>
    <col min="8197" max="8197" width="12.28515625" style="1121" customWidth="1"/>
    <col min="8198" max="8198" width="13.140625" style="1121" customWidth="1"/>
    <col min="8199" max="8199" width="14.28515625" style="1121" customWidth="1"/>
    <col min="8200" max="8200" width="12.7109375" style="1121" customWidth="1"/>
    <col min="8201" max="8201" width="11.42578125" style="1121" customWidth="1"/>
    <col min="8202" max="8202" width="14.5703125" style="1121" customWidth="1"/>
    <col min="8203" max="8203" width="11.5703125" style="1121"/>
    <col min="8204" max="8204" width="18.28515625" style="1121" customWidth="1"/>
    <col min="8205" max="8451" width="11.5703125" style="1121"/>
    <col min="8452" max="8452" width="34.140625" style="1121" customWidth="1"/>
    <col min="8453" max="8453" width="12.28515625" style="1121" customWidth="1"/>
    <col min="8454" max="8454" width="13.140625" style="1121" customWidth="1"/>
    <col min="8455" max="8455" width="14.28515625" style="1121" customWidth="1"/>
    <col min="8456" max="8456" width="12.7109375" style="1121" customWidth="1"/>
    <col min="8457" max="8457" width="11.42578125" style="1121" customWidth="1"/>
    <col min="8458" max="8458" width="14.5703125" style="1121" customWidth="1"/>
    <col min="8459" max="8459" width="11.5703125" style="1121"/>
    <col min="8460" max="8460" width="18.28515625" style="1121" customWidth="1"/>
    <col min="8461" max="8707" width="11.5703125" style="1121"/>
    <col min="8708" max="8708" width="34.140625" style="1121" customWidth="1"/>
    <col min="8709" max="8709" width="12.28515625" style="1121" customWidth="1"/>
    <col min="8710" max="8710" width="13.140625" style="1121" customWidth="1"/>
    <col min="8711" max="8711" width="14.28515625" style="1121" customWidth="1"/>
    <col min="8712" max="8712" width="12.7109375" style="1121" customWidth="1"/>
    <col min="8713" max="8713" width="11.42578125" style="1121" customWidth="1"/>
    <col min="8714" max="8714" width="14.5703125" style="1121" customWidth="1"/>
    <col min="8715" max="8715" width="11.5703125" style="1121"/>
    <col min="8716" max="8716" width="18.28515625" style="1121" customWidth="1"/>
    <col min="8717" max="8963" width="11.5703125" style="1121"/>
    <col min="8964" max="8964" width="34.140625" style="1121" customWidth="1"/>
    <col min="8965" max="8965" width="12.28515625" style="1121" customWidth="1"/>
    <col min="8966" max="8966" width="13.140625" style="1121" customWidth="1"/>
    <col min="8967" max="8967" width="14.28515625" style="1121" customWidth="1"/>
    <col min="8968" max="8968" width="12.7109375" style="1121" customWidth="1"/>
    <col min="8969" max="8969" width="11.42578125" style="1121" customWidth="1"/>
    <col min="8970" max="8970" width="14.5703125" style="1121" customWidth="1"/>
    <col min="8971" max="8971" width="11.5703125" style="1121"/>
    <col min="8972" max="8972" width="18.28515625" style="1121" customWidth="1"/>
    <col min="8973" max="9219" width="11.5703125" style="1121"/>
    <col min="9220" max="9220" width="34.140625" style="1121" customWidth="1"/>
    <col min="9221" max="9221" width="12.28515625" style="1121" customWidth="1"/>
    <col min="9222" max="9222" width="13.140625" style="1121" customWidth="1"/>
    <col min="9223" max="9223" width="14.28515625" style="1121" customWidth="1"/>
    <col min="9224" max="9224" width="12.7109375" style="1121" customWidth="1"/>
    <col min="9225" max="9225" width="11.42578125" style="1121" customWidth="1"/>
    <col min="9226" max="9226" width="14.5703125" style="1121" customWidth="1"/>
    <col min="9227" max="9227" width="11.5703125" style="1121"/>
    <col min="9228" max="9228" width="18.28515625" style="1121" customWidth="1"/>
    <col min="9229" max="9475" width="11.5703125" style="1121"/>
    <col min="9476" max="9476" width="34.140625" style="1121" customWidth="1"/>
    <col min="9477" max="9477" width="12.28515625" style="1121" customWidth="1"/>
    <col min="9478" max="9478" width="13.140625" style="1121" customWidth="1"/>
    <col min="9479" max="9479" width="14.28515625" style="1121" customWidth="1"/>
    <col min="9480" max="9480" width="12.7109375" style="1121" customWidth="1"/>
    <col min="9481" max="9481" width="11.42578125" style="1121" customWidth="1"/>
    <col min="9482" max="9482" width="14.5703125" style="1121" customWidth="1"/>
    <col min="9483" max="9483" width="11.5703125" style="1121"/>
    <col min="9484" max="9484" width="18.28515625" style="1121" customWidth="1"/>
    <col min="9485" max="9731" width="11.5703125" style="1121"/>
    <col min="9732" max="9732" width="34.140625" style="1121" customWidth="1"/>
    <col min="9733" max="9733" width="12.28515625" style="1121" customWidth="1"/>
    <col min="9734" max="9734" width="13.140625" style="1121" customWidth="1"/>
    <col min="9735" max="9735" width="14.28515625" style="1121" customWidth="1"/>
    <col min="9736" max="9736" width="12.7109375" style="1121" customWidth="1"/>
    <col min="9737" max="9737" width="11.42578125" style="1121" customWidth="1"/>
    <col min="9738" max="9738" width="14.5703125" style="1121" customWidth="1"/>
    <col min="9739" max="9739" width="11.5703125" style="1121"/>
    <col min="9740" max="9740" width="18.28515625" style="1121" customWidth="1"/>
    <col min="9741" max="9987" width="11.5703125" style="1121"/>
    <col min="9988" max="9988" width="34.140625" style="1121" customWidth="1"/>
    <col min="9989" max="9989" width="12.28515625" style="1121" customWidth="1"/>
    <col min="9990" max="9990" width="13.140625" style="1121" customWidth="1"/>
    <col min="9991" max="9991" width="14.28515625" style="1121" customWidth="1"/>
    <col min="9992" max="9992" width="12.7109375" style="1121" customWidth="1"/>
    <col min="9993" max="9993" width="11.42578125" style="1121" customWidth="1"/>
    <col min="9994" max="9994" width="14.5703125" style="1121" customWidth="1"/>
    <col min="9995" max="9995" width="11.5703125" style="1121"/>
    <col min="9996" max="9996" width="18.28515625" style="1121" customWidth="1"/>
    <col min="9997" max="10243" width="11.5703125" style="1121"/>
    <col min="10244" max="10244" width="34.140625" style="1121" customWidth="1"/>
    <col min="10245" max="10245" width="12.28515625" style="1121" customWidth="1"/>
    <col min="10246" max="10246" width="13.140625" style="1121" customWidth="1"/>
    <col min="10247" max="10247" width="14.28515625" style="1121" customWidth="1"/>
    <col min="10248" max="10248" width="12.7109375" style="1121" customWidth="1"/>
    <col min="10249" max="10249" width="11.42578125" style="1121" customWidth="1"/>
    <col min="10250" max="10250" width="14.5703125" style="1121" customWidth="1"/>
    <col min="10251" max="10251" width="11.5703125" style="1121"/>
    <col min="10252" max="10252" width="18.28515625" style="1121" customWidth="1"/>
    <col min="10253" max="10499" width="11.5703125" style="1121"/>
    <col min="10500" max="10500" width="34.140625" style="1121" customWidth="1"/>
    <col min="10501" max="10501" width="12.28515625" style="1121" customWidth="1"/>
    <col min="10502" max="10502" width="13.140625" style="1121" customWidth="1"/>
    <col min="10503" max="10503" width="14.28515625" style="1121" customWidth="1"/>
    <col min="10504" max="10504" width="12.7109375" style="1121" customWidth="1"/>
    <col min="10505" max="10505" width="11.42578125" style="1121" customWidth="1"/>
    <col min="10506" max="10506" width="14.5703125" style="1121" customWidth="1"/>
    <col min="10507" max="10507" width="11.5703125" style="1121"/>
    <col min="10508" max="10508" width="18.28515625" style="1121" customWidth="1"/>
    <col min="10509" max="10755" width="11.5703125" style="1121"/>
    <col min="10756" max="10756" width="34.140625" style="1121" customWidth="1"/>
    <col min="10757" max="10757" width="12.28515625" style="1121" customWidth="1"/>
    <col min="10758" max="10758" width="13.140625" style="1121" customWidth="1"/>
    <col min="10759" max="10759" width="14.28515625" style="1121" customWidth="1"/>
    <col min="10760" max="10760" width="12.7109375" style="1121" customWidth="1"/>
    <col min="10761" max="10761" width="11.42578125" style="1121" customWidth="1"/>
    <col min="10762" max="10762" width="14.5703125" style="1121" customWidth="1"/>
    <col min="10763" max="10763" width="11.5703125" style="1121"/>
    <col min="10764" max="10764" width="18.28515625" style="1121" customWidth="1"/>
    <col min="10765" max="11011" width="11.5703125" style="1121"/>
    <col min="11012" max="11012" width="34.140625" style="1121" customWidth="1"/>
    <col min="11013" max="11013" width="12.28515625" style="1121" customWidth="1"/>
    <col min="11014" max="11014" width="13.140625" style="1121" customWidth="1"/>
    <col min="11015" max="11015" width="14.28515625" style="1121" customWidth="1"/>
    <col min="11016" max="11016" width="12.7109375" style="1121" customWidth="1"/>
    <col min="11017" max="11017" width="11.42578125" style="1121" customWidth="1"/>
    <col min="11018" max="11018" width="14.5703125" style="1121" customWidth="1"/>
    <col min="11019" max="11019" width="11.5703125" style="1121"/>
    <col min="11020" max="11020" width="18.28515625" style="1121" customWidth="1"/>
    <col min="11021" max="11267" width="11.5703125" style="1121"/>
    <col min="11268" max="11268" width="34.140625" style="1121" customWidth="1"/>
    <col min="11269" max="11269" width="12.28515625" style="1121" customWidth="1"/>
    <col min="11270" max="11270" width="13.140625" style="1121" customWidth="1"/>
    <col min="11271" max="11271" width="14.28515625" style="1121" customWidth="1"/>
    <col min="11272" max="11272" width="12.7109375" style="1121" customWidth="1"/>
    <col min="11273" max="11273" width="11.42578125" style="1121" customWidth="1"/>
    <col min="11274" max="11274" width="14.5703125" style="1121" customWidth="1"/>
    <col min="11275" max="11275" width="11.5703125" style="1121"/>
    <col min="11276" max="11276" width="18.28515625" style="1121" customWidth="1"/>
    <col min="11277" max="11523" width="11.5703125" style="1121"/>
    <col min="11524" max="11524" width="34.140625" style="1121" customWidth="1"/>
    <col min="11525" max="11525" width="12.28515625" style="1121" customWidth="1"/>
    <col min="11526" max="11526" width="13.140625" style="1121" customWidth="1"/>
    <col min="11527" max="11527" width="14.28515625" style="1121" customWidth="1"/>
    <col min="11528" max="11528" width="12.7109375" style="1121" customWidth="1"/>
    <col min="11529" max="11529" width="11.42578125" style="1121" customWidth="1"/>
    <col min="11530" max="11530" width="14.5703125" style="1121" customWidth="1"/>
    <col min="11531" max="11531" width="11.5703125" style="1121"/>
    <col min="11532" max="11532" width="18.28515625" style="1121" customWidth="1"/>
    <col min="11533" max="11779" width="11.5703125" style="1121"/>
    <col min="11780" max="11780" width="34.140625" style="1121" customWidth="1"/>
    <col min="11781" max="11781" width="12.28515625" style="1121" customWidth="1"/>
    <col min="11782" max="11782" width="13.140625" style="1121" customWidth="1"/>
    <col min="11783" max="11783" width="14.28515625" style="1121" customWidth="1"/>
    <col min="11784" max="11784" width="12.7109375" style="1121" customWidth="1"/>
    <col min="11785" max="11785" width="11.42578125" style="1121" customWidth="1"/>
    <col min="11786" max="11786" width="14.5703125" style="1121" customWidth="1"/>
    <col min="11787" max="11787" width="11.5703125" style="1121"/>
    <col min="11788" max="11788" width="18.28515625" style="1121" customWidth="1"/>
    <col min="11789" max="12035" width="11.5703125" style="1121"/>
    <col min="12036" max="12036" width="34.140625" style="1121" customWidth="1"/>
    <col min="12037" max="12037" width="12.28515625" style="1121" customWidth="1"/>
    <col min="12038" max="12038" width="13.140625" style="1121" customWidth="1"/>
    <col min="12039" max="12039" width="14.28515625" style="1121" customWidth="1"/>
    <col min="12040" max="12040" width="12.7109375" style="1121" customWidth="1"/>
    <col min="12041" max="12041" width="11.42578125" style="1121" customWidth="1"/>
    <col min="12042" max="12042" width="14.5703125" style="1121" customWidth="1"/>
    <col min="12043" max="12043" width="11.5703125" style="1121"/>
    <col min="12044" max="12044" width="18.28515625" style="1121" customWidth="1"/>
    <col min="12045" max="12291" width="11.5703125" style="1121"/>
    <col min="12292" max="12292" width="34.140625" style="1121" customWidth="1"/>
    <col min="12293" max="12293" width="12.28515625" style="1121" customWidth="1"/>
    <col min="12294" max="12294" width="13.140625" style="1121" customWidth="1"/>
    <col min="12295" max="12295" width="14.28515625" style="1121" customWidth="1"/>
    <col min="12296" max="12296" width="12.7109375" style="1121" customWidth="1"/>
    <col min="12297" max="12297" width="11.42578125" style="1121" customWidth="1"/>
    <col min="12298" max="12298" width="14.5703125" style="1121" customWidth="1"/>
    <col min="12299" max="12299" width="11.5703125" style="1121"/>
    <col min="12300" max="12300" width="18.28515625" style="1121" customWidth="1"/>
    <col min="12301" max="12547" width="11.5703125" style="1121"/>
    <col min="12548" max="12548" width="34.140625" style="1121" customWidth="1"/>
    <col min="12549" max="12549" width="12.28515625" style="1121" customWidth="1"/>
    <col min="12550" max="12550" width="13.140625" style="1121" customWidth="1"/>
    <col min="12551" max="12551" width="14.28515625" style="1121" customWidth="1"/>
    <col min="12552" max="12552" width="12.7109375" style="1121" customWidth="1"/>
    <col min="12553" max="12553" width="11.42578125" style="1121" customWidth="1"/>
    <col min="12554" max="12554" width="14.5703125" style="1121" customWidth="1"/>
    <col min="12555" max="12555" width="11.5703125" style="1121"/>
    <col min="12556" max="12556" width="18.28515625" style="1121" customWidth="1"/>
    <col min="12557" max="12803" width="11.5703125" style="1121"/>
    <col min="12804" max="12804" width="34.140625" style="1121" customWidth="1"/>
    <col min="12805" max="12805" width="12.28515625" style="1121" customWidth="1"/>
    <col min="12806" max="12806" width="13.140625" style="1121" customWidth="1"/>
    <col min="12807" max="12807" width="14.28515625" style="1121" customWidth="1"/>
    <col min="12808" max="12808" width="12.7109375" style="1121" customWidth="1"/>
    <col min="12809" max="12809" width="11.42578125" style="1121" customWidth="1"/>
    <col min="12810" max="12810" width="14.5703125" style="1121" customWidth="1"/>
    <col min="12811" max="12811" width="11.5703125" style="1121"/>
    <col min="12812" max="12812" width="18.28515625" style="1121" customWidth="1"/>
    <col min="12813" max="13059" width="11.5703125" style="1121"/>
    <col min="13060" max="13060" width="34.140625" style="1121" customWidth="1"/>
    <col min="13061" max="13061" width="12.28515625" style="1121" customWidth="1"/>
    <col min="13062" max="13062" width="13.140625" style="1121" customWidth="1"/>
    <col min="13063" max="13063" width="14.28515625" style="1121" customWidth="1"/>
    <col min="13064" max="13064" width="12.7109375" style="1121" customWidth="1"/>
    <col min="13065" max="13065" width="11.42578125" style="1121" customWidth="1"/>
    <col min="13066" max="13066" width="14.5703125" style="1121" customWidth="1"/>
    <col min="13067" max="13067" width="11.5703125" style="1121"/>
    <col min="13068" max="13068" width="18.28515625" style="1121" customWidth="1"/>
    <col min="13069" max="13315" width="11.5703125" style="1121"/>
    <col min="13316" max="13316" width="34.140625" style="1121" customWidth="1"/>
    <col min="13317" max="13317" width="12.28515625" style="1121" customWidth="1"/>
    <col min="13318" max="13318" width="13.140625" style="1121" customWidth="1"/>
    <col min="13319" max="13319" width="14.28515625" style="1121" customWidth="1"/>
    <col min="13320" max="13320" width="12.7109375" style="1121" customWidth="1"/>
    <col min="13321" max="13321" width="11.42578125" style="1121" customWidth="1"/>
    <col min="13322" max="13322" width="14.5703125" style="1121" customWidth="1"/>
    <col min="13323" max="13323" width="11.5703125" style="1121"/>
    <col min="13324" max="13324" width="18.28515625" style="1121" customWidth="1"/>
    <col min="13325" max="13571" width="11.5703125" style="1121"/>
    <col min="13572" max="13572" width="34.140625" style="1121" customWidth="1"/>
    <col min="13573" max="13573" width="12.28515625" style="1121" customWidth="1"/>
    <col min="13574" max="13574" width="13.140625" style="1121" customWidth="1"/>
    <col min="13575" max="13575" width="14.28515625" style="1121" customWidth="1"/>
    <col min="13576" max="13576" width="12.7109375" style="1121" customWidth="1"/>
    <col min="13577" max="13577" width="11.42578125" style="1121" customWidth="1"/>
    <col min="13578" max="13578" width="14.5703125" style="1121" customWidth="1"/>
    <col min="13579" max="13579" width="11.5703125" style="1121"/>
    <col min="13580" max="13580" width="18.28515625" style="1121" customWidth="1"/>
    <col min="13581" max="13827" width="11.5703125" style="1121"/>
    <col min="13828" max="13828" width="34.140625" style="1121" customWidth="1"/>
    <col min="13829" max="13829" width="12.28515625" style="1121" customWidth="1"/>
    <col min="13830" max="13830" width="13.140625" style="1121" customWidth="1"/>
    <col min="13831" max="13831" width="14.28515625" style="1121" customWidth="1"/>
    <col min="13832" max="13832" width="12.7109375" style="1121" customWidth="1"/>
    <col min="13833" max="13833" width="11.42578125" style="1121" customWidth="1"/>
    <col min="13834" max="13834" width="14.5703125" style="1121" customWidth="1"/>
    <col min="13835" max="13835" width="11.5703125" style="1121"/>
    <col min="13836" max="13836" width="18.28515625" style="1121" customWidth="1"/>
    <col min="13837" max="14083" width="11.5703125" style="1121"/>
    <col min="14084" max="14084" width="34.140625" style="1121" customWidth="1"/>
    <col min="14085" max="14085" width="12.28515625" style="1121" customWidth="1"/>
    <col min="14086" max="14086" width="13.140625" style="1121" customWidth="1"/>
    <col min="14087" max="14087" width="14.28515625" style="1121" customWidth="1"/>
    <col min="14088" max="14088" width="12.7109375" style="1121" customWidth="1"/>
    <col min="14089" max="14089" width="11.42578125" style="1121" customWidth="1"/>
    <col min="14090" max="14090" width="14.5703125" style="1121" customWidth="1"/>
    <col min="14091" max="14091" width="11.5703125" style="1121"/>
    <col min="14092" max="14092" width="18.28515625" style="1121" customWidth="1"/>
    <col min="14093" max="14339" width="11.5703125" style="1121"/>
    <col min="14340" max="14340" width="34.140625" style="1121" customWidth="1"/>
    <col min="14341" max="14341" width="12.28515625" style="1121" customWidth="1"/>
    <col min="14342" max="14342" width="13.140625" style="1121" customWidth="1"/>
    <col min="14343" max="14343" width="14.28515625" style="1121" customWidth="1"/>
    <col min="14344" max="14344" width="12.7109375" style="1121" customWidth="1"/>
    <col min="14345" max="14345" width="11.42578125" style="1121" customWidth="1"/>
    <col min="14346" max="14346" width="14.5703125" style="1121" customWidth="1"/>
    <col min="14347" max="14347" width="11.5703125" style="1121"/>
    <col min="14348" max="14348" width="18.28515625" style="1121" customWidth="1"/>
    <col min="14349" max="14595" width="11.5703125" style="1121"/>
    <col min="14596" max="14596" width="34.140625" style="1121" customWidth="1"/>
    <col min="14597" max="14597" width="12.28515625" style="1121" customWidth="1"/>
    <col min="14598" max="14598" width="13.140625" style="1121" customWidth="1"/>
    <col min="14599" max="14599" width="14.28515625" style="1121" customWidth="1"/>
    <col min="14600" max="14600" width="12.7109375" style="1121" customWidth="1"/>
    <col min="14601" max="14601" width="11.42578125" style="1121" customWidth="1"/>
    <col min="14602" max="14602" width="14.5703125" style="1121" customWidth="1"/>
    <col min="14603" max="14603" width="11.5703125" style="1121"/>
    <col min="14604" max="14604" width="18.28515625" style="1121" customWidth="1"/>
    <col min="14605" max="14851" width="11.5703125" style="1121"/>
    <col min="14852" max="14852" width="34.140625" style="1121" customWidth="1"/>
    <col min="14853" max="14853" width="12.28515625" style="1121" customWidth="1"/>
    <col min="14854" max="14854" width="13.140625" style="1121" customWidth="1"/>
    <col min="14855" max="14855" width="14.28515625" style="1121" customWidth="1"/>
    <col min="14856" max="14856" width="12.7109375" style="1121" customWidth="1"/>
    <col min="14857" max="14857" width="11.42578125" style="1121" customWidth="1"/>
    <col min="14858" max="14858" width="14.5703125" style="1121" customWidth="1"/>
    <col min="14859" max="14859" width="11.5703125" style="1121"/>
    <col min="14860" max="14860" width="18.28515625" style="1121" customWidth="1"/>
    <col min="14861" max="15107" width="11.5703125" style="1121"/>
    <col min="15108" max="15108" width="34.140625" style="1121" customWidth="1"/>
    <col min="15109" max="15109" width="12.28515625" style="1121" customWidth="1"/>
    <col min="15110" max="15110" width="13.140625" style="1121" customWidth="1"/>
    <col min="15111" max="15111" width="14.28515625" style="1121" customWidth="1"/>
    <col min="15112" max="15112" width="12.7109375" style="1121" customWidth="1"/>
    <col min="15113" max="15113" width="11.42578125" style="1121" customWidth="1"/>
    <col min="15114" max="15114" width="14.5703125" style="1121" customWidth="1"/>
    <col min="15115" max="15115" width="11.5703125" style="1121"/>
    <col min="15116" max="15116" width="18.28515625" style="1121" customWidth="1"/>
    <col min="15117" max="15363" width="11.5703125" style="1121"/>
    <col min="15364" max="15364" width="34.140625" style="1121" customWidth="1"/>
    <col min="15365" max="15365" width="12.28515625" style="1121" customWidth="1"/>
    <col min="15366" max="15366" width="13.140625" style="1121" customWidth="1"/>
    <col min="15367" max="15367" width="14.28515625" style="1121" customWidth="1"/>
    <col min="15368" max="15368" width="12.7109375" style="1121" customWidth="1"/>
    <col min="15369" max="15369" width="11.42578125" style="1121" customWidth="1"/>
    <col min="15370" max="15370" width="14.5703125" style="1121" customWidth="1"/>
    <col min="15371" max="15371" width="11.5703125" style="1121"/>
    <col min="15372" max="15372" width="18.28515625" style="1121" customWidth="1"/>
    <col min="15373" max="15619" width="11.5703125" style="1121"/>
    <col min="15620" max="15620" width="34.140625" style="1121" customWidth="1"/>
    <col min="15621" max="15621" width="12.28515625" style="1121" customWidth="1"/>
    <col min="15622" max="15622" width="13.140625" style="1121" customWidth="1"/>
    <col min="15623" max="15623" width="14.28515625" style="1121" customWidth="1"/>
    <col min="15624" max="15624" width="12.7109375" style="1121" customWidth="1"/>
    <col min="15625" max="15625" width="11.42578125" style="1121" customWidth="1"/>
    <col min="15626" max="15626" width="14.5703125" style="1121" customWidth="1"/>
    <col min="15627" max="15627" width="11.5703125" style="1121"/>
    <col min="15628" max="15628" width="18.28515625" style="1121" customWidth="1"/>
    <col min="15629" max="15875" width="11.5703125" style="1121"/>
    <col min="15876" max="15876" width="34.140625" style="1121" customWidth="1"/>
    <col min="15877" max="15877" width="12.28515625" style="1121" customWidth="1"/>
    <col min="15878" max="15878" width="13.140625" style="1121" customWidth="1"/>
    <col min="15879" max="15879" width="14.28515625" style="1121" customWidth="1"/>
    <col min="15880" max="15880" width="12.7109375" style="1121" customWidth="1"/>
    <col min="15881" max="15881" width="11.42578125" style="1121" customWidth="1"/>
    <col min="15882" max="15882" width="14.5703125" style="1121" customWidth="1"/>
    <col min="15883" max="15883" width="11.5703125" style="1121"/>
    <col min="15884" max="15884" width="18.28515625" style="1121" customWidth="1"/>
    <col min="15885" max="16131" width="11.5703125" style="1121"/>
    <col min="16132" max="16132" width="34.140625" style="1121" customWidth="1"/>
    <col min="16133" max="16133" width="12.28515625" style="1121" customWidth="1"/>
    <col min="16134" max="16134" width="13.140625" style="1121" customWidth="1"/>
    <col min="16135" max="16135" width="14.28515625" style="1121" customWidth="1"/>
    <col min="16136" max="16136" width="12.7109375" style="1121" customWidth="1"/>
    <col min="16137" max="16137" width="11.42578125" style="1121" customWidth="1"/>
    <col min="16138" max="16138" width="14.5703125" style="1121" customWidth="1"/>
    <col min="16139" max="16139" width="11.5703125" style="1121"/>
    <col min="16140" max="16140" width="18.28515625" style="1121" customWidth="1"/>
    <col min="16141" max="16384" width="11.5703125" style="1121"/>
  </cols>
  <sheetData>
    <row r="1" spans="2:12" ht="13.5" customHeight="1">
      <c r="B1" s="2061"/>
      <c r="C1" s="2061"/>
      <c r="D1" s="2061"/>
      <c r="E1" s="2061"/>
      <c r="F1" s="2061"/>
      <c r="G1" s="2061"/>
      <c r="H1" s="2061"/>
      <c r="I1" s="2061"/>
      <c r="J1" s="2061"/>
      <c r="K1" s="2061"/>
      <c r="L1" s="2061"/>
    </row>
    <row r="2" spans="2:12" ht="27.75" customHeight="1">
      <c r="B2" s="1120"/>
      <c r="C2" s="1120"/>
      <c r="D2" s="1120"/>
      <c r="E2" s="1120"/>
      <c r="F2" s="1120"/>
      <c r="G2" s="1120"/>
      <c r="K2" s="2062" t="str">
        <f>IF([1]ACCUEIL!B1=1,"NOTE 28 B
NORMAL SYSTEM","NOTE 28 B
SYSTEME NORMAL")</f>
        <v>NOTE 28 B
SYSTEME NORMAL</v>
      </c>
      <c r="L2" s="2063"/>
    </row>
    <row r="3" spans="2:12">
      <c r="B3" s="1122" t="str">
        <f>'NOTE 28 A'!B3</f>
        <v>Désignation entité:</v>
      </c>
      <c r="C3" s="1122"/>
      <c r="D3" s="1142" t="str">
        <f>+'NOTE 28 A'!D3</f>
        <v/>
      </c>
      <c r="E3" s="1123"/>
      <c r="F3" s="1123"/>
      <c r="G3" s="1123"/>
      <c r="H3" s="1123"/>
      <c r="I3" s="1123"/>
      <c r="J3" s="1123"/>
      <c r="K3" s="1124"/>
      <c r="L3" s="1124"/>
    </row>
    <row r="4" spans="2:12">
      <c r="B4" s="1122" t="str">
        <f>'NOTE 28 A'!B4</f>
        <v>Sigle usuel :</v>
      </c>
      <c r="D4" s="1126" t="str">
        <f>+'NOTE 28 A'!D4:D4</f>
        <v/>
      </c>
      <c r="F4" s="1143"/>
      <c r="G4" s="1143"/>
      <c r="H4" s="1143"/>
      <c r="I4" s="1143"/>
      <c r="J4" s="1143"/>
      <c r="K4" s="1125"/>
      <c r="L4" s="1125"/>
    </row>
    <row r="5" spans="2:12">
      <c r="B5" s="1122" t="str">
        <f>'NOTE 28 A'!B5</f>
        <v>Adresse:</v>
      </c>
      <c r="D5" s="1126">
        <f>+'NOTE 28 A'!D5:G5</f>
        <v>0</v>
      </c>
      <c r="E5" s="1126"/>
      <c r="F5" s="1126"/>
      <c r="G5" s="1126"/>
      <c r="H5" s="1125"/>
      <c r="I5" s="1125"/>
      <c r="J5" s="1125"/>
      <c r="K5" s="1127" t="str">
        <f>'NOTE 28 A'!L5</f>
        <v>BP:</v>
      </c>
      <c r="L5" s="1129" t="str">
        <f>+'NOTE 28 A'!M5</f>
        <v/>
      </c>
    </row>
    <row r="6" spans="2:12">
      <c r="B6" s="1122" t="str">
        <f>'NOTE 28 A'!B6</f>
        <v>Numéro d'identification:</v>
      </c>
      <c r="C6" s="1122"/>
      <c r="D6" s="1129" t="str">
        <f>+'NOTE 28 A'!D6:G6</f>
        <v/>
      </c>
      <c r="E6" s="1129"/>
      <c r="F6" s="1125"/>
      <c r="G6" s="2064" t="str">
        <f>'NOTE 28 A'!J6</f>
        <v xml:space="preserve">   Exercice clos le 31 - 12- </v>
      </c>
      <c r="H6" s="2064"/>
      <c r="I6" s="1128">
        <f>+'NOTE 28 A'!K6</f>
        <v>2025</v>
      </c>
      <c r="J6" s="2065" t="str">
        <f>'NOTE 28 A'!L6</f>
        <v xml:space="preserve">    Durée (en mois):</v>
      </c>
      <c r="K6" s="2065"/>
      <c r="L6" s="1129">
        <f>+'NOTE 28 A'!M6</f>
        <v>12</v>
      </c>
    </row>
    <row r="7" spans="2:12">
      <c r="B7" s="1122"/>
      <c r="C7" s="1122"/>
      <c r="D7" s="1144"/>
      <c r="E7" s="1144"/>
      <c r="F7" s="1144"/>
      <c r="G7" s="1145"/>
      <c r="H7" s="1146"/>
      <c r="I7" s="1147"/>
      <c r="J7" s="1147"/>
      <c r="K7" s="1148"/>
      <c r="L7" s="1145"/>
    </row>
    <row r="8" spans="2:12" ht="25.5" customHeight="1">
      <c r="B8" s="2066" t="s">
        <v>299</v>
      </c>
      <c r="C8" s="2066"/>
      <c r="D8" s="2066"/>
      <c r="E8" s="2066"/>
      <c r="F8" s="2066"/>
      <c r="G8" s="2066"/>
      <c r="H8" s="2066"/>
      <c r="I8" s="2066"/>
      <c r="J8" s="2066"/>
      <c r="K8" s="2066"/>
      <c r="L8" s="2066"/>
    </row>
    <row r="10" spans="2:12">
      <c r="B10" s="2067" t="str">
        <f>IF([1]ACCUEIL!B1=1,"SITUATIONS AND MOVEMENTS","SITUATIONS ET MOUVEMENTS")</f>
        <v>SITUATIONS ET MOUVEMENTS</v>
      </c>
      <c r="C10" s="2068"/>
      <c r="D10" s="2069"/>
      <c r="E10" s="2070" t="s">
        <v>92</v>
      </c>
      <c r="F10" s="2070"/>
      <c r="G10" s="2071" t="s">
        <v>100</v>
      </c>
      <c r="H10" s="2072"/>
      <c r="I10" s="2071" t="s">
        <v>102</v>
      </c>
      <c r="J10" s="2072"/>
      <c r="K10" s="2071" t="s">
        <v>251</v>
      </c>
      <c r="L10" s="2072"/>
    </row>
    <row r="11" spans="2:12">
      <c r="B11" s="2040"/>
      <c r="C11" s="2041"/>
      <c r="D11" s="2042"/>
      <c r="E11" s="2043" t="str">
        <f>IF([1]ACCUEIL!B1=1,"CUMULATIVE DEPRECIATIONS AT THE OPENING OF THE FINANCIAL YEAR","DEPRECIATIONS CUMULEES A L'OUVERTURE DE L'EXERCICE")</f>
        <v>DEPRECIATIONS CUMULEES A L'OUVERTURE DE L'EXERCICE</v>
      </c>
      <c r="F11" s="2044"/>
      <c r="G11" s="2049" t="str">
        <f>IF([1]ACCUEIL!B1=1,"INCREASES: ENDOWMENT FOR THE YEAR","AUGMENTATIONS: DOTATION DE L'EXERCICE")</f>
        <v>AUGMENTATIONS: DOTATION DE L'EXERCICE</v>
      </c>
      <c r="H11" s="2050"/>
      <c r="I11" s="2049" t="str">
        <f>IF([1]ACCUEIL!B1=1,"DECREASES: Impairment relating to items removed from assets","DIMINUTIONS: Dépréciations relatives aux éléments sortis de l'actif")</f>
        <v>DIMINUTIONS: Dépréciations relatives aux éléments sortis de l'actif</v>
      </c>
      <c r="J11" s="2050"/>
      <c r="K11" s="2049" t="str">
        <f>IF([1]ACCUEIL!B1=1,"CUMULATIVE DEPRECIATION AT THE END OF THE FINANCIAL YEAR","CUMUL DES DEPRECIATIONS A LA CLOTURE DE L'EXERCICE")</f>
        <v>CUMUL DES DEPRECIATIONS A LA CLOTURE DE L'EXERCICE</v>
      </c>
      <c r="L11" s="2050"/>
    </row>
    <row r="12" spans="2:12" ht="27" customHeight="1">
      <c r="B12" s="2055" t="str">
        <f>'NOTE 27 A'!B10:D10</f>
        <v xml:space="preserve">      RUBRIQUES</v>
      </c>
      <c r="C12" s="2056"/>
      <c r="D12" s="2057"/>
      <c r="E12" s="2045"/>
      <c r="F12" s="2046"/>
      <c r="G12" s="2051"/>
      <c r="H12" s="2052"/>
      <c r="I12" s="2051"/>
      <c r="J12" s="2052"/>
      <c r="K12" s="2051"/>
      <c r="L12" s="2052"/>
    </row>
    <row r="13" spans="2:12" ht="21.75" customHeight="1">
      <c r="B13" s="2058"/>
      <c r="C13" s="2059"/>
      <c r="D13" s="2060"/>
      <c r="E13" s="2047"/>
      <c r="F13" s="2048"/>
      <c r="G13" s="2053"/>
      <c r="H13" s="2054"/>
      <c r="I13" s="2053"/>
      <c r="J13" s="2054"/>
      <c r="K13" s="2053"/>
      <c r="L13" s="2054"/>
    </row>
    <row r="14" spans="2:12" s="1151" customFormat="1" ht="24.95" customHeight="1">
      <c r="B14" s="1149" t="str">
        <f>IF([1]ACCUEIL!B1=1,"Development and prospecting costs","Frais de développement et de prospection")</f>
        <v>Frais de développement et de prospection</v>
      </c>
      <c r="C14" s="1150"/>
      <c r="D14" s="1150"/>
      <c r="E14" s="2073">
        <f>'[1]CLASSE 2'!F446</f>
        <v>0</v>
      </c>
      <c r="F14" s="2074"/>
      <c r="G14" s="2073">
        <f>'[1]CLASSE 2'!H446</f>
        <v>0</v>
      </c>
      <c r="H14" s="2074"/>
      <c r="I14" s="2073">
        <f>'[1]CLASSE 2'!G446</f>
        <v>0</v>
      </c>
      <c r="J14" s="2074"/>
      <c r="K14" s="2073">
        <f>'[1]CLASSE 2'!J446</f>
        <v>0</v>
      </c>
      <c r="L14" s="2074"/>
    </row>
    <row r="15" spans="2:12" s="1151" customFormat="1" ht="24.95" customHeight="1">
      <c r="B15" s="1152" t="str">
        <f>IF([1]ACCUEIL!B1=1,"Patents, licenses, software and similar rights","Brevets, licences, logiciels et droits similaires")</f>
        <v>Brevets, licences, logiciels et droits similaires</v>
      </c>
      <c r="C15" s="1153"/>
      <c r="D15" s="1153"/>
      <c r="E15" s="2073">
        <f>'[1]CLASSE 2'!F448+'[1]CLASSE 2'!F450+'[1]CLASSE 2'!F452+'[1]CLASSE 2'!F463</f>
        <v>0</v>
      </c>
      <c r="F15" s="2074"/>
      <c r="G15" s="2073">
        <f>'[1]CLASSE 2'!H448+'[1]CLASSE 2'!H450+'[1]CLASSE 2'!H452+'[1]CLASSE 2'!H463</f>
        <v>0</v>
      </c>
      <c r="H15" s="2074"/>
      <c r="I15" s="2073">
        <f>'[1]CLASSE 2'!G448+'[1]CLASSE 2'!G450+'[1]CLASSE 2'!G452+'[1]CLASSE 2'!G463</f>
        <v>0</v>
      </c>
      <c r="J15" s="2074"/>
      <c r="K15" s="2073">
        <f>'[1]CLASSE 2'!J448+'[1]CLASSE 2'!J450+'[1]CLASSE 2'!J452+'[1]CLASSE 2'!J463</f>
        <v>0</v>
      </c>
      <c r="L15" s="2074"/>
    </row>
    <row r="16" spans="2:12" s="1151" customFormat="1" ht="24.95" customHeight="1">
      <c r="B16" s="1152" t="str">
        <f>IF([1]ACCUEIL!B1=1,"Commercial funds and right to lease","Fonds commercial et droit au bail")</f>
        <v>Fonds commercial et droit au bail</v>
      </c>
      <c r="C16" s="1153"/>
      <c r="D16" s="1153"/>
      <c r="E16" s="2073">
        <f>'[1]CLASSE 2'!F454+'[1]CLASSE 2'!F456+'[1]CLASSE 2'!F458</f>
        <v>0</v>
      </c>
      <c r="F16" s="2074"/>
      <c r="G16" s="2073">
        <f>'[1]CLASSE 2'!H454+'[1]CLASSE 2'!H456+'[1]CLASSE 2'!H458</f>
        <v>0</v>
      </c>
      <c r="H16" s="2074"/>
      <c r="I16" s="2073">
        <f>'[1]CLASSE 2'!G454+'[1]CLASSE 2'!G456+'[1]CLASSE 2'!G458</f>
        <v>0</v>
      </c>
      <c r="J16" s="2074"/>
      <c r="K16" s="2073">
        <f>'[1]CLASSE 2'!J454+'[1]CLASSE 2'!J456+'[1]CLASSE 2'!J458</f>
        <v>0</v>
      </c>
      <c r="L16" s="2074"/>
    </row>
    <row r="17" spans="2:12" s="1151" customFormat="1" ht="24.95" customHeight="1">
      <c r="B17" s="1152" t="str">
        <f>IF([1]ACCUEIL!B1=1,"Other intangible assets","Autres immobilisations incorporelles")</f>
        <v>Autres immobilisations incorporelles</v>
      </c>
      <c r="C17" s="1153"/>
      <c r="D17" s="1153"/>
      <c r="E17" s="2073">
        <f>'[1]CLASSE 2'!F460</f>
        <v>0</v>
      </c>
      <c r="F17" s="2074"/>
      <c r="G17" s="2073">
        <f>'[1]CLASSE 2'!H460</f>
        <v>0</v>
      </c>
      <c r="H17" s="2074"/>
      <c r="I17" s="2073">
        <f>'[1]CLASSE 2'!G460</f>
        <v>0</v>
      </c>
      <c r="J17" s="2074"/>
      <c r="K17" s="2073">
        <f>'[1]CLASSE 2'!J460</f>
        <v>0</v>
      </c>
      <c r="L17" s="2074"/>
    </row>
    <row r="18" spans="2:12" s="1151" customFormat="1" ht="24.95" customHeight="1">
      <c r="B18" s="2077" t="str">
        <f>IF([1]ACCUEIL!B1=1,"SUB-TOTAL: INTANGIBLE ASSETS","SOUS TOTAL : IMMOBILISATIONS INCORPORELLES")</f>
        <v>SOUS TOTAL : IMMOBILISATIONS INCORPORELLES</v>
      </c>
      <c r="C18" s="2078"/>
      <c r="D18" s="2079"/>
      <c r="E18" s="2080">
        <f>SUM(E14:F17)</f>
        <v>0</v>
      </c>
      <c r="F18" s="2081"/>
      <c r="G18" s="2080">
        <f>SUM(G14:H17)</f>
        <v>0</v>
      </c>
      <c r="H18" s="2081"/>
      <c r="I18" s="2080">
        <f>SUM(I14:J17)</f>
        <v>0</v>
      </c>
      <c r="J18" s="2081"/>
      <c r="K18" s="2080">
        <f>SUM(K14:L17)</f>
        <v>0</v>
      </c>
      <c r="L18" s="2081"/>
    </row>
    <row r="19" spans="2:12" s="1151" customFormat="1" ht="24.95" customHeight="1">
      <c r="B19" s="1149" t="str">
        <f>IF([1]ACCUEIL!B1=1,"Land outside investment property","Terrains hors immeuble de placement")</f>
        <v>Terrains hors immeuble de placement</v>
      </c>
      <c r="C19" s="1150"/>
      <c r="D19" s="1150"/>
      <c r="E19" s="2075">
        <f>'[1]NOTE 28 B'!E19:F19</f>
        <v>0</v>
      </c>
      <c r="F19" s="2076"/>
      <c r="G19" s="2075">
        <f>'[1]NOTE 28 B'!G19:H19</f>
        <v>0</v>
      </c>
      <c r="H19" s="2076"/>
      <c r="I19" s="2075">
        <f>'[1]NOTE 28 B'!I19:J19</f>
        <v>0</v>
      </c>
      <c r="J19" s="2076"/>
      <c r="K19" s="2073">
        <f>+E19+G19-I19</f>
        <v>0</v>
      </c>
      <c r="L19" s="2074"/>
    </row>
    <row r="20" spans="2:12" s="1151" customFormat="1" ht="24.95" customHeight="1">
      <c r="B20" s="1152" t="str">
        <f>IF([1]ACCUEIL!B1=1,"Investment property land","Terrains-immeuble de placement")</f>
        <v>Terrains-immeuble de placement</v>
      </c>
      <c r="C20" s="1153"/>
      <c r="D20" s="1153"/>
      <c r="E20" s="2075">
        <f>'[1]NOTE 28 B'!E20:F20</f>
        <v>0</v>
      </c>
      <c r="F20" s="2076"/>
      <c r="G20" s="2075">
        <f>'[1]NOTE 28 B'!G20:H20</f>
        <v>0</v>
      </c>
      <c r="H20" s="2076"/>
      <c r="I20" s="2075">
        <f>'[1]NOTE 28 B'!I20:J20</f>
        <v>0</v>
      </c>
      <c r="J20" s="2076"/>
      <c r="K20" s="2073">
        <f>+E20+G20-I20</f>
        <v>0</v>
      </c>
      <c r="L20" s="2074"/>
    </row>
    <row r="21" spans="2:12" s="1151" customFormat="1" ht="24.95" customHeight="1">
      <c r="B21" s="1152" t="str">
        <f>IF([1]ACCUEIL!B1=1,"Buildings excluding investment property","Bâtiments hors immeuble de placement")</f>
        <v>Bâtiments hors immeuble de placement</v>
      </c>
      <c r="C21" s="1153"/>
      <c r="D21" s="1153"/>
      <c r="E21" s="2075">
        <f>'[1]NOTE 28 B'!E21:F21</f>
        <v>0</v>
      </c>
      <c r="F21" s="2076"/>
      <c r="G21" s="2075">
        <f>'[1]NOTE 28 B'!G21:H21</f>
        <v>0</v>
      </c>
      <c r="H21" s="2076"/>
      <c r="I21" s="2075">
        <f>'[1]NOTE 28 B'!I21:J21</f>
        <v>0</v>
      </c>
      <c r="J21" s="2076"/>
      <c r="K21" s="2073">
        <f>+E21+G21-I21</f>
        <v>0</v>
      </c>
      <c r="L21" s="2074"/>
    </row>
    <row r="22" spans="2:12" s="1151" customFormat="1" ht="24.95" customHeight="1">
      <c r="B22" s="1152" t="str">
        <f>IF([1]ACCUEIL!B1=1,"Investment property buildings","Bâtiments-immeuble de placement")</f>
        <v>Bâtiments-immeuble de placement</v>
      </c>
      <c r="C22" s="1153"/>
      <c r="D22" s="1153"/>
      <c r="E22" s="2075">
        <f>'[1]NOTE 28 B'!E22:F22</f>
        <v>0</v>
      </c>
      <c r="F22" s="2076"/>
      <c r="G22" s="2075">
        <f>'[1]NOTE 28 B'!G22:H22</f>
        <v>0</v>
      </c>
      <c r="H22" s="2076"/>
      <c r="I22" s="2075">
        <f>'[1]NOTE 28 B'!I22:J22</f>
        <v>0</v>
      </c>
      <c r="J22" s="2076"/>
      <c r="K22" s="2073">
        <f>+E22+G22-I22</f>
        <v>0</v>
      </c>
      <c r="L22" s="2074"/>
    </row>
    <row r="23" spans="2:12" s="1151" customFormat="1" ht="24.95" customHeight="1">
      <c r="B23" s="1152" t="str">
        <f>IF([1]ACCUEIL!B1=1,"Layouts, fixtures and fittings","Aménagements, agencements et installations")</f>
        <v>Aménagements, agencements et installations</v>
      </c>
      <c r="C23" s="1153"/>
      <c r="D23" s="1153"/>
      <c r="E23" s="2073">
        <f>'[1]CLASSE 2'!F493+'[1]CLASSE 2'!F495+'[1]CLASSE 2'!F497+'[1]CLASSE 2'!F501</f>
        <v>0</v>
      </c>
      <c r="F23" s="2074"/>
      <c r="G23" s="2073">
        <f>'[1]CLASSE 2'!H493+'[1]CLASSE 2'!H495+'[1]CLASSE 2'!H497+'[1]CLASSE 2'!H501</f>
        <v>0</v>
      </c>
      <c r="H23" s="2074"/>
      <c r="I23" s="2073">
        <f>'[1]CLASSE 2'!G493+'[1]CLASSE 2'!G495+'[1]CLASSE 2'!G497+'[1]CLASSE 2'!G501</f>
        <v>0</v>
      </c>
      <c r="J23" s="2074"/>
      <c r="K23" s="2073">
        <f>'[1]CLASSE 2'!J493+'[1]CLASSE 2'!J495+'[1]CLASSE 2'!J497+'[1]CLASSE 2'!J501</f>
        <v>0</v>
      </c>
      <c r="L23" s="2074"/>
    </row>
    <row r="24" spans="2:12" s="1151" customFormat="1" ht="24.95" customHeight="1">
      <c r="B24" s="1152" t="str">
        <f>IF([1]ACCUEIL!B1=1,"Equipment, furniture and biological assets","Matériel, mobilier et actifs biologiques")</f>
        <v>Matériel, mobilier et actifs biologiques</v>
      </c>
      <c r="C24" s="1153"/>
      <c r="D24" s="1153"/>
      <c r="E24" s="2073">
        <f>'[1]CLASSE 2'!F527-'[1]CLASSE 2'!F516</f>
        <v>0</v>
      </c>
      <c r="F24" s="2074"/>
      <c r="G24" s="2073">
        <f>'[1]CLASSE 2'!H527-'[1]CLASSE 2'!H516</f>
        <v>0</v>
      </c>
      <c r="H24" s="2074"/>
      <c r="I24" s="2073">
        <f>'[1]CLASSE 2'!G527-'[1]CLASSE 2'!G516</f>
        <v>0</v>
      </c>
      <c r="J24" s="2074"/>
      <c r="K24" s="2073">
        <f>'[1]CLASSE 2'!J527-'[1]CLASSE 2'!J516</f>
        <v>0</v>
      </c>
      <c r="L24" s="2074"/>
    </row>
    <row r="25" spans="2:12" s="1151" customFormat="1" ht="24.95" customHeight="1">
      <c r="B25" s="1152" t="str">
        <f>IF([1]ACCUEIL!B1=1,"Transportation equipment","Matériel de transport")</f>
        <v>Matériel de transport</v>
      </c>
      <c r="C25" s="1153"/>
      <c r="D25" s="1153"/>
      <c r="E25" s="2073">
        <f>'[1]CLASSE 2'!F516</f>
        <v>0</v>
      </c>
      <c r="F25" s="2074"/>
      <c r="G25" s="2073">
        <f>'[1]CLASSE 2'!H516</f>
        <v>0</v>
      </c>
      <c r="H25" s="2074"/>
      <c r="I25" s="2073">
        <f>'[1]CLASSE 2'!G516</f>
        <v>0</v>
      </c>
      <c r="J25" s="2074"/>
      <c r="K25" s="2073">
        <f>'[1]CLASSE 2'!J516</f>
        <v>0</v>
      </c>
      <c r="L25" s="2074"/>
    </row>
    <row r="26" spans="2:12" s="1151" customFormat="1" ht="24.95" customHeight="1">
      <c r="B26" s="1154" t="str">
        <f>IF([1]ACCUEIL!B1=1,"SUB-TOTAL: PROPERTY, PLANT AND EQUIPMENT","SOUS TOTAL : IMMOBILISATIONSCORPORELLES")</f>
        <v>SOUS TOTAL : IMMOBILISATIONSCORPORELLES</v>
      </c>
      <c r="C26" s="1155"/>
      <c r="D26" s="1155"/>
      <c r="E26" s="2080">
        <f>SUM(E19:F25)</f>
        <v>0</v>
      </c>
      <c r="F26" s="2081"/>
      <c r="G26" s="2081">
        <f>SUM(G19:H25)</f>
        <v>0</v>
      </c>
      <c r="H26" s="2081"/>
      <c r="I26" s="2081">
        <f>SUM(I19:J25)</f>
        <v>0</v>
      </c>
      <c r="J26" s="2081"/>
      <c r="K26" s="2081">
        <f>SUM(K19:L25)</f>
        <v>0</v>
      </c>
      <c r="L26" s="2081"/>
    </row>
    <row r="27" spans="2:12" s="1151" customFormat="1" ht="24.95" customHeight="1">
      <c r="B27" s="1152" t="str">
        <f>IF([1]ACCUEIL!B1=1,"Equity securities","Titres de participations")</f>
        <v>Titres de participations</v>
      </c>
      <c r="C27" s="1153"/>
      <c r="D27" s="1153"/>
      <c r="E27" s="2073">
        <f>'[1]CLASSE 2'!F547</f>
        <v>0</v>
      </c>
      <c r="F27" s="2074"/>
      <c r="G27" s="2073">
        <f>'[1]CLASSE 2'!H547</f>
        <v>0</v>
      </c>
      <c r="H27" s="2074"/>
      <c r="I27" s="2073">
        <f>'[1]CLASSE 2'!G547</f>
        <v>0</v>
      </c>
      <c r="J27" s="2074"/>
      <c r="K27" s="2073">
        <f>'[1]CLASSE 2'!J547</f>
        <v>0</v>
      </c>
      <c r="L27" s="2074"/>
    </row>
    <row r="28" spans="2:12" s="1151" customFormat="1" ht="24.95" customHeight="1">
      <c r="B28" s="1152" t="str">
        <f>IF([1]ACCUEIL!B1=1,"Other financial assets","Autres immobilisations financières")</f>
        <v>Autres immobilisations financières</v>
      </c>
      <c r="C28" s="1153"/>
      <c r="D28" s="1153"/>
      <c r="E28" s="2073">
        <f>'[1]CLASSE 2'!F563</f>
        <v>0</v>
      </c>
      <c r="F28" s="2074"/>
      <c r="G28" s="2073">
        <f>'[1]CLASSE 2'!H563</f>
        <v>0</v>
      </c>
      <c r="H28" s="2074"/>
      <c r="I28" s="2073">
        <f>'[1]CLASSE 2'!G563</f>
        <v>0</v>
      </c>
      <c r="J28" s="2074"/>
      <c r="K28" s="2073">
        <f>'[1]CLASSE 2'!J563</f>
        <v>0</v>
      </c>
      <c r="L28" s="2074"/>
    </row>
    <row r="29" spans="2:12" s="1151" customFormat="1" ht="24.95" customHeight="1">
      <c r="B29" s="1154" t="str">
        <f>IF([1]ACCUEIL!B1=1,"SUB-TOTAL: FINANCIAL FIXED ASSETS","SOUS TOTAL : IMMOBILISATIONS FINANCIERES")</f>
        <v>SOUS TOTAL : IMMOBILISATIONS FINANCIERES</v>
      </c>
      <c r="C29" s="1155"/>
      <c r="D29" s="1155"/>
      <c r="E29" s="2080">
        <f>SUM(E27:F28)</f>
        <v>0</v>
      </c>
      <c r="F29" s="2081"/>
      <c r="G29" s="2080">
        <f>SUM(G27:H28)</f>
        <v>0</v>
      </c>
      <c r="H29" s="2081"/>
      <c r="I29" s="2080">
        <f>SUM(I27:J28)</f>
        <v>0</v>
      </c>
      <c r="J29" s="2081"/>
      <c r="K29" s="2080">
        <f>SUM(K27:L28)</f>
        <v>0</v>
      </c>
      <c r="L29" s="2081"/>
    </row>
    <row r="30" spans="2:12" s="1151" customFormat="1" ht="5.45" customHeight="1">
      <c r="B30" s="1156"/>
      <c r="C30" s="1157"/>
      <c r="D30" s="1157"/>
      <c r="E30" s="2084"/>
      <c r="F30" s="2084"/>
      <c r="G30" s="2085"/>
      <c r="H30" s="2086"/>
      <c r="I30" s="2085"/>
      <c r="J30" s="2086"/>
      <c r="K30" s="2085"/>
      <c r="L30" s="2086"/>
    </row>
    <row r="31" spans="2:12" s="1151" customFormat="1" ht="24.95" customHeight="1">
      <c r="B31" s="2087" t="str">
        <f>IF([1]ACCUEIL!B1=1,"TOTAL DEPRECATED CAPITAL ASSETS","TOTAL  DES IMMOBILISATIONS DÉPRÉCIÉES")</f>
        <v>TOTAL  DES IMMOBILISATIONS DÉPRÉCIÉES</v>
      </c>
      <c r="C31" s="2088"/>
      <c r="D31" s="2089"/>
      <c r="E31" s="2080">
        <f>E29+E26+E18</f>
        <v>0</v>
      </c>
      <c r="F31" s="2081"/>
      <c r="G31" s="2080">
        <f>G29+G26+G18</f>
        <v>0</v>
      </c>
      <c r="H31" s="2081"/>
      <c r="I31" s="2080">
        <f>I29+I26+I18</f>
        <v>0</v>
      </c>
      <c r="J31" s="2081"/>
      <c r="K31" s="2080">
        <f>K29+K26+K18</f>
        <v>0</v>
      </c>
      <c r="L31" s="2081"/>
    </row>
    <row r="32" spans="2:12" s="1151" customFormat="1"/>
    <row r="33" spans="2:12" s="1151" customFormat="1">
      <c r="D33" s="2082">
        <f>'[1]NOTE 28 B'!D33:L33</f>
        <v>0</v>
      </c>
      <c r="E33" s="2082"/>
      <c r="F33" s="2082"/>
      <c r="G33" s="2082"/>
      <c r="H33" s="2082"/>
      <c r="I33" s="2082"/>
      <c r="J33" s="2082"/>
      <c r="K33" s="2082"/>
      <c r="L33" s="2082"/>
    </row>
    <row r="34" spans="2:12" s="1151" customFormat="1">
      <c r="B34" s="2014" t="str">
        <f>'NOTE 28 A'!B26</f>
        <v>COMMENTAIRE</v>
      </c>
      <c r="C34" s="2083"/>
      <c r="D34" s="2082">
        <f>'[1]NOTE 28 B'!D34:L34</f>
        <v>0</v>
      </c>
      <c r="E34" s="2082"/>
      <c r="F34" s="2082"/>
      <c r="G34" s="2082"/>
      <c r="H34" s="2082"/>
      <c r="I34" s="2082"/>
      <c r="J34" s="2082"/>
      <c r="K34" s="2082"/>
      <c r="L34" s="2082"/>
    </row>
    <row r="35" spans="2:12" s="1151" customFormat="1">
      <c r="B35" s="1158"/>
      <c r="D35" s="2082">
        <f>'[1]NOTE 28 B'!D35:L35</f>
        <v>0</v>
      </c>
      <c r="E35" s="2082"/>
      <c r="F35" s="2082"/>
      <c r="G35" s="2082"/>
      <c r="H35" s="2082"/>
      <c r="I35" s="2082"/>
      <c r="J35" s="2082"/>
      <c r="K35" s="2082"/>
      <c r="L35" s="2082"/>
    </row>
    <row r="36" spans="2:12" s="1151" customFormat="1">
      <c r="D36" s="2082">
        <f>'[1]NOTE 28 B'!D36:L36</f>
        <v>0</v>
      </c>
      <c r="E36" s="2082"/>
      <c r="F36" s="2082"/>
      <c r="G36" s="2082"/>
      <c r="H36" s="2082"/>
      <c r="I36" s="2082"/>
      <c r="J36" s="2082"/>
      <c r="K36" s="2082"/>
      <c r="L36" s="2082"/>
    </row>
    <row r="37" spans="2:12" s="1151" customFormat="1">
      <c r="D37" s="2082">
        <f>'[1]NOTE 28 B'!D37:L37</f>
        <v>0</v>
      </c>
      <c r="E37" s="2082"/>
      <c r="F37" s="2082"/>
      <c r="G37" s="2082"/>
      <c r="H37" s="2082"/>
      <c r="I37" s="2082"/>
      <c r="J37" s="2082"/>
      <c r="K37" s="2082"/>
      <c r="L37" s="2082"/>
    </row>
    <row r="38" spans="2:12" s="1151" customFormat="1">
      <c r="D38" s="2082">
        <f>'[1]NOTE 28 B'!D38:L38</f>
        <v>0</v>
      </c>
      <c r="E38" s="2082"/>
      <c r="F38" s="2082"/>
      <c r="G38" s="2082"/>
      <c r="H38" s="2082"/>
      <c r="I38" s="2082"/>
      <c r="J38" s="2082"/>
      <c r="K38" s="2082"/>
      <c r="L38" s="2082"/>
    </row>
    <row r="39" spans="2:12" s="1151" customFormat="1">
      <c r="D39" s="2082">
        <f>'[1]NOTE 28 B'!D39:L39</f>
        <v>0</v>
      </c>
      <c r="E39" s="2082"/>
      <c r="F39" s="2082"/>
      <c r="G39" s="2082"/>
      <c r="H39" s="2082"/>
      <c r="I39" s="2082"/>
      <c r="J39" s="2082"/>
      <c r="K39" s="2082"/>
      <c r="L39" s="2082"/>
    </row>
    <row r="40" spans="2:12" s="1151" customFormat="1">
      <c r="D40" s="2082">
        <f>'[1]NOTE 28 B'!D40:L40</f>
        <v>0</v>
      </c>
      <c r="E40" s="2082"/>
      <c r="F40" s="2082"/>
      <c r="G40" s="2082"/>
      <c r="H40" s="2082"/>
      <c r="I40" s="2082"/>
      <c r="J40" s="2082"/>
      <c r="K40" s="2082"/>
      <c r="L40" s="2082"/>
    </row>
    <row r="41" spans="2:12" s="1151" customFormat="1">
      <c r="D41" s="2082">
        <f>'[1]NOTE 28 B'!D41:L41</f>
        <v>0</v>
      </c>
      <c r="E41" s="2082"/>
      <c r="F41" s="2082"/>
      <c r="G41" s="2082"/>
      <c r="H41" s="2082"/>
      <c r="I41" s="2082"/>
      <c r="J41" s="2082"/>
      <c r="K41" s="2082"/>
      <c r="L41" s="2082"/>
    </row>
    <row r="42" spans="2:12" s="1151" customFormat="1">
      <c r="D42" s="2082">
        <f>'[1]NOTE 28 B'!D42:L42</f>
        <v>0</v>
      </c>
      <c r="E42" s="2082"/>
      <c r="F42" s="2082"/>
      <c r="G42" s="2082"/>
      <c r="H42" s="2082"/>
      <c r="I42" s="2082"/>
      <c r="J42" s="2082"/>
      <c r="K42" s="2082"/>
      <c r="L42" s="2082"/>
    </row>
    <row r="43" spans="2:12" s="1151" customFormat="1">
      <c r="D43" s="2082">
        <f>'[1]NOTE 28 B'!D43:L43</f>
        <v>0</v>
      </c>
      <c r="E43" s="2082"/>
      <c r="F43" s="2082"/>
      <c r="G43" s="2082"/>
      <c r="H43" s="2082"/>
      <c r="I43" s="2082"/>
      <c r="J43" s="2082"/>
      <c r="K43" s="2082"/>
      <c r="L43" s="2082"/>
    </row>
    <row r="44" spans="2:12" s="1151" customFormat="1">
      <c r="D44" s="2082">
        <f>'[1]NOTE 28 B'!D44:L44</f>
        <v>0</v>
      </c>
      <c r="E44" s="2082"/>
      <c r="F44" s="2082"/>
      <c r="G44" s="2082"/>
      <c r="H44" s="2082"/>
      <c r="I44" s="2082"/>
      <c r="J44" s="2082"/>
      <c r="K44" s="2082"/>
      <c r="L44" s="2082"/>
    </row>
    <row r="45" spans="2:12" s="1151" customFormat="1">
      <c r="D45" s="2082">
        <f>'[1]NOTE 28 B'!D45:L45</f>
        <v>0</v>
      </c>
      <c r="E45" s="2082"/>
      <c r="F45" s="2082"/>
      <c r="G45" s="2082"/>
      <c r="H45" s="2082"/>
      <c r="I45" s="2082"/>
      <c r="J45" s="2082"/>
      <c r="K45" s="2082"/>
      <c r="L45" s="2082"/>
    </row>
    <row r="46" spans="2:12" s="1151" customFormat="1">
      <c r="D46" s="2082">
        <f>'[1]NOTE 28 B'!D46:L46</f>
        <v>0</v>
      </c>
      <c r="E46" s="2082"/>
      <c r="F46" s="2082"/>
      <c r="G46" s="2082"/>
      <c r="H46" s="2082"/>
      <c r="I46" s="2082"/>
      <c r="J46" s="2082"/>
      <c r="K46" s="2082"/>
      <c r="L46" s="2082"/>
    </row>
  </sheetData>
  <sheetProtection selectLockedCells="1"/>
  <mergeCells count="106">
    <mergeCell ref="D44:L44"/>
    <mergeCell ref="D45:L45"/>
    <mergeCell ref="D46:L46"/>
    <mergeCell ref="D38:L38"/>
    <mergeCell ref="D39:L39"/>
    <mergeCell ref="D40:L40"/>
    <mergeCell ref="D41:L41"/>
    <mergeCell ref="D42:L42"/>
    <mergeCell ref="D43:L43"/>
    <mergeCell ref="D33:L33"/>
    <mergeCell ref="B34:C34"/>
    <mergeCell ref="D34:L34"/>
    <mergeCell ref="D35:L35"/>
    <mergeCell ref="D36:L36"/>
    <mergeCell ref="D37:L37"/>
    <mergeCell ref="E30:F30"/>
    <mergeCell ref="G30:H30"/>
    <mergeCell ref="I30:J30"/>
    <mergeCell ref="K30:L30"/>
    <mergeCell ref="B31:D31"/>
    <mergeCell ref="E31:F31"/>
    <mergeCell ref="G31:H31"/>
    <mergeCell ref="I31:J31"/>
    <mergeCell ref="K31:L31"/>
    <mergeCell ref="E28:F28"/>
    <mergeCell ref="G28:H28"/>
    <mergeCell ref="I28:J28"/>
    <mergeCell ref="K28:L28"/>
    <mergeCell ref="E29:F29"/>
    <mergeCell ref="G29:H29"/>
    <mergeCell ref="I29:J29"/>
    <mergeCell ref="K29:L29"/>
    <mergeCell ref="E26:F26"/>
    <mergeCell ref="G26:H26"/>
    <mergeCell ref="I26:J26"/>
    <mergeCell ref="K26:L26"/>
    <mergeCell ref="E27:F27"/>
    <mergeCell ref="G27:H27"/>
    <mergeCell ref="I27:J27"/>
    <mergeCell ref="K27:L27"/>
    <mergeCell ref="E24:F24"/>
    <mergeCell ref="G24:H24"/>
    <mergeCell ref="I24:J24"/>
    <mergeCell ref="K24:L24"/>
    <mergeCell ref="E25:F25"/>
    <mergeCell ref="G25:H25"/>
    <mergeCell ref="I25:J25"/>
    <mergeCell ref="K25:L25"/>
    <mergeCell ref="E22:F22"/>
    <mergeCell ref="G22:H22"/>
    <mergeCell ref="I22:J22"/>
    <mergeCell ref="K22:L22"/>
    <mergeCell ref="E23:F23"/>
    <mergeCell ref="G23:H23"/>
    <mergeCell ref="I23:J23"/>
    <mergeCell ref="K23:L23"/>
    <mergeCell ref="E20:F20"/>
    <mergeCell ref="G20:H20"/>
    <mergeCell ref="I20:J20"/>
    <mergeCell ref="K20:L20"/>
    <mergeCell ref="E21:F21"/>
    <mergeCell ref="G21:H21"/>
    <mergeCell ref="I21:J21"/>
    <mergeCell ref="K21:L21"/>
    <mergeCell ref="B18:D18"/>
    <mergeCell ref="E18:F18"/>
    <mergeCell ref="G18:H18"/>
    <mergeCell ref="I18:J18"/>
    <mergeCell ref="K18:L18"/>
    <mergeCell ref="E19:F19"/>
    <mergeCell ref="G19:H19"/>
    <mergeCell ref="I19:J19"/>
    <mergeCell ref="K19:L19"/>
    <mergeCell ref="E16:F16"/>
    <mergeCell ref="G16:H16"/>
    <mergeCell ref="I16:J16"/>
    <mergeCell ref="K16:L16"/>
    <mergeCell ref="E17:F17"/>
    <mergeCell ref="G17:H17"/>
    <mergeCell ref="I17:J17"/>
    <mergeCell ref="K17:L17"/>
    <mergeCell ref="E14:F14"/>
    <mergeCell ref="G14:H14"/>
    <mergeCell ref="I14:J14"/>
    <mergeCell ref="K14:L14"/>
    <mergeCell ref="E15:F15"/>
    <mergeCell ref="G15:H15"/>
    <mergeCell ref="I15:J15"/>
    <mergeCell ref="K15:L15"/>
    <mergeCell ref="B11:D11"/>
    <mergeCell ref="E11:F13"/>
    <mergeCell ref="G11:H13"/>
    <mergeCell ref="I11:J13"/>
    <mergeCell ref="K11:L13"/>
    <mergeCell ref="B12:D12"/>
    <mergeCell ref="B13:D13"/>
    <mergeCell ref="B1:L1"/>
    <mergeCell ref="K2:L2"/>
    <mergeCell ref="G6:H6"/>
    <mergeCell ref="J6:K6"/>
    <mergeCell ref="B8:L8"/>
    <mergeCell ref="B10:D10"/>
    <mergeCell ref="E10:F10"/>
    <mergeCell ref="G10:H10"/>
    <mergeCell ref="I10:J10"/>
    <mergeCell ref="K10:L10"/>
  </mergeCells>
  <printOptions horizontalCentered="1"/>
  <pageMargins left="0.78740157480314965" right="0" top="0.59055118110236227" bottom="0.19685039370078741" header="0.31496062992125984" footer="0.31496062992125984"/>
  <pageSetup paperSize="9" scale="77" orientation="landscape" r:id="rId1"/>
  <headerFooter>
    <oddHeader>&amp;C&amp;"-,Gras"&amp;14Page &amp;P / &amp;N</oddHead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Feuil69">
    <pageSetUpPr fitToPage="1"/>
  </sheetPr>
  <dimension ref="B1:K39"/>
  <sheetViews>
    <sheetView showGridLines="0" showZeros="0" topLeftCell="A2" zoomScale="70" zoomScaleNormal="70" workbookViewId="0">
      <selection activeCell="B14" sqref="B14"/>
    </sheetView>
  </sheetViews>
  <sheetFormatPr baseColWidth="10" defaultColWidth="11.5703125" defaultRowHeight="15.75"/>
  <cols>
    <col min="1" max="1" width="2.42578125" style="9" customWidth="1"/>
    <col min="2" max="2" width="31.85546875" style="9" customWidth="1"/>
    <col min="3" max="3" width="11.5703125" style="9" customWidth="1"/>
    <col min="4" max="4" width="19" style="9" customWidth="1"/>
    <col min="5" max="5" width="22.140625" style="9" customWidth="1"/>
    <col min="6" max="6" width="18.42578125" style="9" customWidth="1"/>
    <col min="7" max="7" width="16.5703125" style="9" customWidth="1"/>
    <col min="8" max="8" width="21.140625" style="9" customWidth="1"/>
    <col min="9" max="9" width="16.7109375" style="9" customWidth="1"/>
    <col min="10" max="10" width="22.42578125" style="9" bestFit="1" customWidth="1"/>
    <col min="11" max="11" width="18.140625" style="9" customWidth="1"/>
    <col min="12" max="257" width="11.5703125" style="9"/>
    <col min="258" max="258" width="20.5703125" style="9" customWidth="1"/>
    <col min="259" max="259" width="16.140625" style="9" customWidth="1"/>
    <col min="260" max="260" width="16" style="9" customWidth="1"/>
    <col min="261" max="261" width="14.85546875" style="9" customWidth="1"/>
    <col min="262" max="262" width="17.28515625" style="9" customWidth="1"/>
    <col min="263" max="263" width="13.28515625" style="9" customWidth="1"/>
    <col min="264" max="264" width="17.85546875" style="9" customWidth="1"/>
    <col min="265" max="265" width="15.140625" style="9" customWidth="1"/>
    <col min="266" max="266" width="15.42578125" style="9" customWidth="1"/>
    <col min="267" max="267" width="14.85546875" style="9" customWidth="1"/>
    <col min="268" max="513" width="11.5703125" style="9"/>
    <col min="514" max="514" width="20.5703125" style="9" customWidth="1"/>
    <col min="515" max="515" width="16.140625" style="9" customWidth="1"/>
    <col min="516" max="516" width="16" style="9" customWidth="1"/>
    <col min="517" max="517" width="14.85546875" style="9" customWidth="1"/>
    <col min="518" max="518" width="17.28515625" style="9" customWidth="1"/>
    <col min="519" max="519" width="13.28515625" style="9" customWidth="1"/>
    <col min="520" max="520" width="17.85546875" style="9" customWidth="1"/>
    <col min="521" max="521" width="15.140625" style="9" customWidth="1"/>
    <col min="522" max="522" width="15.42578125" style="9" customWidth="1"/>
    <col min="523" max="523" width="14.85546875" style="9" customWidth="1"/>
    <col min="524" max="769" width="11.5703125" style="9"/>
    <col min="770" max="770" width="20.5703125" style="9" customWidth="1"/>
    <col min="771" max="771" width="16.140625" style="9" customWidth="1"/>
    <col min="772" max="772" width="16" style="9" customWidth="1"/>
    <col min="773" max="773" width="14.85546875" style="9" customWidth="1"/>
    <col min="774" max="774" width="17.28515625" style="9" customWidth="1"/>
    <col min="775" max="775" width="13.28515625" style="9" customWidth="1"/>
    <col min="776" max="776" width="17.85546875" style="9" customWidth="1"/>
    <col min="777" max="777" width="15.140625" style="9" customWidth="1"/>
    <col min="778" max="778" width="15.42578125" style="9" customWidth="1"/>
    <col min="779" max="779" width="14.85546875" style="9" customWidth="1"/>
    <col min="780" max="1025" width="11.5703125" style="9"/>
    <col min="1026" max="1026" width="20.5703125" style="9" customWidth="1"/>
    <col min="1027" max="1027" width="16.140625" style="9" customWidth="1"/>
    <col min="1028" max="1028" width="16" style="9" customWidth="1"/>
    <col min="1029" max="1029" width="14.85546875" style="9" customWidth="1"/>
    <col min="1030" max="1030" width="17.28515625" style="9" customWidth="1"/>
    <col min="1031" max="1031" width="13.28515625" style="9" customWidth="1"/>
    <col min="1032" max="1032" width="17.85546875" style="9" customWidth="1"/>
    <col min="1033" max="1033" width="15.140625" style="9" customWidth="1"/>
    <col min="1034" max="1034" width="15.42578125" style="9" customWidth="1"/>
    <col min="1035" max="1035" width="14.85546875" style="9" customWidth="1"/>
    <col min="1036" max="1281" width="11.5703125" style="9"/>
    <col min="1282" max="1282" width="20.5703125" style="9" customWidth="1"/>
    <col min="1283" max="1283" width="16.140625" style="9" customWidth="1"/>
    <col min="1284" max="1284" width="16" style="9" customWidth="1"/>
    <col min="1285" max="1285" width="14.85546875" style="9" customWidth="1"/>
    <col min="1286" max="1286" width="17.28515625" style="9" customWidth="1"/>
    <col min="1287" max="1287" width="13.28515625" style="9" customWidth="1"/>
    <col min="1288" max="1288" width="17.85546875" style="9" customWidth="1"/>
    <col min="1289" max="1289" width="15.140625" style="9" customWidth="1"/>
    <col min="1290" max="1290" width="15.42578125" style="9" customWidth="1"/>
    <col min="1291" max="1291" width="14.85546875" style="9" customWidth="1"/>
    <col min="1292" max="1537" width="11.5703125" style="9"/>
    <col min="1538" max="1538" width="20.5703125" style="9" customWidth="1"/>
    <col min="1539" max="1539" width="16.140625" style="9" customWidth="1"/>
    <col min="1540" max="1540" width="16" style="9" customWidth="1"/>
    <col min="1541" max="1541" width="14.85546875" style="9" customWidth="1"/>
    <col min="1542" max="1542" width="17.28515625" style="9" customWidth="1"/>
    <col min="1543" max="1543" width="13.28515625" style="9" customWidth="1"/>
    <col min="1544" max="1544" width="17.85546875" style="9" customWidth="1"/>
    <col min="1545" max="1545" width="15.140625" style="9" customWidth="1"/>
    <col min="1546" max="1546" width="15.42578125" style="9" customWidth="1"/>
    <col min="1547" max="1547" width="14.85546875" style="9" customWidth="1"/>
    <col min="1548" max="1793" width="11.5703125" style="9"/>
    <col min="1794" max="1794" width="20.5703125" style="9" customWidth="1"/>
    <col min="1795" max="1795" width="16.140625" style="9" customWidth="1"/>
    <col min="1796" max="1796" width="16" style="9" customWidth="1"/>
    <col min="1797" max="1797" width="14.85546875" style="9" customWidth="1"/>
    <col min="1798" max="1798" width="17.28515625" style="9" customWidth="1"/>
    <col min="1799" max="1799" width="13.28515625" style="9" customWidth="1"/>
    <col min="1800" max="1800" width="17.85546875" style="9" customWidth="1"/>
    <col min="1801" max="1801" width="15.140625" style="9" customWidth="1"/>
    <col min="1802" max="1802" width="15.42578125" style="9" customWidth="1"/>
    <col min="1803" max="1803" width="14.85546875" style="9" customWidth="1"/>
    <col min="1804" max="2049" width="11.5703125" style="9"/>
    <col min="2050" max="2050" width="20.5703125" style="9" customWidth="1"/>
    <col min="2051" max="2051" width="16.140625" style="9" customWidth="1"/>
    <col min="2052" max="2052" width="16" style="9" customWidth="1"/>
    <col min="2053" max="2053" width="14.85546875" style="9" customWidth="1"/>
    <col min="2054" max="2054" width="17.28515625" style="9" customWidth="1"/>
    <col min="2055" max="2055" width="13.28515625" style="9" customWidth="1"/>
    <col min="2056" max="2056" width="17.85546875" style="9" customWidth="1"/>
    <col min="2057" max="2057" width="15.140625" style="9" customWidth="1"/>
    <col min="2058" max="2058" width="15.42578125" style="9" customWidth="1"/>
    <col min="2059" max="2059" width="14.85546875" style="9" customWidth="1"/>
    <col min="2060" max="2305" width="11.5703125" style="9"/>
    <col min="2306" max="2306" width="20.5703125" style="9" customWidth="1"/>
    <col min="2307" max="2307" width="16.140625" style="9" customWidth="1"/>
    <col min="2308" max="2308" width="16" style="9" customWidth="1"/>
    <col min="2309" max="2309" width="14.85546875" style="9" customWidth="1"/>
    <col min="2310" max="2310" width="17.28515625" style="9" customWidth="1"/>
    <col min="2311" max="2311" width="13.28515625" style="9" customWidth="1"/>
    <col min="2312" max="2312" width="17.85546875" style="9" customWidth="1"/>
    <col min="2313" max="2313" width="15.140625" style="9" customWidth="1"/>
    <col min="2314" max="2314" width="15.42578125" style="9" customWidth="1"/>
    <col min="2315" max="2315" width="14.85546875" style="9" customWidth="1"/>
    <col min="2316" max="2561" width="11.5703125" style="9"/>
    <col min="2562" max="2562" width="20.5703125" style="9" customWidth="1"/>
    <col min="2563" max="2563" width="16.140625" style="9" customWidth="1"/>
    <col min="2564" max="2564" width="16" style="9" customWidth="1"/>
    <col min="2565" max="2565" width="14.85546875" style="9" customWidth="1"/>
    <col min="2566" max="2566" width="17.28515625" style="9" customWidth="1"/>
    <col min="2567" max="2567" width="13.28515625" style="9" customWidth="1"/>
    <col min="2568" max="2568" width="17.85546875" style="9" customWidth="1"/>
    <col min="2569" max="2569" width="15.140625" style="9" customWidth="1"/>
    <col min="2570" max="2570" width="15.42578125" style="9" customWidth="1"/>
    <col min="2571" max="2571" width="14.85546875" style="9" customWidth="1"/>
    <col min="2572" max="2817" width="11.5703125" style="9"/>
    <col min="2818" max="2818" width="20.5703125" style="9" customWidth="1"/>
    <col min="2819" max="2819" width="16.140625" style="9" customWidth="1"/>
    <col min="2820" max="2820" width="16" style="9" customWidth="1"/>
    <col min="2821" max="2821" width="14.85546875" style="9" customWidth="1"/>
    <col min="2822" max="2822" width="17.28515625" style="9" customWidth="1"/>
    <col min="2823" max="2823" width="13.28515625" style="9" customWidth="1"/>
    <col min="2824" max="2824" width="17.85546875" style="9" customWidth="1"/>
    <col min="2825" max="2825" width="15.140625" style="9" customWidth="1"/>
    <col min="2826" max="2826" width="15.42578125" style="9" customWidth="1"/>
    <col min="2827" max="2827" width="14.85546875" style="9" customWidth="1"/>
    <col min="2828" max="3073" width="11.5703125" style="9"/>
    <col min="3074" max="3074" width="20.5703125" style="9" customWidth="1"/>
    <col min="3075" max="3075" width="16.140625" style="9" customWidth="1"/>
    <col min="3076" max="3076" width="16" style="9" customWidth="1"/>
    <col min="3077" max="3077" width="14.85546875" style="9" customWidth="1"/>
    <col min="3078" max="3078" width="17.28515625" style="9" customWidth="1"/>
    <col min="3079" max="3079" width="13.28515625" style="9" customWidth="1"/>
    <col min="3080" max="3080" width="17.85546875" style="9" customWidth="1"/>
    <col min="3081" max="3081" width="15.140625" style="9" customWidth="1"/>
    <col min="3082" max="3082" width="15.42578125" style="9" customWidth="1"/>
    <col min="3083" max="3083" width="14.85546875" style="9" customWidth="1"/>
    <col min="3084" max="3329" width="11.5703125" style="9"/>
    <col min="3330" max="3330" width="20.5703125" style="9" customWidth="1"/>
    <col min="3331" max="3331" width="16.140625" style="9" customWidth="1"/>
    <col min="3332" max="3332" width="16" style="9" customWidth="1"/>
    <col min="3333" max="3333" width="14.85546875" style="9" customWidth="1"/>
    <col min="3334" max="3334" width="17.28515625" style="9" customWidth="1"/>
    <col min="3335" max="3335" width="13.28515625" style="9" customWidth="1"/>
    <col min="3336" max="3336" width="17.85546875" style="9" customWidth="1"/>
    <col min="3337" max="3337" width="15.140625" style="9" customWidth="1"/>
    <col min="3338" max="3338" width="15.42578125" style="9" customWidth="1"/>
    <col min="3339" max="3339" width="14.85546875" style="9" customWidth="1"/>
    <col min="3340" max="3585" width="11.5703125" style="9"/>
    <col min="3586" max="3586" width="20.5703125" style="9" customWidth="1"/>
    <col min="3587" max="3587" width="16.140625" style="9" customWidth="1"/>
    <col min="3588" max="3588" width="16" style="9" customWidth="1"/>
    <col min="3589" max="3589" width="14.85546875" style="9" customWidth="1"/>
    <col min="3590" max="3590" width="17.28515625" style="9" customWidth="1"/>
    <col min="3591" max="3591" width="13.28515625" style="9" customWidth="1"/>
    <col min="3592" max="3592" width="17.85546875" style="9" customWidth="1"/>
    <col min="3593" max="3593" width="15.140625" style="9" customWidth="1"/>
    <col min="3594" max="3594" width="15.42578125" style="9" customWidth="1"/>
    <col min="3595" max="3595" width="14.85546875" style="9" customWidth="1"/>
    <col min="3596" max="3841" width="11.5703125" style="9"/>
    <col min="3842" max="3842" width="20.5703125" style="9" customWidth="1"/>
    <col min="3843" max="3843" width="16.140625" style="9" customWidth="1"/>
    <col min="3844" max="3844" width="16" style="9" customWidth="1"/>
    <col min="3845" max="3845" width="14.85546875" style="9" customWidth="1"/>
    <col min="3846" max="3846" width="17.28515625" style="9" customWidth="1"/>
    <col min="3847" max="3847" width="13.28515625" style="9" customWidth="1"/>
    <col min="3848" max="3848" width="17.85546875" style="9" customWidth="1"/>
    <col min="3849" max="3849" width="15.140625" style="9" customWidth="1"/>
    <col min="3850" max="3850" width="15.42578125" style="9" customWidth="1"/>
    <col min="3851" max="3851" width="14.85546875" style="9" customWidth="1"/>
    <col min="3852" max="4097" width="11.5703125" style="9"/>
    <col min="4098" max="4098" width="20.5703125" style="9" customWidth="1"/>
    <col min="4099" max="4099" width="16.140625" style="9" customWidth="1"/>
    <col min="4100" max="4100" width="16" style="9" customWidth="1"/>
    <col min="4101" max="4101" width="14.85546875" style="9" customWidth="1"/>
    <col min="4102" max="4102" width="17.28515625" style="9" customWidth="1"/>
    <col min="4103" max="4103" width="13.28515625" style="9" customWidth="1"/>
    <col min="4104" max="4104" width="17.85546875" style="9" customWidth="1"/>
    <col min="4105" max="4105" width="15.140625" style="9" customWidth="1"/>
    <col min="4106" max="4106" width="15.42578125" style="9" customWidth="1"/>
    <col min="4107" max="4107" width="14.85546875" style="9" customWidth="1"/>
    <col min="4108" max="4353" width="11.5703125" style="9"/>
    <col min="4354" max="4354" width="20.5703125" style="9" customWidth="1"/>
    <col min="4355" max="4355" width="16.140625" style="9" customWidth="1"/>
    <col min="4356" max="4356" width="16" style="9" customWidth="1"/>
    <col min="4357" max="4357" width="14.85546875" style="9" customWidth="1"/>
    <col min="4358" max="4358" width="17.28515625" style="9" customWidth="1"/>
    <col min="4359" max="4359" width="13.28515625" style="9" customWidth="1"/>
    <col min="4360" max="4360" width="17.85546875" style="9" customWidth="1"/>
    <col min="4361" max="4361" width="15.140625" style="9" customWidth="1"/>
    <col min="4362" max="4362" width="15.42578125" style="9" customWidth="1"/>
    <col min="4363" max="4363" width="14.85546875" style="9" customWidth="1"/>
    <col min="4364" max="4609" width="11.5703125" style="9"/>
    <col min="4610" max="4610" width="20.5703125" style="9" customWidth="1"/>
    <col min="4611" max="4611" width="16.140625" style="9" customWidth="1"/>
    <col min="4612" max="4612" width="16" style="9" customWidth="1"/>
    <col min="4613" max="4613" width="14.85546875" style="9" customWidth="1"/>
    <col min="4614" max="4614" width="17.28515625" style="9" customWidth="1"/>
    <col min="4615" max="4615" width="13.28515625" style="9" customWidth="1"/>
    <col min="4616" max="4616" width="17.85546875" style="9" customWidth="1"/>
    <col min="4617" max="4617" width="15.140625" style="9" customWidth="1"/>
    <col min="4618" max="4618" width="15.42578125" style="9" customWidth="1"/>
    <col min="4619" max="4619" width="14.85546875" style="9" customWidth="1"/>
    <col min="4620" max="4865" width="11.5703125" style="9"/>
    <col min="4866" max="4866" width="20.5703125" style="9" customWidth="1"/>
    <col min="4867" max="4867" width="16.140625" style="9" customWidth="1"/>
    <col min="4868" max="4868" width="16" style="9" customWidth="1"/>
    <col min="4869" max="4869" width="14.85546875" style="9" customWidth="1"/>
    <col min="4870" max="4870" width="17.28515625" style="9" customWidth="1"/>
    <col min="4871" max="4871" width="13.28515625" style="9" customWidth="1"/>
    <col min="4872" max="4872" width="17.85546875" style="9" customWidth="1"/>
    <col min="4873" max="4873" width="15.140625" style="9" customWidth="1"/>
    <col min="4874" max="4874" width="15.42578125" style="9" customWidth="1"/>
    <col min="4875" max="4875" width="14.85546875" style="9" customWidth="1"/>
    <col min="4876" max="5121" width="11.5703125" style="9"/>
    <col min="5122" max="5122" width="20.5703125" style="9" customWidth="1"/>
    <col min="5123" max="5123" width="16.140625" style="9" customWidth="1"/>
    <col min="5124" max="5124" width="16" style="9" customWidth="1"/>
    <col min="5125" max="5125" width="14.85546875" style="9" customWidth="1"/>
    <col min="5126" max="5126" width="17.28515625" style="9" customWidth="1"/>
    <col min="5127" max="5127" width="13.28515625" style="9" customWidth="1"/>
    <col min="5128" max="5128" width="17.85546875" style="9" customWidth="1"/>
    <col min="5129" max="5129" width="15.140625" style="9" customWidth="1"/>
    <col min="5130" max="5130" width="15.42578125" style="9" customWidth="1"/>
    <col min="5131" max="5131" width="14.85546875" style="9" customWidth="1"/>
    <col min="5132" max="5377" width="11.5703125" style="9"/>
    <col min="5378" max="5378" width="20.5703125" style="9" customWidth="1"/>
    <col min="5379" max="5379" width="16.140625" style="9" customWidth="1"/>
    <col min="5380" max="5380" width="16" style="9" customWidth="1"/>
    <col min="5381" max="5381" width="14.85546875" style="9" customWidth="1"/>
    <col min="5382" max="5382" width="17.28515625" style="9" customWidth="1"/>
    <col min="5383" max="5383" width="13.28515625" style="9" customWidth="1"/>
    <col min="5384" max="5384" width="17.85546875" style="9" customWidth="1"/>
    <col min="5385" max="5385" width="15.140625" style="9" customWidth="1"/>
    <col min="5386" max="5386" width="15.42578125" style="9" customWidth="1"/>
    <col min="5387" max="5387" width="14.85546875" style="9" customWidth="1"/>
    <col min="5388" max="5633" width="11.5703125" style="9"/>
    <col min="5634" max="5634" width="20.5703125" style="9" customWidth="1"/>
    <col min="5635" max="5635" width="16.140625" style="9" customWidth="1"/>
    <col min="5636" max="5636" width="16" style="9" customWidth="1"/>
    <col min="5637" max="5637" width="14.85546875" style="9" customWidth="1"/>
    <col min="5638" max="5638" width="17.28515625" style="9" customWidth="1"/>
    <col min="5639" max="5639" width="13.28515625" style="9" customWidth="1"/>
    <col min="5640" max="5640" width="17.85546875" style="9" customWidth="1"/>
    <col min="5641" max="5641" width="15.140625" style="9" customWidth="1"/>
    <col min="5642" max="5642" width="15.42578125" style="9" customWidth="1"/>
    <col min="5643" max="5643" width="14.85546875" style="9" customWidth="1"/>
    <col min="5644" max="5889" width="11.5703125" style="9"/>
    <col min="5890" max="5890" width="20.5703125" style="9" customWidth="1"/>
    <col min="5891" max="5891" width="16.140625" style="9" customWidth="1"/>
    <col min="5892" max="5892" width="16" style="9" customWidth="1"/>
    <col min="5893" max="5893" width="14.85546875" style="9" customWidth="1"/>
    <col min="5894" max="5894" width="17.28515625" style="9" customWidth="1"/>
    <col min="5895" max="5895" width="13.28515625" style="9" customWidth="1"/>
    <col min="5896" max="5896" width="17.85546875" style="9" customWidth="1"/>
    <col min="5897" max="5897" width="15.140625" style="9" customWidth="1"/>
    <col min="5898" max="5898" width="15.42578125" style="9" customWidth="1"/>
    <col min="5899" max="5899" width="14.85546875" style="9" customWidth="1"/>
    <col min="5900" max="6145" width="11.5703125" style="9"/>
    <col min="6146" max="6146" width="20.5703125" style="9" customWidth="1"/>
    <col min="6147" max="6147" width="16.140625" style="9" customWidth="1"/>
    <col min="6148" max="6148" width="16" style="9" customWidth="1"/>
    <col min="6149" max="6149" width="14.85546875" style="9" customWidth="1"/>
    <col min="6150" max="6150" width="17.28515625" style="9" customWidth="1"/>
    <col min="6151" max="6151" width="13.28515625" style="9" customWidth="1"/>
    <col min="6152" max="6152" width="17.85546875" style="9" customWidth="1"/>
    <col min="6153" max="6153" width="15.140625" style="9" customWidth="1"/>
    <col min="6154" max="6154" width="15.42578125" style="9" customWidth="1"/>
    <col min="6155" max="6155" width="14.85546875" style="9" customWidth="1"/>
    <col min="6156" max="6401" width="11.5703125" style="9"/>
    <col min="6402" max="6402" width="20.5703125" style="9" customWidth="1"/>
    <col min="6403" max="6403" width="16.140625" style="9" customWidth="1"/>
    <col min="6404" max="6404" width="16" style="9" customWidth="1"/>
    <col min="6405" max="6405" width="14.85546875" style="9" customWidth="1"/>
    <col min="6406" max="6406" width="17.28515625" style="9" customWidth="1"/>
    <col min="6407" max="6407" width="13.28515625" style="9" customWidth="1"/>
    <col min="6408" max="6408" width="17.85546875" style="9" customWidth="1"/>
    <col min="6409" max="6409" width="15.140625" style="9" customWidth="1"/>
    <col min="6410" max="6410" width="15.42578125" style="9" customWidth="1"/>
    <col min="6411" max="6411" width="14.85546875" style="9" customWidth="1"/>
    <col min="6412" max="6657" width="11.5703125" style="9"/>
    <col min="6658" max="6658" width="20.5703125" style="9" customWidth="1"/>
    <col min="6659" max="6659" width="16.140625" style="9" customWidth="1"/>
    <col min="6660" max="6660" width="16" style="9" customWidth="1"/>
    <col min="6661" max="6661" width="14.85546875" style="9" customWidth="1"/>
    <col min="6662" max="6662" width="17.28515625" style="9" customWidth="1"/>
    <col min="6663" max="6663" width="13.28515625" style="9" customWidth="1"/>
    <col min="6664" max="6664" width="17.85546875" style="9" customWidth="1"/>
    <col min="6665" max="6665" width="15.140625" style="9" customWidth="1"/>
    <col min="6666" max="6666" width="15.42578125" style="9" customWidth="1"/>
    <col min="6667" max="6667" width="14.85546875" style="9" customWidth="1"/>
    <col min="6668" max="6913" width="11.5703125" style="9"/>
    <col min="6914" max="6914" width="20.5703125" style="9" customWidth="1"/>
    <col min="6915" max="6915" width="16.140625" style="9" customWidth="1"/>
    <col min="6916" max="6916" width="16" style="9" customWidth="1"/>
    <col min="6917" max="6917" width="14.85546875" style="9" customWidth="1"/>
    <col min="6918" max="6918" width="17.28515625" style="9" customWidth="1"/>
    <col min="6919" max="6919" width="13.28515625" style="9" customWidth="1"/>
    <col min="6920" max="6920" width="17.85546875" style="9" customWidth="1"/>
    <col min="6921" max="6921" width="15.140625" style="9" customWidth="1"/>
    <col min="6922" max="6922" width="15.42578125" style="9" customWidth="1"/>
    <col min="6923" max="6923" width="14.85546875" style="9" customWidth="1"/>
    <col min="6924" max="7169" width="11.5703125" style="9"/>
    <col min="7170" max="7170" width="20.5703125" style="9" customWidth="1"/>
    <col min="7171" max="7171" width="16.140625" style="9" customWidth="1"/>
    <col min="7172" max="7172" width="16" style="9" customWidth="1"/>
    <col min="7173" max="7173" width="14.85546875" style="9" customWidth="1"/>
    <col min="7174" max="7174" width="17.28515625" style="9" customWidth="1"/>
    <col min="7175" max="7175" width="13.28515625" style="9" customWidth="1"/>
    <col min="7176" max="7176" width="17.85546875" style="9" customWidth="1"/>
    <col min="7177" max="7177" width="15.140625" style="9" customWidth="1"/>
    <col min="7178" max="7178" width="15.42578125" style="9" customWidth="1"/>
    <col min="7179" max="7179" width="14.85546875" style="9" customWidth="1"/>
    <col min="7180" max="7425" width="11.5703125" style="9"/>
    <col min="7426" max="7426" width="20.5703125" style="9" customWidth="1"/>
    <col min="7427" max="7427" width="16.140625" style="9" customWidth="1"/>
    <col min="7428" max="7428" width="16" style="9" customWidth="1"/>
    <col min="7429" max="7429" width="14.85546875" style="9" customWidth="1"/>
    <col min="7430" max="7430" width="17.28515625" style="9" customWidth="1"/>
    <col min="7431" max="7431" width="13.28515625" style="9" customWidth="1"/>
    <col min="7432" max="7432" width="17.85546875" style="9" customWidth="1"/>
    <col min="7433" max="7433" width="15.140625" style="9" customWidth="1"/>
    <col min="7434" max="7434" width="15.42578125" style="9" customWidth="1"/>
    <col min="7435" max="7435" width="14.85546875" style="9" customWidth="1"/>
    <col min="7436" max="7681" width="11.5703125" style="9"/>
    <col min="7682" max="7682" width="20.5703125" style="9" customWidth="1"/>
    <col min="7683" max="7683" width="16.140625" style="9" customWidth="1"/>
    <col min="7684" max="7684" width="16" style="9" customWidth="1"/>
    <col min="7685" max="7685" width="14.85546875" style="9" customWidth="1"/>
    <col min="7686" max="7686" width="17.28515625" style="9" customWidth="1"/>
    <col min="7687" max="7687" width="13.28515625" style="9" customWidth="1"/>
    <col min="7688" max="7688" width="17.85546875" style="9" customWidth="1"/>
    <col min="7689" max="7689" width="15.140625" style="9" customWidth="1"/>
    <col min="7690" max="7690" width="15.42578125" style="9" customWidth="1"/>
    <col min="7691" max="7691" width="14.85546875" style="9" customWidth="1"/>
    <col min="7692" max="7937" width="11.5703125" style="9"/>
    <col min="7938" max="7938" width="20.5703125" style="9" customWidth="1"/>
    <col min="7939" max="7939" width="16.140625" style="9" customWidth="1"/>
    <col min="7940" max="7940" width="16" style="9" customWidth="1"/>
    <col min="7941" max="7941" width="14.85546875" style="9" customWidth="1"/>
    <col min="7942" max="7942" width="17.28515625" style="9" customWidth="1"/>
    <col min="7943" max="7943" width="13.28515625" style="9" customWidth="1"/>
    <col min="7944" max="7944" width="17.85546875" style="9" customWidth="1"/>
    <col min="7945" max="7945" width="15.140625" style="9" customWidth="1"/>
    <col min="7946" max="7946" width="15.42578125" style="9" customWidth="1"/>
    <col min="7947" max="7947" width="14.85546875" style="9" customWidth="1"/>
    <col min="7948" max="8193" width="11.5703125" style="9"/>
    <col min="8194" max="8194" width="20.5703125" style="9" customWidth="1"/>
    <col min="8195" max="8195" width="16.140625" style="9" customWidth="1"/>
    <col min="8196" max="8196" width="16" style="9" customWidth="1"/>
    <col min="8197" max="8197" width="14.85546875" style="9" customWidth="1"/>
    <col min="8198" max="8198" width="17.28515625" style="9" customWidth="1"/>
    <col min="8199" max="8199" width="13.28515625" style="9" customWidth="1"/>
    <col min="8200" max="8200" width="17.85546875" style="9" customWidth="1"/>
    <col min="8201" max="8201" width="15.140625" style="9" customWidth="1"/>
    <col min="8202" max="8202" width="15.42578125" style="9" customWidth="1"/>
    <col min="8203" max="8203" width="14.85546875" style="9" customWidth="1"/>
    <col min="8204" max="8449" width="11.5703125" style="9"/>
    <col min="8450" max="8450" width="20.5703125" style="9" customWidth="1"/>
    <col min="8451" max="8451" width="16.140625" style="9" customWidth="1"/>
    <col min="8452" max="8452" width="16" style="9" customWidth="1"/>
    <col min="8453" max="8453" width="14.85546875" style="9" customWidth="1"/>
    <col min="8454" max="8454" width="17.28515625" style="9" customWidth="1"/>
    <col min="8455" max="8455" width="13.28515625" style="9" customWidth="1"/>
    <col min="8456" max="8456" width="17.85546875" style="9" customWidth="1"/>
    <col min="8457" max="8457" width="15.140625" style="9" customWidth="1"/>
    <col min="8458" max="8458" width="15.42578125" style="9" customWidth="1"/>
    <col min="8459" max="8459" width="14.85546875" style="9" customWidth="1"/>
    <col min="8460" max="8705" width="11.5703125" style="9"/>
    <col min="8706" max="8706" width="20.5703125" style="9" customWidth="1"/>
    <col min="8707" max="8707" width="16.140625" style="9" customWidth="1"/>
    <col min="8708" max="8708" width="16" style="9" customWidth="1"/>
    <col min="8709" max="8709" width="14.85546875" style="9" customWidth="1"/>
    <col min="8710" max="8710" width="17.28515625" style="9" customWidth="1"/>
    <col min="8711" max="8711" width="13.28515625" style="9" customWidth="1"/>
    <col min="8712" max="8712" width="17.85546875" style="9" customWidth="1"/>
    <col min="8713" max="8713" width="15.140625" style="9" customWidth="1"/>
    <col min="8714" max="8714" width="15.42578125" style="9" customWidth="1"/>
    <col min="8715" max="8715" width="14.85546875" style="9" customWidth="1"/>
    <col min="8716" max="8961" width="11.5703125" style="9"/>
    <col min="8962" max="8962" width="20.5703125" style="9" customWidth="1"/>
    <col min="8963" max="8963" width="16.140625" style="9" customWidth="1"/>
    <col min="8964" max="8964" width="16" style="9" customWidth="1"/>
    <col min="8965" max="8965" width="14.85546875" style="9" customWidth="1"/>
    <col min="8966" max="8966" width="17.28515625" style="9" customWidth="1"/>
    <col min="8967" max="8967" width="13.28515625" style="9" customWidth="1"/>
    <col min="8968" max="8968" width="17.85546875" style="9" customWidth="1"/>
    <col min="8969" max="8969" width="15.140625" style="9" customWidth="1"/>
    <col min="8970" max="8970" width="15.42578125" style="9" customWidth="1"/>
    <col min="8971" max="8971" width="14.85546875" style="9" customWidth="1"/>
    <col min="8972" max="9217" width="11.5703125" style="9"/>
    <col min="9218" max="9218" width="20.5703125" style="9" customWidth="1"/>
    <col min="9219" max="9219" width="16.140625" style="9" customWidth="1"/>
    <col min="9220" max="9220" width="16" style="9" customWidth="1"/>
    <col min="9221" max="9221" width="14.85546875" style="9" customWidth="1"/>
    <col min="9222" max="9222" width="17.28515625" style="9" customWidth="1"/>
    <col min="9223" max="9223" width="13.28515625" style="9" customWidth="1"/>
    <col min="9224" max="9224" width="17.85546875" style="9" customWidth="1"/>
    <col min="9225" max="9225" width="15.140625" style="9" customWidth="1"/>
    <col min="9226" max="9226" width="15.42578125" style="9" customWidth="1"/>
    <col min="9227" max="9227" width="14.85546875" style="9" customWidth="1"/>
    <col min="9228" max="9473" width="11.5703125" style="9"/>
    <col min="9474" max="9474" width="20.5703125" style="9" customWidth="1"/>
    <col min="9475" max="9475" width="16.140625" style="9" customWidth="1"/>
    <col min="9476" max="9476" width="16" style="9" customWidth="1"/>
    <col min="9477" max="9477" width="14.85546875" style="9" customWidth="1"/>
    <col min="9478" max="9478" width="17.28515625" style="9" customWidth="1"/>
    <col min="9479" max="9479" width="13.28515625" style="9" customWidth="1"/>
    <col min="9480" max="9480" width="17.85546875" style="9" customWidth="1"/>
    <col min="9481" max="9481" width="15.140625" style="9" customWidth="1"/>
    <col min="9482" max="9482" width="15.42578125" style="9" customWidth="1"/>
    <col min="9483" max="9483" width="14.85546875" style="9" customWidth="1"/>
    <col min="9484" max="9729" width="11.5703125" style="9"/>
    <col min="9730" max="9730" width="20.5703125" style="9" customWidth="1"/>
    <col min="9731" max="9731" width="16.140625" style="9" customWidth="1"/>
    <col min="9732" max="9732" width="16" style="9" customWidth="1"/>
    <col min="9733" max="9733" width="14.85546875" style="9" customWidth="1"/>
    <col min="9734" max="9734" width="17.28515625" style="9" customWidth="1"/>
    <col min="9735" max="9735" width="13.28515625" style="9" customWidth="1"/>
    <col min="9736" max="9736" width="17.85546875" style="9" customWidth="1"/>
    <col min="9737" max="9737" width="15.140625" style="9" customWidth="1"/>
    <col min="9738" max="9738" width="15.42578125" style="9" customWidth="1"/>
    <col min="9739" max="9739" width="14.85546875" style="9" customWidth="1"/>
    <col min="9740" max="9985" width="11.5703125" style="9"/>
    <col min="9986" max="9986" width="20.5703125" style="9" customWidth="1"/>
    <col min="9987" max="9987" width="16.140625" style="9" customWidth="1"/>
    <col min="9988" max="9988" width="16" style="9" customWidth="1"/>
    <col min="9989" max="9989" width="14.85546875" style="9" customWidth="1"/>
    <col min="9990" max="9990" width="17.28515625" style="9" customWidth="1"/>
    <col min="9991" max="9991" width="13.28515625" style="9" customWidth="1"/>
    <col min="9992" max="9992" width="17.85546875" style="9" customWidth="1"/>
    <col min="9993" max="9993" width="15.140625" style="9" customWidth="1"/>
    <col min="9994" max="9994" width="15.42578125" style="9" customWidth="1"/>
    <col min="9995" max="9995" width="14.85546875" style="9" customWidth="1"/>
    <col min="9996" max="10241" width="11.5703125" style="9"/>
    <col min="10242" max="10242" width="20.5703125" style="9" customWidth="1"/>
    <col min="10243" max="10243" width="16.140625" style="9" customWidth="1"/>
    <col min="10244" max="10244" width="16" style="9" customWidth="1"/>
    <col min="10245" max="10245" width="14.85546875" style="9" customWidth="1"/>
    <col min="10246" max="10246" width="17.28515625" style="9" customWidth="1"/>
    <col min="10247" max="10247" width="13.28515625" style="9" customWidth="1"/>
    <col min="10248" max="10248" width="17.85546875" style="9" customWidth="1"/>
    <col min="10249" max="10249" width="15.140625" style="9" customWidth="1"/>
    <col min="10250" max="10250" width="15.42578125" style="9" customWidth="1"/>
    <col min="10251" max="10251" width="14.85546875" style="9" customWidth="1"/>
    <col min="10252" max="10497" width="11.5703125" style="9"/>
    <col min="10498" max="10498" width="20.5703125" style="9" customWidth="1"/>
    <col min="10499" max="10499" width="16.140625" style="9" customWidth="1"/>
    <col min="10500" max="10500" width="16" style="9" customWidth="1"/>
    <col min="10501" max="10501" width="14.85546875" style="9" customWidth="1"/>
    <col min="10502" max="10502" width="17.28515625" style="9" customWidth="1"/>
    <col min="10503" max="10503" width="13.28515625" style="9" customWidth="1"/>
    <col min="10504" max="10504" width="17.85546875" style="9" customWidth="1"/>
    <col min="10505" max="10505" width="15.140625" style="9" customWidth="1"/>
    <col min="10506" max="10506" width="15.42578125" style="9" customWidth="1"/>
    <col min="10507" max="10507" width="14.85546875" style="9" customWidth="1"/>
    <col min="10508" max="10753" width="11.5703125" style="9"/>
    <col min="10754" max="10754" width="20.5703125" style="9" customWidth="1"/>
    <col min="10755" max="10755" width="16.140625" style="9" customWidth="1"/>
    <col min="10756" max="10756" width="16" style="9" customWidth="1"/>
    <col min="10757" max="10757" width="14.85546875" style="9" customWidth="1"/>
    <col min="10758" max="10758" width="17.28515625" style="9" customWidth="1"/>
    <col min="10759" max="10759" width="13.28515625" style="9" customWidth="1"/>
    <col min="10760" max="10760" width="17.85546875" style="9" customWidth="1"/>
    <col min="10761" max="10761" width="15.140625" style="9" customWidth="1"/>
    <col min="10762" max="10762" width="15.42578125" style="9" customWidth="1"/>
    <col min="10763" max="10763" width="14.85546875" style="9" customWidth="1"/>
    <col min="10764" max="11009" width="11.5703125" style="9"/>
    <col min="11010" max="11010" width="20.5703125" style="9" customWidth="1"/>
    <col min="11011" max="11011" width="16.140625" style="9" customWidth="1"/>
    <col min="11012" max="11012" width="16" style="9" customWidth="1"/>
    <col min="11013" max="11013" width="14.85546875" style="9" customWidth="1"/>
    <col min="11014" max="11014" width="17.28515625" style="9" customWidth="1"/>
    <col min="11015" max="11015" width="13.28515625" style="9" customWidth="1"/>
    <col min="11016" max="11016" width="17.85546875" style="9" customWidth="1"/>
    <col min="11017" max="11017" width="15.140625" style="9" customWidth="1"/>
    <col min="11018" max="11018" width="15.42578125" style="9" customWidth="1"/>
    <col min="11019" max="11019" width="14.85546875" style="9" customWidth="1"/>
    <col min="11020" max="11265" width="11.5703125" style="9"/>
    <col min="11266" max="11266" width="20.5703125" style="9" customWidth="1"/>
    <col min="11267" max="11267" width="16.140625" style="9" customWidth="1"/>
    <col min="11268" max="11268" width="16" style="9" customWidth="1"/>
    <col min="11269" max="11269" width="14.85546875" style="9" customWidth="1"/>
    <col min="11270" max="11270" width="17.28515625" style="9" customWidth="1"/>
    <col min="11271" max="11271" width="13.28515625" style="9" customWidth="1"/>
    <col min="11272" max="11272" width="17.85546875" style="9" customWidth="1"/>
    <col min="11273" max="11273" width="15.140625" style="9" customWidth="1"/>
    <col min="11274" max="11274" width="15.42578125" style="9" customWidth="1"/>
    <col min="11275" max="11275" width="14.85546875" style="9" customWidth="1"/>
    <col min="11276" max="11521" width="11.5703125" style="9"/>
    <col min="11522" max="11522" width="20.5703125" style="9" customWidth="1"/>
    <col min="11523" max="11523" width="16.140625" style="9" customWidth="1"/>
    <col min="11524" max="11524" width="16" style="9" customWidth="1"/>
    <col min="11525" max="11525" width="14.85546875" style="9" customWidth="1"/>
    <col min="11526" max="11526" width="17.28515625" style="9" customWidth="1"/>
    <col min="11527" max="11527" width="13.28515625" style="9" customWidth="1"/>
    <col min="11528" max="11528" width="17.85546875" style="9" customWidth="1"/>
    <col min="11529" max="11529" width="15.140625" style="9" customWidth="1"/>
    <col min="11530" max="11530" width="15.42578125" style="9" customWidth="1"/>
    <col min="11531" max="11531" width="14.85546875" style="9" customWidth="1"/>
    <col min="11532" max="11777" width="11.5703125" style="9"/>
    <col min="11778" max="11778" width="20.5703125" style="9" customWidth="1"/>
    <col min="11779" max="11779" width="16.140625" style="9" customWidth="1"/>
    <col min="11780" max="11780" width="16" style="9" customWidth="1"/>
    <col min="11781" max="11781" width="14.85546875" style="9" customWidth="1"/>
    <col min="11782" max="11782" width="17.28515625" style="9" customWidth="1"/>
    <col min="11783" max="11783" width="13.28515625" style="9" customWidth="1"/>
    <col min="11784" max="11784" width="17.85546875" style="9" customWidth="1"/>
    <col min="11785" max="11785" width="15.140625" style="9" customWidth="1"/>
    <col min="11786" max="11786" width="15.42578125" style="9" customWidth="1"/>
    <col min="11787" max="11787" width="14.85546875" style="9" customWidth="1"/>
    <col min="11788" max="12033" width="11.5703125" style="9"/>
    <col min="12034" max="12034" width="20.5703125" style="9" customWidth="1"/>
    <col min="12035" max="12035" width="16.140625" style="9" customWidth="1"/>
    <col min="12036" max="12036" width="16" style="9" customWidth="1"/>
    <col min="12037" max="12037" width="14.85546875" style="9" customWidth="1"/>
    <col min="12038" max="12038" width="17.28515625" style="9" customWidth="1"/>
    <col min="12039" max="12039" width="13.28515625" style="9" customWidth="1"/>
    <col min="12040" max="12040" width="17.85546875" style="9" customWidth="1"/>
    <col min="12041" max="12041" width="15.140625" style="9" customWidth="1"/>
    <col min="12042" max="12042" width="15.42578125" style="9" customWidth="1"/>
    <col min="12043" max="12043" width="14.85546875" style="9" customWidth="1"/>
    <col min="12044" max="12289" width="11.5703125" style="9"/>
    <col min="12290" max="12290" width="20.5703125" style="9" customWidth="1"/>
    <col min="12291" max="12291" width="16.140625" style="9" customWidth="1"/>
    <col min="12292" max="12292" width="16" style="9" customWidth="1"/>
    <col min="12293" max="12293" width="14.85546875" style="9" customWidth="1"/>
    <col min="12294" max="12294" width="17.28515625" style="9" customWidth="1"/>
    <col min="12295" max="12295" width="13.28515625" style="9" customWidth="1"/>
    <col min="12296" max="12296" width="17.85546875" style="9" customWidth="1"/>
    <col min="12297" max="12297" width="15.140625" style="9" customWidth="1"/>
    <col min="12298" max="12298" width="15.42578125" style="9" customWidth="1"/>
    <col min="12299" max="12299" width="14.85546875" style="9" customWidth="1"/>
    <col min="12300" max="12545" width="11.5703125" style="9"/>
    <col min="12546" max="12546" width="20.5703125" style="9" customWidth="1"/>
    <col min="12547" max="12547" width="16.140625" style="9" customWidth="1"/>
    <col min="12548" max="12548" width="16" style="9" customWidth="1"/>
    <col min="12549" max="12549" width="14.85546875" style="9" customWidth="1"/>
    <col min="12550" max="12550" width="17.28515625" style="9" customWidth="1"/>
    <col min="12551" max="12551" width="13.28515625" style="9" customWidth="1"/>
    <col min="12552" max="12552" width="17.85546875" style="9" customWidth="1"/>
    <col min="12553" max="12553" width="15.140625" style="9" customWidth="1"/>
    <col min="12554" max="12554" width="15.42578125" style="9" customWidth="1"/>
    <col min="12555" max="12555" width="14.85546875" style="9" customWidth="1"/>
    <col min="12556" max="12801" width="11.5703125" style="9"/>
    <col min="12802" max="12802" width="20.5703125" style="9" customWidth="1"/>
    <col min="12803" max="12803" width="16.140625" style="9" customWidth="1"/>
    <col min="12804" max="12804" width="16" style="9" customWidth="1"/>
    <col min="12805" max="12805" width="14.85546875" style="9" customWidth="1"/>
    <col min="12806" max="12806" width="17.28515625" style="9" customWidth="1"/>
    <col min="12807" max="12807" width="13.28515625" style="9" customWidth="1"/>
    <col min="12808" max="12808" width="17.85546875" style="9" customWidth="1"/>
    <col min="12809" max="12809" width="15.140625" style="9" customWidth="1"/>
    <col min="12810" max="12810" width="15.42578125" style="9" customWidth="1"/>
    <col min="12811" max="12811" width="14.85546875" style="9" customWidth="1"/>
    <col min="12812" max="13057" width="11.5703125" style="9"/>
    <col min="13058" max="13058" width="20.5703125" style="9" customWidth="1"/>
    <col min="13059" max="13059" width="16.140625" style="9" customWidth="1"/>
    <col min="13060" max="13060" width="16" style="9" customWidth="1"/>
    <col min="13061" max="13061" width="14.85546875" style="9" customWidth="1"/>
    <col min="13062" max="13062" width="17.28515625" style="9" customWidth="1"/>
    <col min="13063" max="13063" width="13.28515625" style="9" customWidth="1"/>
    <col min="13064" max="13064" width="17.85546875" style="9" customWidth="1"/>
    <col min="13065" max="13065" width="15.140625" style="9" customWidth="1"/>
    <col min="13066" max="13066" width="15.42578125" style="9" customWidth="1"/>
    <col min="13067" max="13067" width="14.85546875" style="9" customWidth="1"/>
    <col min="13068" max="13313" width="11.5703125" style="9"/>
    <col min="13314" max="13314" width="20.5703125" style="9" customWidth="1"/>
    <col min="13315" max="13315" width="16.140625" style="9" customWidth="1"/>
    <col min="13316" max="13316" width="16" style="9" customWidth="1"/>
    <col min="13317" max="13317" width="14.85546875" style="9" customWidth="1"/>
    <col min="13318" max="13318" width="17.28515625" style="9" customWidth="1"/>
    <col min="13319" max="13319" width="13.28515625" style="9" customWidth="1"/>
    <col min="13320" max="13320" width="17.85546875" style="9" customWidth="1"/>
    <col min="13321" max="13321" width="15.140625" style="9" customWidth="1"/>
    <col min="13322" max="13322" width="15.42578125" style="9" customWidth="1"/>
    <col min="13323" max="13323" width="14.85546875" style="9" customWidth="1"/>
    <col min="13324" max="13569" width="11.5703125" style="9"/>
    <col min="13570" max="13570" width="20.5703125" style="9" customWidth="1"/>
    <col min="13571" max="13571" width="16.140625" style="9" customWidth="1"/>
    <col min="13572" max="13572" width="16" style="9" customWidth="1"/>
    <col min="13573" max="13573" width="14.85546875" style="9" customWidth="1"/>
    <col min="13574" max="13574" width="17.28515625" style="9" customWidth="1"/>
    <col min="13575" max="13575" width="13.28515625" style="9" customWidth="1"/>
    <col min="13576" max="13576" width="17.85546875" style="9" customWidth="1"/>
    <col min="13577" max="13577" width="15.140625" style="9" customWidth="1"/>
    <col min="13578" max="13578" width="15.42578125" style="9" customWidth="1"/>
    <col min="13579" max="13579" width="14.85546875" style="9" customWidth="1"/>
    <col min="13580" max="13825" width="11.5703125" style="9"/>
    <col min="13826" max="13826" width="20.5703125" style="9" customWidth="1"/>
    <col min="13827" max="13827" width="16.140625" style="9" customWidth="1"/>
    <col min="13828" max="13828" width="16" style="9" customWidth="1"/>
    <col min="13829" max="13829" width="14.85546875" style="9" customWidth="1"/>
    <col min="13830" max="13830" width="17.28515625" style="9" customWidth="1"/>
    <col min="13831" max="13831" width="13.28515625" style="9" customWidth="1"/>
    <col min="13832" max="13832" width="17.85546875" style="9" customWidth="1"/>
    <col min="13833" max="13833" width="15.140625" style="9" customWidth="1"/>
    <col min="13834" max="13834" width="15.42578125" style="9" customWidth="1"/>
    <col min="13835" max="13835" width="14.85546875" style="9" customWidth="1"/>
    <col min="13836" max="14081" width="11.5703125" style="9"/>
    <col min="14082" max="14082" width="20.5703125" style="9" customWidth="1"/>
    <col min="14083" max="14083" width="16.140625" style="9" customWidth="1"/>
    <col min="14084" max="14084" width="16" style="9" customWidth="1"/>
    <col min="14085" max="14085" width="14.85546875" style="9" customWidth="1"/>
    <col min="14086" max="14086" width="17.28515625" style="9" customWidth="1"/>
    <col min="14087" max="14087" width="13.28515625" style="9" customWidth="1"/>
    <col min="14088" max="14088" width="17.85546875" style="9" customWidth="1"/>
    <col min="14089" max="14089" width="15.140625" style="9" customWidth="1"/>
    <col min="14090" max="14090" width="15.42578125" style="9" customWidth="1"/>
    <col min="14091" max="14091" width="14.85546875" style="9" customWidth="1"/>
    <col min="14092" max="14337" width="11.5703125" style="9"/>
    <col min="14338" max="14338" width="20.5703125" style="9" customWidth="1"/>
    <col min="14339" max="14339" width="16.140625" style="9" customWidth="1"/>
    <col min="14340" max="14340" width="16" style="9" customWidth="1"/>
    <col min="14341" max="14341" width="14.85546875" style="9" customWidth="1"/>
    <col min="14342" max="14342" width="17.28515625" style="9" customWidth="1"/>
    <col min="14343" max="14343" width="13.28515625" style="9" customWidth="1"/>
    <col min="14344" max="14344" width="17.85546875" style="9" customWidth="1"/>
    <col min="14345" max="14345" width="15.140625" style="9" customWidth="1"/>
    <col min="14346" max="14346" width="15.42578125" style="9" customWidth="1"/>
    <col min="14347" max="14347" width="14.85546875" style="9" customWidth="1"/>
    <col min="14348" max="14593" width="11.5703125" style="9"/>
    <col min="14594" max="14594" width="20.5703125" style="9" customWidth="1"/>
    <col min="14595" max="14595" width="16.140625" style="9" customWidth="1"/>
    <col min="14596" max="14596" width="16" style="9" customWidth="1"/>
    <col min="14597" max="14597" width="14.85546875" style="9" customWidth="1"/>
    <col min="14598" max="14598" width="17.28515625" style="9" customWidth="1"/>
    <col min="14599" max="14599" width="13.28515625" style="9" customWidth="1"/>
    <col min="14600" max="14600" width="17.85546875" style="9" customWidth="1"/>
    <col min="14601" max="14601" width="15.140625" style="9" customWidth="1"/>
    <col min="14602" max="14602" width="15.42578125" style="9" customWidth="1"/>
    <col min="14603" max="14603" width="14.85546875" style="9" customWidth="1"/>
    <col min="14604" max="14849" width="11.5703125" style="9"/>
    <col min="14850" max="14850" width="20.5703125" style="9" customWidth="1"/>
    <col min="14851" max="14851" width="16.140625" style="9" customWidth="1"/>
    <col min="14852" max="14852" width="16" style="9" customWidth="1"/>
    <col min="14853" max="14853" width="14.85546875" style="9" customWidth="1"/>
    <col min="14854" max="14854" width="17.28515625" style="9" customWidth="1"/>
    <col min="14855" max="14855" width="13.28515625" style="9" customWidth="1"/>
    <col min="14856" max="14856" width="17.85546875" style="9" customWidth="1"/>
    <col min="14857" max="14857" width="15.140625" style="9" customWidth="1"/>
    <col min="14858" max="14858" width="15.42578125" style="9" customWidth="1"/>
    <col min="14859" max="14859" width="14.85546875" style="9" customWidth="1"/>
    <col min="14860" max="15105" width="11.5703125" style="9"/>
    <col min="15106" max="15106" width="20.5703125" style="9" customWidth="1"/>
    <col min="15107" max="15107" width="16.140625" style="9" customWidth="1"/>
    <col min="15108" max="15108" width="16" style="9" customWidth="1"/>
    <col min="15109" max="15109" width="14.85546875" style="9" customWidth="1"/>
    <col min="15110" max="15110" width="17.28515625" style="9" customWidth="1"/>
    <col min="15111" max="15111" width="13.28515625" style="9" customWidth="1"/>
    <col min="15112" max="15112" width="17.85546875" style="9" customWidth="1"/>
    <col min="15113" max="15113" width="15.140625" style="9" customWidth="1"/>
    <col min="15114" max="15114" width="15.42578125" style="9" customWidth="1"/>
    <col min="15115" max="15115" width="14.85546875" style="9" customWidth="1"/>
    <col min="15116" max="15361" width="11.5703125" style="9"/>
    <col min="15362" max="15362" width="20.5703125" style="9" customWidth="1"/>
    <col min="15363" max="15363" width="16.140625" style="9" customWidth="1"/>
    <col min="15364" max="15364" width="16" style="9" customWidth="1"/>
    <col min="15365" max="15365" width="14.85546875" style="9" customWidth="1"/>
    <col min="15366" max="15366" width="17.28515625" style="9" customWidth="1"/>
    <col min="15367" max="15367" width="13.28515625" style="9" customWidth="1"/>
    <col min="15368" max="15368" width="17.85546875" style="9" customWidth="1"/>
    <col min="15369" max="15369" width="15.140625" style="9" customWidth="1"/>
    <col min="15370" max="15370" width="15.42578125" style="9" customWidth="1"/>
    <col min="15371" max="15371" width="14.85546875" style="9" customWidth="1"/>
    <col min="15372" max="15617" width="11.5703125" style="9"/>
    <col min="15618" max="15618" width="20.5703125" style="9" customWidth="1"/>
    <col min="15619" max="15619" width="16.140625" style="9" customWidth="1"/>
    <col min="15620" max="15620" width="16" style="9" customWidth="1"/>
    <col min="15621" max="15621" width="14.85546875" style="9" customWidth="1"/>
    <col min="15622" max="15622" width="17.28515625" style="9" customWidth="1"/>
    <col min="15623" max="15623" width="13.28515625" style="9" customWidth="1"/>
    <col min="15624" max="15624" width="17.85546875" style="9" customWidth="1"/>
    <col min="15625" max="15625" width="15.140625" style="9" customWidth="1"/>
    <col min="15626" max="15626" width="15.42578125" style="9" customWidth="1"/>
    <col min="15627" max="15627" width="14.85546875" style="9" customWidth="1"/>
    <col min="15628" max="15873" width="11.5703125" style="9"/>
    <col min="15874" max="15874" width="20.5703125" style="9" customWidth="1"/>
    <col min="15875" max="15875" width="16.140625" style="9" customWidth="1"/>
    <col min="15876" max="15876" width="16" style="9" customWidth="1"/>
    <col min="15877" max="15877" width="14.85546875" style="9" customWidth="1"/>
    <col min="15878" max="15878" width="17.28515625" style="9" customWidth="1"/>
    <col min="15879" max="15879" width="13.28515625" style="9" customWidth="1"/>
    <col min="15880" max="15880" width="17.85546875" style="9" customWidth="1"/>
    <col min="15881" max="15881" width="15.140625" style="9" customWidth="1"/>
    <col min="15882" max="15882" width="15.42578125" style="9" customWidth="1"/>
    <col min="15883" max="15883" width="14.85546875" style="9" customWidth="1"/>
    <col min="15884" max="16129" width="11.5703125" style="9"/>
    <col min="16130" max="16130" width="20.5703125" style="9" customWidth="1"/>
    <col min="16131" max="16131" width="16.140625" style="9" customWidth="1"/>
    <col min="16132" max="16132" width="16" style="9" customWidth="1"/>
    <col min="16133" max="16133" width="14.85546875" style="9" customWidth="1"/>
    <col min="16134" max="16134" width="17.28515625" style="9" customWidth="1"/>
    <col min="16135" max="16135" width="13.28515625" style="9" customWidth="1"/>
    <col min="16136" max="16136" width="17.85546875" style="9" customWidth="1"/>
    <col min="16137" max="16137" width="15.140625" style="9" customWidth="1"/>
    <col min="16138" max="16138" width="15.42578125" style="9" customWidth="1"/>
    <col min="16139" max="16139" width="14.85546875" style="9" customWidth="1"/>
    <col min="16140" max="16384" width="11.5703125" style="9"/>
  </cols>
  <sheetData>
    <row r="1" spans="2:11">
      <c r="B1" s="2090"/>
      <c r="C1" s="2090"/>
      <c r="D1" s="2090"/>
      <c r="E1" s="2090"/>
      <c r="F1" s="2090"/>
      <c r="G1" s="2090"/>
      <c r="H1" s="2090"/>
      <c r="I1" s="2090"/>
      <c r="J1" s="2090"/>
      <c r="K1" s="2090"/>
    </row>
    <row r="2" spans="2:11" ht="28.5" customHeight="1">
      <c r="B2" s="1159"/>
      <c r="C2" s="1159"/>
      <c r="D2" s="1159"/>
      <c r="E2" s="1159"/>
      <c r="J2" s="2091" t="str">
        <f>IF([1]ACCUEIL!B1=1,"NOTE 28 C
NORMAL SYSTEM","NOTE 28 C
SYSTEME NORMAL")</f>
        <v>NOTE 28 C
SYSTEME NORMAL</v>
      </c>
      <c r="K2" s="2092"/>
    </row>
    <row r="3" spans="2:11">
      <c r="B3" s="115" t="str">
        <f>'NOTE 28 B'!B3</f>
        <v>Désignation entité:</v>
      </c>
      <c r="C3" s="1160" t="str">
        <f>+'NOTE 28 B'!D3</f>
        <v/>
      </c>
      <c r="D3" s="40"/>
      <c r="E3" s="1160"/>
      <c r="F3" s="1160"/>
      <c r="G3" s="1160"/>
      <c r="H3" s="1160"/>
    </row>
    <row r="4" spans="2:11">
      <c r="B4" s="115" t="str">
        <f>'NOTE 28 B'!B4</f>
        <v>Sigle usuel :</v>
      </c>
      <c r="C4" s="1101" t="str">
        <f>+'NOTE 28 B'!D4</f>
        <v/>
      </c>
      <c r="D4" s="1101"/>
      <c r="E4" s="1161"/>
      <c r="F4" s="1161"/>
      <c r="G4" s="1161"/>
      <c r="H4" s="1162"/>
      <c r="I4" s="44"/>
      <c r="J4" s="1101"/>
      <c r="K4" s="1101"/>
    </row>
    <row r="5" spans="2:11">
      <c r="B5" s="115" t="str">
        <f>'NOTE 28 B'!B5</f>
        <v>Adresse:</v>
      </c>
      <c r="C5" s="1161">
        <f>+'NOTE 28 B'!D5</f>
        <v>0</v>
      </c>
      <c r="D5" s="1161"/>
      <c r="E5" s="1161"/>
      <c r="F5" s="1161"/>
      <c r="G5" s="1101"/>
      <c r="H5" s="1101"/>
      <c r="I5" s="1101"/>
      <c r="J5" s="1163" t="str">
        <f>'NOTE 28 B'!K5</f>
        <v>BP:</v>
      </c>
      <c r="K5" s="1164" t="str">
        <f>+'NOTE 28 B'!L5</f>
        <v/>
      </c>
    </row>
    <row r="6" spans="2:11">
      <c r="B6" s="115" t="str">
        <f>'NOTE 28 B'!B6</f>
        <v>Numéro d'identification:</v>
      </c>
      <c r="C6" s="1165" t="str">
        <f>+'NOTE 28 B'!D6</f>
        <v/>
      </c>
      <c r="D6" s="1161"/>
      <c r="E6" s="1101"/>
      <c r="F6" s="1101"/>
      <c r="G6" s="44"/>
      <c r="H6" s="126" t="str">
        <f>'NOTE 28 B'!G6</f>
        <v xml:space="preserve">   Exercice clos le 31 - 12- </v>
      </c>
      <c r="I6" s="1166">
        <f>+'NOTE 28 B'!I6</f>
        <v>2025</v>
      </c>
      <c r="J6" s="126" t="str">
        <f>'NOTE 28 B'!J6:K6</f>
        <v xml:space="preserve">    Durée (en mois):</v>
      </c>
      <c r="K6" s="1164">
        <f>+'NOTE 28 B'!L6</f>
        <v>12</v>
      </c>
    </row>
    <row r="7" spans="2:11">
      <c r="B7" s="1167"/>
      <c r="C7" s="1167"/>
      <c r="D7" s="1168"/>
      <c r="E7" s="1169"/>
      <c r="F7" s="1170"/>
      <c r="G7" s="1171"/>
      <c r="H7" s="1171"/>
      <c r="I7" s="1172"/>
      <c r="J7" s="1169"/>
      <c r="K7" s="1169"/>
    </row>
    <row r="8" spans="2:11" ht="19.5" customHeight="1">
      <c r="B8" s="2093" t="str">
        <f>IF([1]ACCUEIL!B1=1,"NOTE 28 C: OTHER DEPRECIATIONS","NOTE 28 C : AUTRES DEPRECIATIONS")</f>
        <v>NOTE 28 C : AUTRES DEPRECIATIONS</v>
      </c>
      <c r="C8" s="2093"/>
      <c r="D8" s="2093"/>
      <c r="E8" s="2093"/>
      <c r="F8" s="2093"/>
      <c r="G8" s="2093"/>
      <c r="H8" s="2093"/>
      <c r="I8" s="2093"/>
      <c r="J8" s="2093"/>
      <c r="K8" s="2093"/>
    </row>
    <row r="10" spans="2:11">
      <c r="B10" s="2067" t="str">
        <f>'NOTE 28 B'!B10:D10</f>
        <v>SITUATIONS ET MOUVEMENTS</v>
      </c>
      <c r="C10" s="2069"/>
      <c r="D10" s="1173" t="s">
        <v>92</v>
      </c>
      <c r="E10" s="2071" t="s">
        <v>100</v>
      </c>
      <c r="F10" s="2094"/>
      <c r="G10" s="2072"/>
      <c r="H10" s="2071" t="s">
        <v>102</v>
      </c>
      <c r="I10" s="2094"/>
      <c r="J10" s="2072"/>
      <c r="K10" s="1173" t="s">
        <v>300</v>
      </c>
    </row>
    <row r="11" spans="2:11" ht="20.25" customHeight="1">
      <c r="B11" s="2095"/>
      <c r="C11" s="2057"/>
      <c r="D11" s="2096" t="str">
        <f>IF([1]ACCUEIL!B1=1,"DEPRECIATION AT THE OPENING OF THE FINANCIAL YEAR","DEPRECIATION À L'OUVERTURE DE L'EXERCICE")</f>
        <v>DEPRECIATION À L'OUVERTURE DE L'EXERCICE</v>
      </c>
      <c r="E11" s="2071" t="str">
        <f>IF([1]ACCUEIL!B1=1,"INCREASES: ENDOWMENTS","AUGMENTATIONS: DOTATIONS")</f>
        <v>AUGMENTATIONS: DOTATIONS</v>
      </c>
      <c r="F11" s="2094"/>
      <c r="G11" s="2072"/>
      <c r="H11" s="2071" t="s">
        <v>301</v>
      </c>
      <c r="I11" s="2094"/>
      <c r="J11" s="2072"/>
      <c r="K11" s="2096" t="str">
        <f>IF([1]ACCUEIL!B1=1,"DEPRECIATION AT THE END OF THE YEAR","DÉPRÉCIATION À LA CLÔTURE DE L'EXERCICE")</f>
        <v>DÉPRÉCIATION À LA CLÔTURE DE L'EXERCICE</v>
      </c>
    </row>
    <row r="12" spans="2:11" ht="30" customHeight="1">
      <c r="B12" s="2095"/>
      <c r="C12" s="2057"/>
      <c r="D12" s="2097"/>
      <c r="E12" s="2099" t="str">
        <f>'NOTE 28 A'!G10</f>
        <v>D'EXPLOITATION</v>
      </c>
      <c r="F12" s="2099" t="str">
        <f>'NOTE 28 A'!H10</f>
        <v>FINANCIÈRES</v>
      </c>
      <c r="G12" s="2096" t="str">
        <f>'NOTE 28 A'!I10</f>
        <v>HORS ACTIVITÉS
ORDINAIRES</v>
      </c>
      <c r="H12" s="2099" t="str">
        <f>E12</f>
        <v>D'EXPLOITATION</v>
      </c>
      <c r="I12" s="2099" t="str">
        <f>F12</f>
        <v>FINANCIÈRES</v>
      </c>
      <c r="J12" s="2096" t="str">
        <f>G12</f>
        <v>HORS ACTIVITÉS
ORDINAIRES</v>
      </c>
      <c r="K12" s="2097"/>
    </row>
    <row r="13" spans="2:11" s="118" customFormat="1" ht="33.6" customHeight="1">
      <c r="B13" s="2100" t="str">
        <f>IF([1]ACCUEIL!B1=1,"NATURE OF OTHER DEPRECIATIONS","NATURE DES AUTRES DÉPRÉCIATIONS")</f>
        <v>NATURE DES AUTRES DÉPRÉCIATIONS</v>
      </c>
      <c r="C13" s="2101"/>
      <c r="D13" s="2098"/>
      <c r="E13" s="1990"/>
      <c r="F13" s="1990"/>
      <c r="G13" s="2098"/>
      <c r="H13" s="1990"/>
      <c r="I13" s="1990"/>
      <c r="J13" s="2098"/>
      <c r="K13" s="2098"/>
    </row>
    <row r="14" spans="2:11" s="1178" customFormat="1" ht="24.95" customHeight="1">
      <c r="B14" s="1174" t="str">
        <f>IF([1]ACCUEIL!B1=1,"Depreciation of stocks","Dépréciation des stocks")</f>
        <v>Dépréciation des stocks</v>
      </c>
      <c r="C14" s="1175"/>
      <c r="D14" s="1176">
        <f>SUM('[1]CLASSE 3'!F127:F134)</f>
        <v>0</v>
      </c>
      <c r="E14" s="1176">
        <f>SUM('[1]CLASSE 3'!H127:H134)</f>
        <v>0</v>
      </c>
      <c r="F14" s="1177"/>
      <c r="G14" s="1177"/>
      <c r="H14" s="1176">
        <f>SUM('[1]CLASSE 3'!G127:G134)</f>
        <v>0</v>
      </c>
      <c r="I14" s="1177"/>
      <c r="J14" s="1177"/>
      <c r="K14" s="1176">
        <f>SUM('[1]CLASSE 3'!J127:J134)</f>
        <v>0</v>
      </c>
    </row>
    <row r="15" spans="2:11" s="1178" customFormat="1" ht="24.95" customHeight="1">
      <c r="B15" s="1174" t="str">
        <f>IF([1]ACCUEIL!B1=1,"Impairment of assets in circulation EOA","Dépréciation actifs circulant HAO")</f>
        <v>Dépréciation actifs circulant HAO</v>
      </c>
      <c r="C15" s="1175"/>
      <c r="D15" s="1176">
        <f>'[1]CLASSE 4'!F476</f>
        <v>0</v>
      </c>
      <c r="E15" s="1176"/>
      <c r="F15" s="1177"/>
      <c r="G15" s="1176">
        <f>'[1]CLASSE 4'!H476</f>
        <v>0</v>
      </c>
      <c r="H15" s="1176"/>
      <c r="I15" s="1177"/>
      <c r="J15" s="1176">
        <f>'[1]CLASSE 4'!G476</f>
        <v>0</v>
      </c>
      <c r="K15" s="1176">
        <f>'[1]CLASSE 4'!J476</f>
        <v>0</v>
      </c>
    </row>
    <row r="16" spans="2:11" s="1178" customFormat="1" ht="24.95" customHeight="1">
      <c r="B16" s="1174" t="str">
        <f>IF([1]ACCUEIL!B1=1,"Supplier depreciation","Dépréciation fournisseurs")</f>
        <v>Dépréciation fournisseurs</v>
      </c>
      <c r="C16" s="1175"/>
      <c r="D16" s="1176">
        <f>+'[1]CLASSE 4'!F449</f>
        <v>0</v>
      </c>
      <c r="E16" s="1176">
        <f>+'[1]CLASSE 4'!H449</f>
        <v>0</v>
      </c>
      <c r="F16" s="1177"/>
      <c r="G16" s="1177"/>
      <c r="H16" s="1176">
        <f>+'[1]CLASSE 4'!G449</f>
        <v>0</v>
      </c>
      <c r="I16" s="1177"/>
      <c r="J16" s="1177"/>
      <c r="K16" s="1176">
        <f>+'[1]CLASSE 4'!J449</f>
        <v>0</v>
      </c>
    </row>
    <row r="17" spans="2:11" s="1178" customFormat="1" ht="24.95" customHeight="1">
      <c r="B17" s="1174" t="str">
        <f>IF([1]ACCUEIL!B1=1,"Customer depreciation","Dépréciation clients")</f>
        <v>Dépréciation clients</v>
      </c>
      <c r="C17" s="1175"/>
      <c r="D17" s="1176">
        <f>+'[1]CLASSE 4'!F455</f>
        <v>0</v>
      </c>
      <c r="E17" s="1176">
        <f>+'[1]CLASSE 4'!H455</f>
        <v>0</v>
      </c>
      <c r="F17" s="1177"/>
      <c r="G17" s="1177"/>
      <c r="H17" s="1176">
        <f>+'[1]CLASSE 4'!G455</f>
        <v>0</v>
      </c>
      <c r="I17" s="1177"/>
      <c r="J17" s="1177"/>
      <c r="K17" s="1176">
        <f>+'[1]CLASSE 4'!J455</f>
        <v>0</v>
      </c>
    </row>
    <row r="18" spans="2:11" s="1178" customFormat="1" ht="24.95" customHeight="1">
      <c r="B18" s="1174" t="str">
        <f>IF([1]ACCUEIL!B1=1,"Impairment of other receivables","Dépréciation des autres créances")</f>
        <v>Dépréciation des autres créances</v>
      </c>
      <c r="C18" s="1175"/>
      <c r="D18" s="1176">
        <f>+'[1]CLASSE 4'!F460+'[1]CLASSE 4'!F467+'[1]CLASSE 4'!F468</f>
        <v>0</v>
      </c>
      <c r="E18" s="1176">
        <f>+'[1]CLASSE 4'!H460+'[1]CLASSE 4'!H467+'[1]CLASSE 4'!H468</f>
        <v>0</v>
      </c>
      <c r="F18" s="1177"/>
      <c r="G18" s="1177"/>
      <c r="H18" s="1176">
        <f>+'[1]CLASSE 4'!G460+'[1]CLASSE 4'!G467+'[1]CLASSE 4'!G468</f>
        <v>0</v>
      </c>
      <c r="I18" s="1177"/>
      <c r="J18" s="1177"/>
      <c r="K18" s="1176">
        <f>+'[1]CLASSE 4'!J460+'[1]CLASSE 4'!J467+'[1]CLASSE 4'!J468</f>
        <v>0</v>
      </c>
    </row>
    <row r="19" spans="2:11" s="1178" customFormat="1" ht="24.95" customHeight="1">
      <c r="B19" s="1174" t="str">
        <f>IF([1]ACCUEIL!B1=1,"Depreciation of investment securities","Dépréciations titres de placements")</f>
        <v>Dépréciations titres de placements</v>
      </c>
      <c r="C19" s="1175"/>
      <c r="D19" s="1176">
        <f>+'[1]CLASSE 5'!F134</f>
        <v>0</v>
      </c>
      <c r="E19" s="1177"/>
      <c r="F19" s="1176">
        <f>+'[1]CLASSE 5'!H134</f>
        <v>0</v>
      </c>
      <c r="G19" s="1177"/>
      <c r="H19" s="1177"/>
      <c r="I19" s="1176">
        <f>+'[1]CLASSE 5'!G134</f>
        <v>0</v>
      </c>
      <c r="J19" s="1177"/>
      <c r="K19" s="1176">
        <f>+'[1]CLASSE 5'!J134</f>
        <v>0</v>
      </c>
    </row>
    <row r="20" spans="2:11" s="1178" customFormat="1" ht="24.95" customHeight="1">
      <c r="B20" s="1174" t="str">
        <f>IF([1]ACCUEIL!B1=1,"Depreciation of securities to be cashed","Dépréciation valeurs à encaisser")</f>
        <v>Dépréciation valeurs à encaisser</v>
      </c>
      <c r="C20" s="1175"/>
      <c r="D20" s="1176">
        <f>+'[1]CLASSE 5'!F135</f>
        <v>0</v>
      </c>
      <c r="E20" s="1177"/>
      <c r="F20" s="1176">
        <f>+'[1]CLASSE 5'!H135</f>
        <v>0</v>
      </c>
      <c r="G20" s="1177"/>
      <c r="H20" s="1177"/>
      <c r="I20" s="1176">
        <f>+'[1]CLASSE 5'!G135</f>
        <v>0</v>
      </c>
      <c r="J20" s="1177"/>
      <c r="K20" s="1176">
        <f>+'[1]CLASSE 5'!J135</f>
        <v>0</v>
      </c>
    </row>
    <row r="21" spans="2:11" s="1178" customFormat="1" ht="24.95" customHeight="1">
      <c r="B21" s="1174" t="str">
        <f>IF([1]ACCUEIL!B1=1,"Depreciation of availability","Dépréciation disponibilités")</f>
        <v>Dépréciation disponibilités</v>
      </c>
      <c r="C21" s="1175"/>
      <c r="D21" s="1176">
        <f>+SUM('[1]CLASSE 5'!F136:F138)</f>
        <v>0</v>
      </c>
      <c r="E21" s="1177"/>
      <c r="F21" s="1176">
        <f>+SUM('[1]CLASSE 5'!H136:H138)</f>
        <v>0</v>
      </c>
      <c r="G21" s="1177"/>
      <c r="H21" s="1177"/>
      <c r="I21" s="1176">
        <f>+SUM('[1]CLASSE 5'!G136:G138)</f>
        <v>0</v>
      </c>
      <c r="J21" s="1177"/>
      <c r="K21" s="1176">
        <f>+SUM('[1]CLASSE 5'!J136:J138)</f>
        <v>0</v>
      </c>
    </row>
    <row r="22" spans="2:11" s="1178" customFormat="1" ht="24.95" customHeight="1">
      <c r="B22" s="1154" t="str">
        <f>IF([1]ACCUEIL!B1=1,"TOTAL OTHER DEPRECIATION","TOTAL DES AUTRES DÉPRÉCIATIONS")</f>
        <v>TOTAL DES AUTRES DÉPRÉCIATIONS</v>
      </c>
      <c r="C22" s="1155"/>
      <c r="D22" s="1094">
        <f>SUM(D14:D21)</f>
        <v>0</v>
      </c>
      <c r="E22" s="1094">
        <f t="shared" ref="E22:K22" si="0">SUM(E14:E21)</f>
        <v>0</v>
      </c>
      <c r="F22" s="1094">
        <f t="shared" si="0"/>
        <v>0</v>
      </c>
      <c r="G22" s="1094">
        <f t="shared" si="0"/>
        <v>0</v>
      </c>
      <c r="H22" s="1094">
        <f t="shared" si="0"/>
        <v>0</v>
      </c>
      <c r="I22" s="1094">
        <f t="shared" si="0"/>
        <v>0</v>
      </c>
      <c r="J22" s="1094">
        <f t="shared" si="0"/>
        <v>0</v>
      </c>
      <c r="K22" s="1094">
        <f t="shared" si="0"/>
        <v>0</v>
      </c>
    </row>
    <row r="25" spans="2:11" ht="18.600000000000001" customHeight="1">
      <c r="B25" s="822" t="str">
        <f>'NOTE 28 B'!B34:C34</f>
        <v>COMMENTAIRE</v>
      </c>
      <c r="C25" s="1733">
        <f>'[1]NOTE 28 C'!C25:K25</f>
        <v>0</v>
      </c>
      <c r="D25" s="1733"/>
      <c r="E25" s="1733"/>
      <c r="F25" s="1733"/>
      <c r="G25" s="1733"/>
      <c r="H25" s="1733"/>
      <c r="I25" s="1733"/>
      <c r="J25" s="1733"/>
      <c r="K25" s="1733"/>
    </row>
    <row r="26" spans="2:11" ht="18.600000000000001" customHeight="1">
      <c r="C26" s="1733">
        <f>'[1]NOTE 28 C'!C26:K26</f>
        <v>0</v>
      </c>
      <c r="D26" s="1733"/>
      <c r="E26" s="1733"/>
      <c r="F26" s="1733"/>
      <c r="G26" s="1733"/>
      <c r="H26" s="1733"/>
      <c r="I26" s="1733"/>
      <c r="J26" s="1733"/>
      <c r="K26" s="1733"/>
    </row>
    <row r="27" spans="2:11" ht="18.600000000000001" customHeight="1">
      <c r="C27" s="1733">
        <f>'[1]NOTE 28 C'!C27:K27</f>
        <v>0</v>
      </c>
      <c r="D27" s="1733"/>
      <c r="E27" s="1733"/>
      <c r="F27" s="1733"/>
      <c r="G27" s="1733"/>
      <c r="H27" s="1733"/>
      <c r="I27" s="1733"/>
      <c r="J27" s="1733"/>
      <c r="K27" s="1733"/>
    </row>
    <row r="28" spans="2:11" ht="18.600000000000001" customHeight="1">
      <c r="C28" s="1733">
        <f>'[1]NOTE 28 C'!C28:K28</f>
        <v>0</v>
      </c>
      <c r="D28" s="1733"/>
      <c r="E28" s="1733"/>
      <c r="F28" s="1733"/>
      <c r="G28" s="1733"/>
      <c r="H28" s="1733"/>
      <c r="I28" s="1733"/>
      <c r="J28" s="1733"/>
      <c r="K28" s="1733"/>
    </row>
    <row r="29" spans="2:11" ht="18.600000000000001" customHeight="1">
      <c r="C29" s="1733">
        <f>'[1]NOTE 28 C'!C29:K29</f>
        <v>0</v>
      </c>
      <c r="D29" s="1733"/>
      <c r="E29" s="1733"/>
      <c r="F29" s="1733"/>
      <c r="G29" s="1733"/>
      <c r="H29" s="1733"/>
      <c r="I29" s="1733"/>
      <c r="J29" s="1733"/>
      <c r="K29" s="1733"/>
    </row>
    <row r="30" spans="2:11" ht="18.600000000000001" customHeight="1">
      <c r="C30" s="1733">
        <f>'[1]NOTE 28 C'!C30:K30</f>
        <v>0</v>
      </c>
      <c r="D30" s="1733"/>
      <c r="E30" s="1733"/>
      <c r="F30" s="1733"/>
      <c r="G30" s="1733"/>
      <c r="H30" s="1733"/>
      <c r="I30" s="1733"/>
      <c r="J30" s="1733"/>
      <c r="K30" s="1733"/>
    </row>
    <row r="31" spans="2:11" ht="18.600000000000001" customHeight="1">
      <c r="C31" s="1733">
        <f>'[1]NOTE 28 C'!C31:K31</f>
        <v>0</v>
      </c>
      <c r="D31" s="1733"/>
      <c r="E31" s="1733"/>
      <c r="F31" s="1733"/>
      <c r="G31" s="1733"/>
      <c r="H31" s="1733"/>
      <c r="I31" s="1733"/>
      <c r="J31" s="1733"/>
      <c r="K31" s="1733"/>
    </row>
    <row r="32" spans="2:11" ht="18.600000000000001" customHeight="1">
      <c r="C32" s="1733">
        <f>'[1]NOTE 28 C'!C32:K32</f>
        <v>0</v>
      </c>
      <c r="D32" s="1733"/>
      <c r="E32" s="1733"/>
      <c r="F32" s="1733"/>
      <c r="G32" s="1733"/>
      <c r="H32" s="1733"/>
      <c r="I32" s="1733"/>
      <c r="J32" s="1733"/>
      <c r="K32" s="1733"/>
    </row>
    <row r="33" spans="3:11" ht="18.600000000000001" customHeight="1">
      <c r="C33" s="1733">
        <f>'[1]NOTE 28 C'!C33:K33</f>
        <v>0</v>
      </c>
      <c r="D33" s="1733"/>
      <c r="E33" s="1733"/>
      <c r="F33" s="1733"/>
      <c r="G33" s="1733"/>
      <c r="H33" s="1733"/>
      <c r="I33" s="1733"/>
      <c r="J33" s="1733"/>
      <c r="K33" s="1733"/>
    </row>
    <row r="34" spans="3:11" ht="18.600000000000001" customHeight="1">
      <c r="C34" s="1733">
        <f>'[1]NOTE 28 C'!C34:K34</f>
        <v>0</v>
      </c>
      <c r="D34" s="1733"/>
      <c r="E34" s="1733"/>
      <c r="F34" s="1733"/>
      <c r="G34" s="1733"/>
      <c r="H34" s="1733"/>
      <c r="I34" s="1733"/>
      <c r="J34" s="1733"/>
      <c r="K34" s="1733"/>
    </row>
    <row r="35" spans="3:11" ht="18.600000000000001" customHeight="1">
      <c r="C35" s="1733">
        <f>'[1]NOTE 28 C'!C35:K35</f>
        <v>0</v>
      </c>
      <c r="D35" s="1733"/>
      <c r="E35" s="1733"/>
      <c r="F35" s="1733"/>
      <c r="G35" s="1733"/>
      <c r="H35" s="1733"/>
      <c r="I35" s="1733"/>
      <c r="J35" s="1733"/>
      <c r="K35" s="1733"/>
    </row>
    <row r="36" spans="3:11" ht="18.600000000000001" customHeight="1">
      <c r="C36" s="1733">
        <f>'[1]NOTE 28 C'!C36:K36</f>
        <v>0</v>
      </c>
      <c r="D36" s="1733"/>
      <c r="E36" s="1733"/>
      <c r="F36" s="1733"/>
      <c r="G36" s="1733"/>
      <c r="H36" s="1733"/>
      <c r="I36" s="1733"/>
      <c r="J36" s="1733"/>
      <c r="K36" s="1733"/>
    </row>
    <row r="37" spans="3:11" ht="18.600000000000001" customHeight="1">
      <c r="C37" s="1733">
        <f>'[1]NOTE 28 C'!C37:K37</f>
        <v>0</v>
      </c>
      <c r="D37" s="1733"/>
      <c r="E37" s="1733"/>
      <c r="F37" s="1733"/>
      <c r="G37" s="1733"/>
      <c r="H37" s="1733"/>
      <c r="I37" s="1733"/>
      <c r="J37" s="1733"/>
      <c r="K37" s="1733"/>
    </row>
    <row r="38" spans="3:11" ht="18.600000000000001" customHeight="1">
      <c r="C38" s="1733">
        <f>'[1]NOTE 28 C'!C38:K38</f>
        <v>0</v>
      </c>
      <c r="D38" s="1733"/>
      <c r="E38" s="1733"/>
      <c r="F38" s="1733"/>
      <c r="G38" s="1733"/>
      <c r="H38" s="1733"/>
      <c r="I38" s="1733"/>
      <c r="J38" s="1733"/>
      <c r="K38" s="1733"/>
    </row>
    <row r="39" spans="3:11" ht="18.600000000000001" customHeight="1">
      <c r="C39" s="1733">
        <f>'[1]NOTE 28 C'!C39:K39</f>
        <v>0</v>
      </c>
      <c r="D39" s="1733"/>
      <c r="E39" s="1733"/>
      <c r="F39" s="1733"/>
      <c r="G39" s="1733"/>
      <c r="H39" s="1733"/>
      <c r="I39" s="1733"/>
      <c r="J39" s="1733"/>
      <c r="K39" s="1733"/>
    </row>
  </sheetData>
  <sheetProtection selectLockedCells="1"/>
  <mergeCells count="34">
    <mergeCell ref="C39:K39"/>
    <mergeCell ref="C28:K28"/>
    <mergeCell ref="C29:K29"/>
    <mergeCell ref="C30:K30"/>
    <mergeCell ref="C31:K31"/>
    <mergeCell ref="C32:K32"/>
    <mergeCell ref="C33:K33"/>
    <mergeCell ref="C34:K34"/>
    <mergeCell ref="C35:K35"/>
    <mergeCell ref="C36:K36"/>
    <mergeCell ref="C37:K37"/>
    <mergeCell ref="C38:K38"/>
    <mergeCell ref="C27:K27"/>
    <mergeCell ref="B11:C11"/>
    <mergeCell ref="D11:D13"/>
    <mergeCell ref="E11:G11"/>
    <mergeCell ref="H11:J11"/>
    <mergeCell ref="K11:K13"/>
    <mergeCell ref="B12:C12"/>
    <mergeCell ref="E12:E13"/>
    <mergeCell ref="F12:F13"/>
    <mergeCell ref="G12:G13"/>
    <mergeCell ref="H12:H13"/>
    <mergeCell ref="I12:I13"/>
    <mergeCell ref="J12:J13"/>
    <mergeCell ref="B13:C13"/>
    <mergeCell ref="C25:K25"/>
    <mergeCell ref="C26:K26"/>
    <mergeCell ref="B1:K1"/>
    <mergeCell ref="J2:K2"/>
    <mergeCell ref="B8:K8"/>
    <mergeCell ref="B10:C10"/>
    <mergeCell ref="E10:G10"/>
    <mergeCell ref="H10:J10"/>
  </mergeCells>
  <printOptions horizontalCentered="1"/>
  <pageMargins left="0.78740157480314965" right="0" top="0.59055118110236227" bottom="0.19685039370078741" header="0.31496062992125984" footer="0.31496062992125984"/>
  <pageSetup paperSize="9" scale="69" orientation="landscape" r:id="rId1"/>
  <headerFooter>
    <oddHeader>&amp;C&amp;"-,Gras"&amp;14Page &amp;P / &amp;N</oddHead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Feuil56">
    <pageSetUpPr fitToPage="1"/>
  </sheetPr>
  <dimension ref="A1:L44"/>
  <sheetViews>
    <sheetView showGridLines="0" showZeros="0" topLeftCell="A7" zoomScale="70" zoomScaleNormal="70" zoomScaleSheetLayoutView="106" workbookViewId="0">
      <selection activeCell="B22" sqref="B22"/>
    </sheetView>
  </sheetViews>
  <sheetFormatPr baseColWidth="10" defaultColWidth="11.42578125" defaultRowHeight="15.75"/>
  <cols>
    <col min="1" max="1" width="4.5703125" style="9" customWidth="1"/>
    <col min="2" max="2" width="24.5703125" style="9" customWidth="1"/>
    <col min="3" max="3" width="24.28515625" style="9" customWidth="1"/>
    <col min="4" max="4" width="30.140625" style="9" customWidth="1"/>
    <col min="5" max="5" width="1.42578125" style="9" customWidth="1"/>
    <col min="6" max="6" width="18.85546875" style="9" customWidth="1"/>
    <col min="7" max="7" width="18" style="9" bestFit="1" customWidth="1"/>
    <col min="8" max="8" width="16.42578125" style="9" customWidth="1"/>
    <col min="9" max="12" width="0" style="9" hidden="1" customWidth="1"/>
    <col min="13" max="16384" width="11.42578125" style="9"/>
  </cols>
  <sheetData>
    <row r="1" spans="2:12">
      <c r="B1" s="1977"/>
      <c r="C1" s="1977"/>
      <c r="D1" s="1977"/>
      <c r="E1" s="1977"/>
      <c r="F1" s="1977"/>
      <c r="G1" s="1977"/>
      <c r="H1" s="1977"/>
    </row>
    <row r="2" spans="2:12" ht="15" customHeight="1">
      <c r="B2" s="118"/>
      <c r="C2" s="118"/>
      <c r="D2" s="118"/>
      <c r="E2" s="118"/>
      <c r="F2" s="118"/>
      <c r="G2" s="2102" t="str">
        <f>IF([1]ACCUEIL!B1=1,"NOTE 29
NORMAL SYSTEM","NOTE 29
SYSTEME NORMAL")</f>
        <v>NOTE 29
SYSTEME NORMAL</v>
      </c>
      <c r="H2" s="2103"/>
    </row>
    <row r="3" spans="2:12">
      <c r="B3" s="118"/>
      <c r="C3" s="118"/>
      <c r="D3" s="1179"/>
      <c r="E3" s="1179"/>
      <c r="F3" s="118"/>
      <c r="G3" s="2104"/>
      <c r="H3" s="2105"/>
    </row>
    <row r="4" spans="2:12">
      <c r="B4" s="127" t="str">
        <f>'NOTE 28 C'!B3</f>
        <v>Désignation entité:</v>
      </c>
      <c r="C4" s="1105" t="str">
        <f>+'NOTE 28 C'!C3</f>
        <v/>
      </c>
      <c r="D4" s="1105"/>
      <c r="E4" s="1105"/>
      <c r="F4" s="1180"/>
      <c r="G4" s="1180"/>
      <c r="H4" s="1107"/>
    </row>
    <row r="5" spans="2:12">
      <c r="B5" s="127" t="str">
        <f>'NOTE 28 C'!B4</f>
        <v>Sigle usuel :</v>
      </c>
      <c r="C5" s="1103" t="str">
        <f>+'NOTE 28 C'!C4</f>
        <v/>
      </c>
      <c r="D5" s="1181"/>
      <c r="E5" s="1182"/>
      <c r="F5" s="1183"/>
      <c r="G5" s="1182"/>
      <c r="H5" s="1182"/>
    </row>
    <row r="6" spans="2:12">
      <c r="B6" s="127" t="str">
        <f>'NOTE 28 C'!B5</f>
        <v>Adresse:</v>
      </c>
      <c r="C6" s="1103">
        <f>+'NOTE 28 C'!C5</f>
        <v>0</v>
      </c>
      <c r="D6" s="1181"/>
      <c r="E6" s="1181"/>
      <c r="F6" s="1181"/>
      <c r="G6" s="1106" t="str">
        <f>'NOTE 28 C'!J5</f>
        <v>BP:</v>
      </c>
      <c r="H6" s="1103" t="str">
        <f>+'NOTE 28 C'!K5</f>
        <v/>
      </c>
    </row>
    <row r="7" spans="2:12" ht="20.25" customHeight="1">
      <c r="B7" s="127" t="str">
        <f>'NOTE 28 C'!B6</f>
        <v>Numéro d'identification:</v>
      </c>
      <c r="C7" s="1103" t="str">
        <f>+'NOTE 28 C'!C6</f>
        <v/>
      </c>
      <c r="D7" s="2106" t="str">
        <f>'NOTE 28 C'!H6</f>
        <v xml:space="preserve">   Exercice clos le 31 - 12- </v>
      </c>
      <c r="E7" s="2106"/>
      <c r="F7" s="1105">
        <f>+'NOTE 28 C'!I6</f>
        <v>2025</v>
      </c>
      <c r="G7" s="126" t="str">
        <f>'NOTE 28 C'!J6</f>
        <v xml:space="preserve">    Durée (en mois):</v>
      </c>
      <c r="H7" s="1103">
        <f>+'NOTE 28 C'!K6</f>
        <v>12</v>
      </c>
    </row>
    <row r="8" spans="2:12">
      <c r="B8" s="118"/>
      <c r="C8" s="118"/>
      <c r="D8" s="118"/>
      <c r="E8" s="118"/>
      <c r="F8" s="1184"/>
      <c r="G8" s="1184"/>
      <c r="H8" s="1184"/>
    </row>
    <row r="9" spans="2:12" ht="24" customHeight="1">
      <c r="B9" s="1807" t="str">
        <f>IF([1]ACCUEIL!B1=1,"NOTE 29 FINANCIAL EXPENSES AND REVENUES","NOTE 29 CHARGES ET REVENUS FINANCIERS")</f>
        <v>NOTE 29 CHARGES ET REVENUS FINANCIERS</v>
      </c>
      <c r="C9" s="1807"/>
      <c r="D9" s="1807"/>
      <c r="E9" s="1807"/>
      <c r="F9" s="1807"/>
      <c r="G9" s="1807"/>
      <c r="H9" s="1807"/>
    </row>
    <row r="10" spans="2:12" ht="30.6" customHeight="1">
      <c r="B10" s="1969" t="str">
        <f>'NOTE 27 A'!B10:D10</f>
        <v xml:space="preserve">      RUBRIQUES</v>
      </c>
      <c r="C10" s="1970"/>
      <c r="D10" s="1970"/>
      <c r="E10" s="1971"/>
      <c r="F10" s="1185" t="str">
        <f>'NOTE 27 A'!E10</f>
        <v>Année 2025</v>
      </c>
      <c r="G10" s="1185" t="str">
        <f>'NOTE 27 A'!F10</f>
        <v>Année 2024</v>
      </c>
      <c r="H10" s="1193" t="str">
        <f>'NOTE 27 A'!G10</f>
        <v xml:space="preserve">Variation en % </v>
      </c>
    </row>
    <row r="11" spans="2:12" s="559" customFormat="1" ht="24.95" customHeight="1">
      <c r="B11" s="1110" t="str">
        <f>IF([1]ACCUEIL!B1=1,"Interest on loans","Intérêt des emprunts")</f>
        <v>Intérêt des emprunts</v>
      </c>
      <c r="C11" s="1188"/>
      <c r="D11" s="1188"/>
      <c r="E11" s="1111"/>
      <c r="F11" s="216">
        <f>'[1]CLASSE 6'!I437</f>
        <v>0</v>
      </c>
      <c r="G11" s="216">
        <f>'[1]CLASSE 6'!E437</f>
        <v>0</v>
      </c>
      <c r="H11" s="1189">
        <f>IF(I11=0,0,L11)</f>
        <v>0</v>
      </c>
      <c r="I11" s="559">
        <f>F11-G11</f>
        <v>0</v>
      </c>
      <c r="J11" s="559">
        <f>IF(G11=0,1,IF(G11&lt;0,(F11-G11)/-G11,(F11-G11)/G11))</f>
        <v>1</v>
      </c>
      <c r="K11" s="559">
        <f>IF(I11=F11,IF(F11&lt;0,-1,0))</f>
        <v>0</v>
      </c>
      <c r="L11" s="559">
        <f>IF(K11=-1,-1,J11)</f>
        <v>1</v>
      </c>
    </row>
    <row r="12" spans="2:12" s="559" customFormat="1" ht="24.95" customHeight="1">
      <c r="B12" s="1110" t="str">
        <f>IF([1]ACCUEIL!B1=1,"Interest in acquisition rental rents","Intérêt dans loyers de locations acquisition")</f>
        <v>Intérêt dans loyers de locations acquisition</v>
      </c>
      <c r="C12" s="1188"/>
      <c r="D12" s="1188"/>
      <c r="E12" s="1111"/>
      <c r="F12" s="216">
        <f>'[1]CLASSE 6'!I447</f>
        <v>0</v>
      </c>
      <c r="G12" s="216">
        <f>'[1]CLASSE 6'!E447</f>
        <v>0</v>
      </c>
      <c r="H12" s="1189">
        <f t="shared" ref="H12:H31" si="0">IF(I12=0,0,L12)</f>
        <v>0</v>
      </c>
      <c r="I12" s="559">
        <f t="shared" ref="I12:I31" si="1">F12-G12</f>
        <v>0</v>
      </c>
      <c r="J12" s="559">
        <f t="shared" ref="J12:J31" si="2">IF(G12=0,1,IF(G12&lt;0,(F12-G12)/-G12,(F12-G12)/G12))</f>
        <v>1</v>
      </c>
      <c r="K12" s="559">
        <f t="shared" ref="K12:K31" si="3">IF(I12=F12,IF(F12&lt;0,-1,0))</f>
        <v>0</v>
      </c>
      <c r="L12" s="559">
        <f t="shared" ref="L12:L31" si="4">IF(K12=-1,-1,J12)</f>
        <v>1</v>
      </c>
    </row>
    <row r="13" spans="2:12" s="559" customFormat="1" ht="24.95" customHeight="1">
      <c r="B13" s="1110" t="str">
        <f>IF([1]ACCUEIL!B1=1,"Discounts granted","Escomptes accordés")</f>
        <v>Escomptes accordés</v>
      </c>
      <c r="C13" s="1188"/>
      <c r="D13" s="1188"/>
      <c r="E13" s="1111"/>
      <c r="F13" s="216">
        <f>'[1]CLASSE 6'!I448</f>
        <v>0</v>
      </c>
      <c r="G13" s="216">
        <f>'[1]CLASSE 6'!E448</f>
        <v>0</v>
      </c>
      <c r="H13" s="1189">
        <f t="shared" si="0"/>
        <v>0</v>
      </c>
      <c r="I13" s="559">
        <f t="shared" si="1"/>
        <v>0</v>
      </c>
      <c r="J13" s="559">
        <f t="shared" si="2"/>
        <v>1</v>
      </c>
      <c r="K13" s="559">
        <f t="shared" si="3"/>
        <v>0</v>
      </c>
      <c r="L13" s="559">
        <f t="shared" si="4"/>
        <v>1</v>
      </c>
    </row>
    <row r="14" spans="2:12" s="559" customFormat="1" ht="24.95" customHeight="1">
      <c r="B14" s="1110" t="str">
        <f>IF([1]ACCUEIL!B1=1,"Other interests","Autres intérêts")</f>
        <v>Autres intérêts</v>
      </c>
      <c r="C14" s="1188"/>
      <c r="D14" s="1188"/>
      <c r="E14" s="1111"/>
      <c r="F14" s="216">
        <f>'[1]CLASSE 6'!I462</f>
        <v>0</v>
      </c>
      <c r="G14" s="216">
        <f>'[1]CLASSE 6'!E462</f>
        <v>0</v>
      </c>
      <c r="H14" s="1189">
        <f t="shared" si="0"/>
        <v>0</v>
      </c>
      <c r="I14" s="559">
        <f t="shared" si="1"/>
        <v>0</v>
      </c>
      <c r="J14" s="559">
        <f t="shared" si="2"/>
        <v>1</v>
      </c>
      <c r="K14" s="559">
        <f t="shared" si="3"/>
        <v>0</v>
      </c>
      <c r="L14" s="559">
        <f t="shared" si="4"/>
        <v>1</v>
      </c>
    </row>
    <row r="15" spans="2:12" s="559" customFormat="1" ht="24.95" customHeight="1">
      <c r="B15" s="1110" t="str">
        <f>IF([1]ACCUEIL!B1=1,"Discounts on trade bills","Escomptes des effets de commerces")</f>
        <v>Escomptes des effets de commerces</v>
      </c>
      <c r="C15" s="1188"/>
      <c r="D15" s="1188"/>
      <c r="E15" s="1111"/>
      <c r="F15" s="216">
        <f>'[1]CLASSE 6'!I463</f>
        <v>0</v>
      </c>
      <c r="G15" s="216">
        <f>'[1]CLASSE 6'!E463</f>
        <v>0</v>
      </c>
      <c r="H15" s="1189">
        <f t="shared" si="0"/>
        <v>0</v>
      </c>
      <c r="I15" s="559">
        <f t="shared" si="1"/>
        <v>0</v>
      </c>
      <c r="J15" s="559">
        <f t="shared" si="2"/>
        <v>1</v>
      </c>
      <c r="K15" s="559">
        <f t="shared" si="3"/>
        <v>0</v>
      </c>
      <c r="L15" s="559">
        <f t="shared" si="4"/>
        <v>1</v>
      </c>
    </row>
    <row r="16" spans="2:12" s="559" customFormat="1" ht="24.95" customHeight="1">
      <c r="B16" s="1110" t="str">
        <f>IF([1]ACCUEIL!B1=1,"Exchange losses","Pertes de change")</f>
        <v>Pertes de change</v>
      </c>
      <c r="C16" s="1188"/>
      <c r="D16" s="1188"/>
      <c r="E16" s="1111"/>
      <c r="F16" s="216">
        <f>'[1]CLASSE 6'!I464</f>
        <v>0</v>
      </c>
      <c r="G16" s="216">
        <f>'[1]CLASSE 6'!E464</f>
        <v>0</v>
      </c>
      <c r="H16" s="1189">
        <f t="shared" si="0"/>
        <v>0</v>
      </c>
      <c r="I16" s="559">
        <f t="shared" si="1"/>
        <v>0</v>
      </c>
      <c r="J16" s="559">
        <f t="shared" si="2"/>
        <v>1</v>
      </c>
      <c r="K16" s="559">
        <f t="shared" si="3"/>
        <v>0</v>
      </c>
      <c r="L16" s="559">
        <f t="shared" si="4"/>
        <v>1</v>
      </c>
    </row>
    <row r="17" spans="1:12" s="559" customFormat="1" ht="24.95" customHeight="1">
      <c r="B17" s="1110" t="str">
        <f>IF([1]ACCUEIL!B1=1,"Losses on disposal of investment securities","Pertes sur cessions de titres de placement")</f>
        <v>Pertes sur cessions de titres de placement</v>
      </c>
      <c r="C17" s="1188"/>
      <c r="D17" s="1188"/>
      <c r="E17" s="1111"/>
      <c r="F17" s="216">
        <f>'[1]CLASSE 6'!I466</f>
        <v>0</v>
      </c>
      <c r="G17" s="216">
        <f>'[1]CLASSE 6'!E466</f>
        <v>0</v>
      </c>
      <c r="H17" s="1189">
        <f t="shared" si="0"/>
        <v>0</v>
      </c>
      <c r="I17" s="559">
        <f t="shared" si="1"/>
        <v>0</v>
      </c>
      <c r="J17" s="559">
        <f t="shared" si="2"/>
        <v>1</v>
      </c>
      <c r="K17" s="559">
        <f t="shared" si="3"/>
        <v>0</v>
      </c>
      <c r="L17" s="559">
        <f t="shared" si="4"/>
        <v>1</v>
      </c>
    </row>
    <row r="18" spans="1:12" s="559" customFormat="1" ht="36.950000000000003" customHeight="1">
      <c r="B18" s="2107" t="str">
        <f>IF([1]ACCUEIL!B1=1,"Malis from free allocation of shares to salaried staff and managers","Malis provenant d'attribution gratuite d'action au personnel salarie et aux dirigeants")</f>
        <v>Malis provenant d'attribution gratuite d'action au personnel salarie et aux dirigeants</v>
      </c>
      <c r="C18" s="2108"/>
      <c r="D18" s="2108"/>
      <c r="E18" s="1190"/>
      <c r="F18" s="216">
        <f>'[1]CLASSE 6'!I468</f>
        <v>0</v>
      </c>
      <c r="G18" s="216">
        <f>'[1]CLASSE 6'!E468</f>
        <v>0</v>
      </c>
      <c r="H18" s="1189">
        <f t="shared" si="0"/>
        <v>0</v>
      </c>
      <c r="I18" s="559">
        <f t="shared" si="1"/>
        <v>0</v>
      </c>
      <c r="J18" s="559">
        <f t="shared" si="2"/>
        <v>1</v>
      </c>
      <c r="K18" s="559">
        <f t="shared" si="3"/>
        <v>0</v>
      </c>
      <c r="L18" s="559">
        <f t="shared" si="4"/>
        <v>1</v>
      </c>
    </row>
    <row r="19" spans="1:12" s="559" customFormat="1" ht="24.95" customHeight="1">
      <c r="B19" s="1110" t="str">
        <f>IF([1]ACCUEIL!B1=1,"Loss on financial risks","Perte sur risques financiers")</f>
        <v>Perte sur risques financiers</v>
      </c>
      <c r="C19" s="1188"/>
      <c r="D19" s="1188"/>
      <c r="E19" s="1111"/>
      <c r="F19" s="216">
        <f>'[1]CLASSE 6'!I478</f>
        <v>0</v>
      </c>
      <c r="G19" s="216">
        <f>'[1]CLASSE 6'!E478</f>
        <v>0</v>
      </c>
      <c r="H19" s="1189">
        <f t="shared" si="0"/>
        <v>0</v>
      </c>
      <c r="I19" s="559">
        <f t="shared" si="1"/>
        <v>0</v>
      </c>
      <c r="J19" s="559">
        <f t="shared" si="2"/>
        <v>1</v>
      </c>
      <c r="K19" s="559">
        <f t="shared" si="3"/>
        <v>0</v>
      </c>
      <c r="L19" s="559">
        <f t="shared" si="4"/>
        <v>1</v>
      </c>
    </row>
    <row r="20" spans="1:12" s="559" customFormat="1" ht="33.950000000000003" customHeight="1">
      <c r="B20" s="2107" t="str">
        <f>IF([1]ACCUEIL!B1=1,"Charges for short-term impairments and provisions of a financial nature (see note 28 A)","Charges pour depreciations et provisions à court terme à caractere financier (voir note 28 A)")</f>
        <v>Charges pour depreciations et provisions à court terme à caractere financier (voir note 28 A)</v>
      </c>
      <c r="C20" s="2108"/>
      <c r="D20" s="2108"/>
      <c r="E20" s="2109"/>
      <c r="F20" s="216">
        <f>'[1]CLASSE 6'!I486</f>
        <v>0</v>
      </c>
      <c r="G20" s="216">
        <f>'[1]CLASSE 6'!E486</f>
        <v>0</v>
      </c>
      <c r="H20" s="1189">
        <f t="shared" si="0"/>
        <v>0</v>
      </c>
      <c r="I20" s="559">
        <f t="shared" si="1"/>
        <v>0</v>
      </c>
      <c r="J20" s="559">
        <f t="shared" si="2"/>
        <v>1</v>
      </c>
      <c r="K20" s="559">
        <f t="shared" si="3"/>
        <v>0</v>
      </c>
      <c r="L20" s="559">
        <f t="shared" si="4"/>
        <v>1</v>
      </c>
    </row>
    <row r="21" spans="1:12" s="1119" customFormat="1" ht="24.95" customHeight="1">
      <c r="A21" s="559"/>
      <c r="B21" s="1115" t="str">
        <f>IF([1]ACCUEIL!B1=1,"SUB-TOTAL: FINANCIAL EXPENSES","SOUS TOTAL: FRAIS FINANCIERS")</f>
        <v>SOUS TOTAL: FRAIS FINANCIERS</v>
      </c>
      <c r="C21" s="1191"/>
      <c r="D21" s="1191"/>
      <c r="E21" s="1116"/>
      <c r="F21" s="210">
        <f>SUM(F11:F20)</f>
        <v>0</v>
      </c>
      <c r="G21" s="210">
        <f>SUM(G11:G20)</f>
        <v>0</v>
      </c>
      <c r="H21" s="1192">
        <f t="shared" si="0"/>
        <v>0</v>
      </c>
      <c r="I21" s="1119">
        <f t="shared" si="1"/>
        <v>0</v>
      </c>
      <c r="J21" s="1119">
        <f t="shared" si="2"/>
        <v>1</v>
      </c>
      <c r="K21" s="1119">
        <f t="shared" si="3"/>
        <v>0</v>
      </c>
      <c r="L21" s="1119">
        <f t="shared" si="4"/>
        <v>1</v>
      </c>
    </row>
    <row r="22" spans="1:12" s="559" customFormat="1" ht="24.95" customHeight="1">
      <c r="B22" s="1110" t="str">
        <f>IF([1]ACCUEIL!B1=1,"Interêts de prêt et creances diverses","Interêts de prêt et creances diverses")</f>
        <v>Interêts de prêt et creances diverses</v>
      </c>
      <c r="C22" s="1188"/>
      <c r="D22" s="1188"/>
      <c r="E22" s="1111"/>
      <c r="F22" s="216">
        <f>'[1]CLASSE 7'!J184+'[1]CLASSE 7'!J198</f>
        <v>0</v>
      </c>
      <c r="G22" s="216">
        <f>'[1]CLASSE 7'!F184+'[1]CLASSE 7'!F198</f>
        <v>0</v>
      </c>
      <c r="H22" s="1189">
        <f t="shared" si="0"/>
        <v>0</v>
      </c>
      <c r="I22" s="559">
        <f t="shared" si="1"/>
        <v>0</v>
      </c>
      <c r="J22" s="559">
        <f t="shared" si="2"/>
        <v>1</v>
      </c>
      <c r="K22" s="559">
        <f t="shared" si="3"/>
        <v>0</v>
      </c>
      <c r="L22" s="559">
        <f t="shared" si="4"/>
        <v>1</v>
      </c>
    </row>
    <row r="23" spans="1:12" s="559" customFormat="1" ht="24.95" customHeight="1">
      <c r="B23" s="1110" t="str">
        <f>IF([1]ACCUEIL!B1=1,"Income from investments","Revenus de participations")</f>
        <v>Revenus de participations</v>
      </c>
      <c r="C23" s="1188"/>
      <c r="D23" s="1188"/>
      <c r="E23" s="1111"/>
      <c r="F23" s="216">
        <f>'[1]CLASSE 7'!J190</f>
        <v>0</v>
      </c>
      <c r="G23" s="216">
        <f>'[1]CLASSE 7'!F190</f>
        <v>0</v>
      </c>
      <c r="H23" s="1189">
        <f t="shared" si="0"/>
        <v>0</v>
      </c>
      <c r="I23" s="559">
        <f t="shared" si="1"/>
        <v>0</v>
      </c>
      <c r="J23" s="559">
        <f t="shared" si="2"/>
        <v>1</v>
      </c>
      <c r="K23" s="559">
        <f t="shared" si="3"/>
        <v>0</v>
      </c>
      <c r="L23" s="559">
        <f t="shared" si="4"/>
        <v>1</v>
      </c>
    </row>
    <row r="24" spans="1:12" s="559" customFormat="1" ht="24.95" customHeight="1">
      <c r="B24" s="1110" t="str">
        <f>IF([1]ACCUEIL!B1=1,"Discounts obtained","Escomptes obtenus")</f>
        <v>Escomptes obtenus</v>
      </c>
      <c r="C24" s="1188"/>
      <c r="D24" s="1188"/>
      <c r="E24" s="1111"/>
      <c r="F24" s="216">
        <f>'[1]CLASSE 7'!J191</f>
        <v>0</v>
      </c>
      <c r="G24" s="216">
        <f>'[1]CLASSE 7'!F191</f>
        <v>0</v>
      </c>
      <c r="H24" s="1189">
        <f t="shared" si="0"/>
        <v>0</v>
      </c>
      <c r="I24" s="559">
        <f t="shared" si="1"/>
        <v>0</v>
      </c>
      <c r="J24" s="559">
        <f t="shared" si="2"/>
        <v>1</v>
      </c>
      <c r="K24" s="559">
        <f t="shared" si="3"/>
        <v>0</v>
      </c>
      <c r="L24" s="559">
        <f t="shared" si="4"/>
        <v>1</v>
      </c>
    </row>
    <row r="25" spans="1:12" s="559" customFormat="1" ht="24.95" customHeight="1">
      <c r="B25" s="1110" t="str">
        <f>IF([1]ACCUEIL!B1=1,"Investment income","Revenus de placements")</f>
        <v>Revenus de placements</v>
      </c>
      <c r="C25" s="1188"/>
      <c r="D25" s="1188"/>
      <c r="E25" s="1111"/>
      <c r="F25" s="216">
        <f>'[1]CLASSE 7'!J197</f>
        <v>0</v>
      </c>
      <c r="G25" s="216">
        <f>'[1]CLASSE 7'!F197</f>
        <v>0</v>
      </c>
      <c r="H25" s="1189">
        <f t="shared" si="0"/>
        <v>0</v>
      </c>
      <c r="I25" s="559">
        <f t="shared" si="1"/>
        <v>0</v>
      </c>
      <c r="J25" s="559">
        <f t="shared" si="2"/>
        <v>1</v>
      </c>
      <c r="K25" s="559">
        <f t="shared" si="3"/>
        <v>0</v>
      </c>
      <c r="L25" s="559">
        <f t="shared" si="4"/>
        <v>1</v>
      </c>
    </row>
    <row r="26" spans="1:12" s="559" customFormat="1" ht="24.95" customHeight="1">
      <c r="B26" s="1110" t="str">
        <f>IF([1]ACCUEIL!B1=1,"Exchange gains","Gains de changes")</f>
        <v>Gains de changes</v>
      </c>
      <c r="C26" s="1188"/>
      <c r="D26" s="1188"/>
      <c r="E26" s="1111"/>
      <c r="F26" s="216">
        <f>'[1]CLASSE 7'!J199</f>
        <v>0</v>
      </c>
      <c r="G26" s="216">
        <f>'[1]CLASSE 7'!F199</f>
        <v>0</v>
      </c>
      <c r="H26" s="1189">
        <f t="shared" si="0"/>
        <v>0</v>
      </c>
      <c r="I26" s="559">
        <f t="shared" si="1"/>
        <v>0</v>
      </c>
      <c r="J26" s="559">
        <f t="shared" si="2"/>
        <v>1</v>
      </c>
      <c r="K26" s="559">
        <f t="shared" si="3"/>
        <v>0</v>
      </c>
      <c r="L26" s="559">
        <f t="shared" si="4"/>
        <v>1</v>
      </c>
    </row>
    <row r="27" spans="1:12" s="559" customFormat="1" ht="24.95" customHeight="1">
      <c r="B27" s="1110" t="str">
        <f>IF([1]ACCUEIL!B1=1,"Gains on disposal of investment securities","Gains sur cession de titres de placements")</f>
        <v>Gains sur cession de titres de placements</v>
      </c>
      <c r="C27" s="1188"/>
      <c r="D27" s="1188"/>
      <c r="E27" s="1111"/>
      <c r="F27" s="216">
        <f>'[1]CLASSE 7'!J200</f>
        <v>0</v>
      </c>
      <c r="G27" s="216">
        <f>'[1]CLASSE 7'!F200</f>
        <v>0</v>
      </c>
      <c r="H27" s="1189">
        <f t="shared" si="0"/>
        <v>0</v>
      </c>
      <c r="I27" s="559">
        <f t="shared" si="1"/>
        <v>0</v>
      </c>
      <c r="J27" s="559">
        <f t="shared" si="2"/>
        <v>1</v>
      </c>
      <c r="K27" s="559">
        <f t="shared" si="3"/>
        <v>0</v>
      </c>
      <c r="L27" s="559">
        <f t="shared" si="4"/>
        <v>1</v>
      </c>
    </row>
    <row r="28" spans="1:12" s="559" customFormat="1" ht="24.95" customHeight="1">
      <c r="B28" s="1110" t="str">
        <f>IF([1]ACCUEIL!B1=1,"Gains on financial risks","Gains sur risques financiers")</f>
        <v>Gains sur risques financiers</v>
      </c>
      <c r="C28" s="1188"/>
      <c r="D28" s="1188"/>
      <c r="E28" s="1111"/>
      <c r="F28" s="216">
        <f>'[1]CLASSE 7'!J208</f>
        <v>0</v>
      </c>
      <c r="G28" s="216">
        <f>'[1]CLASSE 7'!F208</f>
        <v>0</v>
      </c>
      <c r="H28" s="1189">
        <f t="shared" si="0"/>
        <v>0</v>
      </c>
      <c r="I28" s="559">
        <f t="shared" si="1"/>
        <v>0</v>
      </c>
      <c r="J28" s="559">
        <f t="shared" si="2"/>
        <v>1</v>
      </c>
      <c r="K28" s="559">
        <f t="shared" si="3"/>
        <v>0</v>
      </c>
      <c r="L28" s="559">
        <f t="shared" si="4"/>
        <v>1</v>
      </c>
    </row>
    <row r="29" spans="1:12" s="559" customFormat="1" ht="35.1" customHeight="1">
      <c r="B29" s="2107" t="str">
        <f>IF([1]ACCUEIL!B1=1,"Reversal of charges for depreciation and short-term financial provision (see note 28 A)","Reprises de charges pour depreciation et provision à court terme à caractere financier (voir note 28 A)")</f>
        <v>Reprises de charges pour depreciation et provision à court terme à caractere financier (voir note 28 A)</v>
      </c>
      <c r="C29" s="2108"/>
      <c r="D29" s="2108"/>
      <c r="E29" s="2109"/>
      <c r="F29" s="216">
        <f>'[1]CLASSE 7'!J216</f>
        <v>0</v>
      </c>
      <c r="G29" s="216">
        <f>'[1]CLASSE 7'!F216</f>
        <v>0</v>
      </c>
      <c r="H29" s="1189">
        <f t="shared" si="0"/>
        <v>0</v>
      </c>
      <c r="I29" s="559">
        <f t="shared" si="1"/>
        <v>0</v>
      </c>
      <c r="J29" s="559">
        <f t="shared" si="2"/>
        <v>1</v>
      </c>
      <c r="K29" s="559">
        <f t="shared" si="3"/>
        <v>0</v>
      </c>
      <c r="L29" s="559">
        <f t="shared" si="4"/>
        <v>1</v>
      </c>
    </row>
    <row r="30" spans="1:12" s="1119" customFormat="1" ht="24.95" customHeight="1">
      <c r="B30" s="1115" t="str">
        <f>IF([1]ACCUEIL!B1=1,"SUB-TOTAL: FINANCIAL REVENUES","SOUS TOTAL : REVENUS FINANCIERS")</f>
        <v>SOUS TOTAL : REVENUS FINANCIERS</v>
      </c>
      <c r="C30" s="1191"/>
      <c r="D30" s="1191"/>
      <c r="E30" s="1116"/>
      <c r="F30" s="210">
        <f>SUM(F22:F29)</f>
        <v>0</v>
      </c>
      <c r="G30" s="210">
        <f>SUM(G22:G29)</f>
        <v>0</v>
      </c>
      <c r="H30" s="1192">
        <f t="shared" si="0"/>
        <v>0</v>
      </c>
      <c r="I30" s="1119">
        <f t="shared" si="1"/>
        <v>0</v>
      </c>
      <c r="J30" s="1119">
        <f t="shared" si="2"/>
        <v>1</v>
      </c>
      <c r="K30" s="1119">
        <f t="shared" si="3"/>
        <v>0</v>
      </c>
      <c r="L30" s="1119">
        <f t="shared" si="4"/>
        <v>1</v>
      </c>
    </row>
    <row r="31" spans="1:12" s="559" customFormat="1" ht="24.95" customHeight="1">
      <c r="B31" s="1115" t="str">
        <f>IF([1]ACCUEIL!B1=1,"GRAND TOTAL","TOTAL  GENERAL")</f>
        <v>TOTAL  GENERAL</v>
      </c>
      <c r="C31" s="1191"/>
      <c r="D31" s="1191"/>
      <c r="E31" s="1116"/>
      <c r="F31" s="210">
        <f>F21+F30</f>
        <v>0</v>
      </c>
      <c r="G31" s="210">
        <f>G21+G30</f>
        <v>0</v>
      </c>
      <c r="H31" s="1192">
        <f t="shared" si="0"/>
        <v>0</v>
      </c>
      <c r="I31" s="559">
        <f t="shared" si="1"/>
        <v>0</v>
      </c>
      <c r="J31" s="559">
        <f t="shared" si="2"/>
        <v>1</v>
      </c>
      <c r="K31" s="559">
        <f t="shared" si="3"/>
        <v>0</v>
      </c>
      <c r="L31" s="559">
        <f t="shared" si="4"/>
        <v>1</v>
      </c>
    </row>
    <row r="32" spans="1:12">
      <c r="B32" s="118"/>
      <c r="C32" s="118"/>
      <c r="D32" s="118"/>
      <c r="E32" s="118"/>
      <c r="F32" s="118"/>
      <c r="G32" s="118"/>
      <c r="H32" s="118"/>
    </row>
    <row r="33" spans="2:8">
      <c r="B33" s="1186" t="str">
        <f>'NOTE 28 C'!B25</f>
        <v>COMMENTAIRE</v>
      </c>
      <c r="C33" s="1733">
        <f>'[1]NOTE 29'!C33:H33</f>
        <v>0</v>
      </c>
      <c r="D33" s="1733"/>
      <c r="E33" s="1733"/>
      <c r="F33" s="1733"/>
      <c r="G33" s="1733"/>
      <c r="H33" s="1733"/>
    </row>
    <row r="34" spans="2:8">
      <c r="B34" s="1187"/>
      <c r="C34" s="1733">
        <f>'[1]NOTE 29'!C34:H34</f>
        <v>0</v>
      </c>
      <c r="D34" s="1733"/>
      <c r="E34" s="1733"/>
      <c r="F34" s="1733"/>
      <c r="G34" s="1733"/>
      <c r="H34" s="1733"/>
    </row>
    <row r="35" spans="2:8">
      <c r="B35" s="1187"/>
      <c r="C35" s="1733">
        <f>'[1]NOTE 29'!C35:H35</f>
        <v>0</v>
      </c>
      <c r="D35" s="1733"/>
      <c r="E35" s="1733"/>
      <c r="F35" s="1733"/>
      <c r="G35" s="1733"/>
      <c r="H35" s="1733"/>
    </row>
    <row r="36" spans="2:8">
      <c r="B36" s="118"/>
      <c r="C36" s="1733">
        <f>'[1]NOTE 29'!C36:H36</f>
        <v>0</v>
      </c>
      <c r="D36" s="1733"/>
      <c r="E36" s="1733"/>
      <c r="F36" s="1733"/>
      <c r="G36" s="1733"/>
      <c r="H36" s="1733"/>
    </row>
    <row r="37" spans="2:8">
      <c r="B37" s="118"/>
      <c r="C37" s="1733">
        <f>'[1]NOTE 29'!C37:H37</f>
        <v>0</v>
      </c>
      <c r="D37" s="1733"/>
      <c r="E37" s="1733"/>
      <c r="F37" s="1733"/>
      <c r="G37" s="1733"/>
      <c r="H37" s="1733"/>
    </row>
    <row r="38" spans="2:8">
      <c r="B38" s="118"/>
      <c r="C38" s="1733">
        <f>'[1]NOTE 29'!C38:H38</f>
        <v>0</v>
      </c>
      <c r="D38" s="1733"/>
      <c r="E38" s="1733"/>
      <c r="F38" s="1733"/>
      <c r="G38" s="1733"/>
      <c r="H38" s="1733"/>
    </row>
    <row r="39" spans="2:8">
      <c r="C39" s="1733">
        <f>'[1]NOTE 29'!C39:H39</f>
        <v>0</v>
      </c>
      <c r="D39" s="1733"/>
      <c r="E39" s="1733"/>
      <c r="F39" s="1733"/>
      <c r="G39" s="1733"/>
      <c r="H39" s="1733"/>
    </row>
    <row r="40" spans="2:8">
      <c r="C40" s="1733">
        <f>'[1]NOTE 29'!C40:H40</f>
        <v>0</v>
      </c>
      <c r="D40" s="1733"/>
      <c r="E40" s="1733"/>
      <c r="F40" s="1733"/>
      <c r="G40" s="1733"/>
      <c r="H40" s="1733"/>
    </row>
    <row r="41" spans="2:8">
      <c r="C41" s="1733">
        <f>'[1]NOTE 29'!C41:H41</f>
        <v>0</v>
      </c>
      <c r="D41" s="1733"/>
      <c r="E41" s="1733"/>
      <c r="F41" s="1733"/>
      <c r="G41" s="1733"/>
      <c r="H41" s="1733"/>
    </row>
    <row r="42" spans="2:8">
      <c r="C42" s="1733">
        <f>'[1]NOTE 29'!C42:H42</f>
        <v>0</v>
      </c>
      <c r="D42" s="1733"/>
      <c r="E42" s="1733"/>
      <c r="F42" s="1733"/>
      <c r="G42" s="1733"/>
      <c r="H42" s="1733"/>
    </row>
    <row r="43" spans="2:8">
      <c r="C43" s="1733">
        <f>'[1]NOTE 29'!C43:H43</f>
        <v>0</v>
      </c>
      <c r="D43" s="1733"/>
      <c r="E43" s="1733"/>
      <c r="F43" s="1733"/>
      <c r="G43" s="1733"/>
      <c r="H43" s="1733"/>
    </row>
    <row r="44" spans="2:8">
      <c r="C44" s="1733">
        <f>'[1]NOTE 29'!C44:H44</f>
        <v>0</v>
      </c>
      <c r="D44" s="1733"/>
      <c r="E44" s="1733"/>
      <c r="F44" s="1733"/>
      <c r="G44" s="1733"/>
      <c r="H44" s="1733"/>
    </row>
  </sheetData>
  <sheetProtection selectLockedCells="1"/>
  <mergeCells count="20">
    <mergeCell ref="C43:H43"/>
    <mergeCell ref="C44:H44"/>
    <mergeCell ref="C37:H37"/>
    <mergeCell ref="C38:H38"/>
    <mergeCell ref="C39:H39"/>
    <mergeCell ref="C40:H40"/>
    <mergeCell ref="C41:H41"/>
    <mergeCell ref="C42:H42"/>
    <mergeCell ref="C36:H36"/>
    <mergeCell ref="B1:H1"/>
    <mergeCell ref="G2:H3"/>
    <mergeCell ref="D7:E7"/>
    <mergeCell ref="B9:H9"/>
    <mergeCell ref="B10:E10"/>
    <mergeCell ref="B18:D18"/>
    <mergeCell ref="B20:E20"/>
    <mergeCell ref="B29:E29"/>
    <mergeCell ref="C33:H33"/>
    <mergeCell ref="C34:H34"/>
    <mergeCell ref="C35:H35"/>
  </mergeCells>
  <conditionalFormatting sqref="G5:H5 G6 E5">
    <cfRule type="expression" dxfId="6" priority="1">
      <formula>#REF!=1</formula>
    </cfRule>
  </conditionalFormatting>
  <printOptions horizontalCentered="1"/>
  <pageMargins left="0.78740157480314965" right="0" top="0.59055118110236227" bottom="0.19685039370078741" header="0.31496062992125984" footer="0.31496062992125984"/>
  <pageSetup paperSize="9" scale="69" orientation="portrait" r:id="rId1"/>
  <headerFooter>
    <oddHeader>&amp;C&amp;"-,Gras"&amp;14Page &amp;P / &amp;N</oddHeader>
  </headerFooter>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Feuil57">
    <pageSetUpPr fitToPage="1"/>
  </sheetPr>
  <dimension ref="B1:L46"/>
  <sheetViews>
    <sheetView showZeros="0" topLeftCell="A10" zoomScale="80" zoomScaleNormal="80" zoomScaleSheetLayoutView="106" workbookViewId="0">
      <selection activeCell="F22" sqref="F22"/>
    </sheetView>
  </sheetViews>
  <sheetFormatPr baseColWidth="10" defaultColWidth="11.42578125" defaultRowHeight="15.75"/>
  <cols>
    <col min="1" max="1" width="9.7109375" style="9" customWidth="1"/>
    <col min="2" max="2" width="22" style="9" customWidth="1"/>
    <col min="3" max="3" width="9.85546875" style="9" customWidth="1"/>
    <col min="4" max="4" width="10.7109375" style="9" customWidth="1"/>
    <col min="5" max="5" width="28.140625" style="9" customWidth="1"/>
    <col min="6" max="6" width="17.85546875" style="9" bestFit="1" customWidth="1"/>
    <col min="7" max="7" width="20" style="9" bestFit="1" customWidth="1"/>
    <col min="8" max="8" width="12.7109375" style="9" customWidth="1"/>
    <col min="9" max="10" width="5" style="9" hidden="1" customWidth="1"/>
    <col min="11" max="11" width="6.7109375" style="9" hidden="1" customWidth="1"/>
    <col min="12" max="12" width="7.85546875" style="9" hidden="1" customWidth="1"/>
    <col min="13" max="16384" width="11.42578125" style="9"/>
  </cols>
  <sheetData>
    <row r="1" spans="2:12">
      <c r="B1" s="1977"/>
      <c r="C1" s="1977"/>
      <c r="D1" s="1977"/>
      <c r="E1" s="1977"/>
      <c r="F1" s="1977"/>
      <c r="G1" s="1977"/>
      <c r="H1" s="1977"/>
    </row>
    <row r="2" spans="2:12">
      <c r="B2" s="118"/>
      <c r="C2" s="118"/>
      <c r="D2" s="118"/>
      <c r="E2" s="118"/>
      <c r="F2" s="118"/>
      <c r="G2" s="2102" t="str">
        <f>IF([1]ACCUEIL!B1=1,"NOTE 30
NORMAL SYSTEM","NOTE 30
SYSTEME NORMAL")</f>
        <v>NOTE 30
SYSTEME NORMAL</v>
      </c>
      <c r="H2" s="2103"/>
    </row>
    <row r="3" spans="2:12">
      <c r="B3" s="118"/>
      <c r="C3" s="118"/>
      <c r="D3" s="118"/>
      <c r="E3" s="1099"/>
      <c r="F3" s="118"/>
      <c r="G3" s="2104"/>
      <c r="H3" s="2105"/>
    </row>
    <row r="4" spans="2:12">
      <c r="B4" s="127" t="str">
        <f>'NOTE 29'!B4</f>
        <v>Désignation entité:</v>
      </c>
      <c r="C4" s="1194" t="str">
        <f>'NOTE 29'!C4</f>
        <v/>
      </c>
      <c r="D4" s="1194"/>
      <c r="E4" s="1194"/>
      <c r="F4" s="116"/>
      <c r="G4" s="1195"/>
      <c r="H4" s="1195"/>
    </row>
    <row r="5" spans="2:12" ht="19.5" customHeight="1">
      <c r="B5" s="127" t="str">
        <f>'NOTE 29'!B5</f>
        <v>Sigle usuel :</v>
      </c>
      <c r="C5" s="1194" t="str">
        <f>'NOTE 29'!C5</f>
        <v/>
      </c>
      <c r="E5" s="1180"/>
      <c r="F5" s="1180"/>
      <c r="G5" s="1196"/>
      <c r="H5" s="1196"/>
    </row>
    <row r="6" spans="2:12">
      <c r="B6" s="127" t="str">
        <f>'NOTE 29'!B6</f>
        <v>Adresse:</v>
      </c>
      <c r="C6" s="1194">
        <f>'NOTE 29'!C6</f>
        <v>0</v>
      </c>
      <c r="D6" s="1197"/>
      <c r="E6" s="1181"/>
      <c r="G6" s="1106" t="str">
        <f>'NOTE 29'!G6</f>
        <v>BP:</v>
      </c>
      <c r="H6" s="1103" t="str">
        <f>+'NOTE 29'!H6</f>
        <v/>
      </c>
    </row>
    <row r="7" spans="2:12">
      <c r="B7" s="127" t="str">
        <f>'NOTE 29'!B7</f>
        <v>Numéro d'identification:</v>
      </c>
      <c r="C7" s="1103" t="str">
        <f>'NOTE 29'!C7</f>
        <v/>
      </c>
      <c r="D7" s="1103"/>
      <c r="E7" s="126" t="str">
        <f>'NOTE 29'!D7</f>
        <v xml:space="preserve">   Exercice clos le 31 - 12- </v>
      </c>
      <c r="F7" s="1103">
        <f>'NOTE 29'!F7</f>
        <v>2025</v>
      </c>
      <c r="G7" s="126" t="str">
        <f>'NOTE 29'!G7</f>
        <v xml:space="preserve">    Durée (en mois):</v>
      </c>
      <c r="H7" s="127">
        <f>'NOTE 29'!H7</f>
        <v>12</v>
      </c>
    </row>
    <row r="8" spans="2:12" ht="9" customHeight="1">
      <c r="B8" s="118"/>
      <c r="C8" s="118"/>
      <c r="D8" s="118"/>
      <c r="E8" s="118"/>
      <c r="F8" s="118"/>
      <c r="G8" s="115"/>
      <c r="H8" s="1198"/>
    </row>
    <row r="9" spans="2:12" ht="29.25" customHeight="1">
      <c r="B9" s="2110" t="str">
        <f>IF([1]ACCUEIL!B1=1,"NOTE 30 OTHER EXPENSES AND INCOME E O A","NOTE 30 AUTRES CHARGES ET PRODUITS HAO")</f>
        <v>NOTE 30 AUTRES CHARGES ET PRODUITS HAO</v>
      </c>
      <c r="C9" s="2110"/>
      <c r="D9" s="2110"/>
      <c r="E9" s="2110"/>
      <c r="F9" s="2110"/>
      <c r="G9" s="2110"/>
      <c r="H9" s="2110"/>
    </row>
    <row r="10" spans="2:12" ht="31.5">
      <c r="B10" s="1969" t="str">
        <f>'NOTE 29'!B10:E10</f>
        <v xml:space="preserve">      RUBRIQUES</v>
      </c>
      <c r="C10" s="1970"/>
      <c r="D10" s="1970"/>
      <c r="E10" s="1971"/>
      <c r="F10" s="1185" t="str">
        <f>'NOTE 29'!F10</f>
        <v>Année 2025</v>
      </c>
      <c r="G10" s="1185" t="str">
        <f>'NOTE 29'!G10</f>
        <v>Année 2024</v>
      </c>
      <c r="H10" s="1193" t="str">
        <f>'NOTE 29'!H10</f>
        <v xml:space="preserve">Variation en % </v>
      </c>
    </row>
    <row r="11" spans="2:12" s="559" customFormat="1" ht="24.95" customHeight="1">
      <c r="B11" s="1110" t="str">
        <f>IF([1]ACCUEIL!B1=1,"EXPECTED HAO EXPENSES (831) TO BE DETAILED","CHARGES HAO CONSTATEES (831) A DETAILLER")</f>
        <v>CHARGES HAO CONSTATEES (831) A DETAILLER</v>
      </c>
      <c r="C11" s="1188"/>
      <c r="D11" s="1188"/>
      <c r="E11" s="1111"/>
      <c r="F11" s="216">
        <f>'[1]CLASSE 8'!I11</f>
        <v>0</v>
      </c>
      <c r="G11" s="216">
        <f>'[1]CLASSE 8'!E11</f>
        <v>0</v>
      </c>
      <c r="H11" s="1189">
        <f>IF(I11=0,0,L11)</f>
        <v>0</v>
      </c>
      <c r="I11" s="559">
        <f>F11-G11</f>
        <v>0</v>
      </c>
      <c r="J11" s="559">
        <f>IF(G11=0,1,IF(G11&lt;0,(F11-G11)/-G11,(F11-G11)/G11))</f>
        <v>1</v>
      </c>
      <c r="K11" s="559">
        <f>IF(I11=F11,IF(F11&lt;0,-1,0))</f>
        <v>0</v>
      </c>
      <c r="L11" s="559">
        <f>IF(K11=-1,-1,J11)</f>
        <v>1</v>
      </c>
    </row>
    <row r="12" spans="2:12" s="559" customFormat="1" ht="24.95" customHeight="1">
      <c r="B12" s="1110" t="s">
        <v>302</v>
      </c>
      <c r="C12" s="1188"/>
      <c r="D12" s="1188"/>
      <c r="E12" s="1111"/>
      <c r="F12" s="1203">
        <f>'[1]NOTE 30'!F12</f>
        <v>0</v>
      </c>
      <c r="G12" s="1203">
        <f>'[1]NOTE 30'!G12</f>
        <v>0</v>
      </c>
      <c r="H12" s="1189">
        <f t="shared" ref="H12:H34" si="0">IF(I12=0,0,L12)</f>
        <v>0</v>
      </c>
      <c r="I12" s="559">
        <f t="shared" ref="I12:I34" si="1">F12-G12</f>
        <v>0</v>
      </c>
      <c r="J12" s="559">
        <f t="shared" ref="J12:J34" si="2">IF(G12=0,1,IF(G12&lt;0,(F12-G12)/-G12,(F12-G12)/G12))</f>
        <v>1</v>
      </c>
      <c r="K12" s="559">
        <f t="shared" ref="K12:K34" si="3">IF(I12=F12,IF(F12&lt;0,-1,0))</f>
        <v>0</v>
      </c>
      <c r="L12" s="559">
        <f t="shared" ref="L12:L34" si="4">IF(K12=-1,-1,J12)</f>
        <v>1</v>
      </c>
    </row>
    <row r="13" spans="2:12" s="559" customFormat="1" ht="24.95" customHeight="1">
      <c r="B13" s="1204" t="s">
        <v>302</v>
      </c>
      <c r="C13" s="1205"/>
      <c r="D13" s="1205"/>
      <c r="E13" s="1206"/>
      <c r="F13" s="1203">
        <f>'[1]NOTE 30'!F13</f>
        <v>0</v>
      </c>
      <c r="G13" s="1203">
        <f>'[1]NOTE 30'!G13</f>
        <v>0</v>
      </c>
      <c r="H13" s="1189">
        <f t="shared" si="0"/>
        <v>0</v>
      </c>
      <c r="I13" s="559">
        <f t="shared" si="1"/>
        <v>0</v>
      </c>
      <c r="J13" s="559">
        <f t="shared" si="2"/>
        <v>1</v>
      </c>
      <c r="K13" s="559">
        <f t="shared" si="3"/>
        <v>0</v>
      </c>
      <c r="L13" s="559">
        <f t="shared" si="4"/>
        <v>1</v>
      </c>
    </row>
    <row r="14" spans="2:12" s="559" customFormat="1" ht="24.95" customHeight="1">
      <c r="B14" s="1199" t="str">
        <f>IF([1]ACCUEIL!B1=1,"Charges related to restructuring operations","Charges liées aux opérations de restructuration")</f>
        <v>Charges liées aux opérations de restructuration</v>
      </c>
      <c r="C14" s="1188"/>
      <c r="D14" s="1188"/>
      <c r="E14" s="1111"/>
      <c r="F14" s="216">
        <f>+'[1]CLASSE 8'!I12</f>
        <v>0</v>
      </c>
      <c r="G14" s="216">
        <f>+'[1]CLASSE 8'!E12</f>
        <v>0</v>
      </c>
      <c r="H14" s="1189">
        <f t="shared" si="0"/>
        <v>0</v>
      </c>
      <c r="I14" s="559">
        <f t="shared" si="1"/>
        <v>0</v>
      </c>
      <c r="J14" s="559">
        <f t="shared" si="2"/>
        <v>1</v>
      </c>
      <c r="K14" s="559">
        <f t="shared" si="3"/>
        <v>0</v>
      </c>
      <c r="L14" s="559">
        <f t="shared" si="4"/>
        <v>1</v>
      </c>
    </row>
    <row r="15" spans="2:12" s="559" customFormat="1" ht="24.95" customHeight="1">
      <c r="B15" s="1199" t="str">
        <f>IF([1]ACCUEIL!B1=1,"
Losses on receivables E O A","Pertes sur créances HAO")</f>
        <v>Pertes sur créances HAO</v>
      </c>
      <c r="C15" s="1188"/>
      <c r="D15" s="1188"/>
      <c r="E15" s="1111"/>
      <c r="F15" s="216">
        <f>'[1]CLASSE 8'!I13</f>
        <v>0</v>
      </c>
      <c r="G15" s="216">
        <f>'[1]CLASSE 8'!E13</f>
        <v>0</v>
      </c>
      <c r="H15" s="1189">
        <f t="shared" si="0"/>
        <v>0</v>
      </c>
      <c r="I15" s="559">
        <f t="shared" si="1"/>
        <v>0</v>
      </c>
      <c r="J15" s="559">
        <f t="shared" si="2"/>
        <v>1</v>
      </c>
      <c r="K15" s="559">
        <f t="shared" si="3"/>
        <v>0</v>
      </c>
      <c r="L15" s="559">
        <f t="shared" si="4"/>
        <v>1</v>
      </c>
    </row>
    <row r="16" spans="2:12" s="559" customFormat="1" ht="24.95" customHeight="1">
      <c r="B16" s="1199" t="str">
        <f>IF([1]ACCUEIL!B1=1,"Gifts and donations","Dons et libéralités accordes")</f>
        <v>Dons et libéralités accordes</v>
      </c>
      <c r="C16" s="1188"/>
      <c r="D16" s="1188"/>
      <c r="E16" s="1111"/>
      <c r="F16" s="216">
        <f>'[1]CLASSE 8'!I14</f>
        <v>0</v>
      </c>
      <c r="G16" s="216">
        <f>'[1]CLASSE 8'!E14</f>
        <v>0</v>
      </c>
      <c r="H16" s="1189">
        <f t="shared" si="0"/>
        <v>0</v>
      </c>
      <c r="I16" s="559">
        <f t="shared" si="1"/>
        <v>0</v>
      </c>
      <c r="J16" s="559">
        <f t="shared" si="2"/>
        <v>1</v>
      </c>
      <c r="K16" s="559">
        <f t="shared" si="3"/>
        <v>0</v>
      </c>
      <c r="L16" s="559">
        <f t="shared" si="4"/>
        <v>1</v>
      </c>
    </row>
    <row r="17" spans="2:12" s="559" customFormat="1" ht="24.95" customHeight="1">
      <c r="B17" s="1199" t="str">
        <f>IF([1]ACCUEIL!B1=1,"Abandonment of debts granted","Abandons de créances consenties")</f>
        <v>Abandons de créances consenties</v>
      </c>
      <c r="C17" s="1188"/>
      <c r="D17" s="1188"/>
      <c r="E17" s="1111"/>
      <c r="F17" s="216">
        <f>'[1]CLASSE 8'!I15</f>
        <v>0</v>
      </c>
      <c r="G17" s="216">
        <f>'[1]CLASSE 8'!E15</f>
        <v>0</v>
      </c>
      <c r="H17" s="1189">
        <f t="shared" si="0"/>
        <v>0</v>
      </c>
      <c r="I17" s="559">
        <f t="shared" si="1"/>
        <v>0</v>
      </c>
      <c r="J17" s="559">
        <f t="shared" si="2"/>
        <v>1</v>
      </c>
      <c r="K17" s="559">
        <f t="shared" si="3"/>
        <v>0</v>
      </c>
      <c r="L17" s="559">
        <f t="shared" si="4"/>
        <v>1</v>
      </c>
    </row>
    <row r="18" spans="2:12" s="559" customFormat="1" ht="24.95" customHeight="1">
      <c r="B18" s="1199" t="str">
        <f>IF([1]ACCUEIL!B1=1,"Provisioned expenses E O A","Charges provisionnées HAO")</f>
        <v>Charges provisionnées HAO</v>
      </c>
      <c r="C18" s="1188"/>
      <c r="D18" s="1188"/>
      <c r="E18" s="1111"/>
      <c r="F18" s="216">
        <f>'[1]CLASSE 8'!I16</f>
        <v>0</v>
      </c>
      <c r="G18" s="216">
        <f>'[1]CLASSE 8'!E16</f>
        <v>0</v>
      </c>
      <c r="H18" s="1189">
        <f t="shared" si="0"/>
        <v>0</v>
      </c>
      <c r="I18" s="559">
        <f t="shared" si="1"/>
        <v>0</v>
      </c>
      <c r="J18" s="559">
        <f t="shared" si="2"/>
        <v>1</v>
      </c>
      <c r="K18" s="559">
        <f t="shared" si="3"/>
        <v>0</v>
      </c>
      <c r="L18" s="559">
        <f t="shared" si="4"/>
        <v>1</v>
      </c>
    </row>
    <row r="19" spans="2:12" s="559" customFormat="1" ht="24.95" customHeight="1">
      <c r="B19" s="1199" t="str">
        <f>IF([1]ACCUEIL!B1=1,"Endowments E O A","Dotations HAO")</f>
        <v>Dotations HAO</v>
      </c>
      <c r="C19" s="1188"/>
      <c r="D19" s="1188"/>
      <c r="E19" s="1111"/>
      <c r="F19" s="216">
        <f>SUM('[1]CLASSE 8'!I26:I30)</f>
        <v>0</v>
      </c>
      <c r="G19" s="216">
        <f>SUM('[1]CLASSE 8'!E26:E30)</f>
        <v>0</v>
      </c>
      <c r="H19" s="1189">
        <f t="shared" si="0"/>
        <v>0</v>
      </c>
      <c r="I19" s="559">
        <f t="shared" si="1"/>
        <v>0</v>
      </c>
      <c r="J19" s="559">
        <f t="shared" si="2"/>
        <v>1</v>
      </c>
      <c r="K19" s="559">
        <f t="shared" si="3"/>
        <v>0</v>
      </c>
      <c r="L19" s="559">
        <f t="shared" si="4"/>
        <v>1</v>
      </c>
    </row>
    <row r="20" spans="2:12" s="559" customFormat="1" ht="24.95" customHeight="1">
      <c r="B20" s="1199" t="str">
        <f>IF([1]ACCUEIL!B1=1,"Worker participations","Participations des travailleurs")</f>
        <v>Participations des travailleurs</v>
      </c>
      <c r="C20" s="1188"/>
      <c r="D20" s="1188"/>
      <c r="E20" s="1111"/>
      <c r="F20" s="216">
        <f>SUM('[1]CLASSE 8'!I36:I38)</f>
        <v>0</v>
      </c>
      <c r="G20" s="216">
        <f>SUM('[1]CLASSE 8'!E36:E38)</f>
        <v>0</v>
      </c>
      <c r="H20" s="1189">
        <f t="shared" si="0"/>
        <v>0</v>
      </c>
      <c r="I20" s="559">
        <f t="shared" si="1"/>
        <v>0</v>
      </c>
      <c r="J20" s="559">
        <f t="shared" si="2"/>
        <v>1</v>
      </c>
      <c r="K20" s="559">
        <f t="shared" si="3"/>
        <v>0</v>
      </c>
      <c r="L20" s="559">
        <f t="shared" si="4"/>
        <v>1</v>
      </c>
    </row>
    <row r="21" spans="2:12" s="559" customFormat="1" ht="24.95" customHeight="1">
      <c r="B21" s="1207" t="str">
        <f>IF([1]ACCUEIL!B1=1,"SUB-TOTAL: OTHER EXPENSES E O A","SOUS TOTAL : AUTRES CHARGES HAO")</f>
        <v>SOUS TOTAL : AUTRES CHARGES HAO</v>
      </c>
      <c r="C21" s="1208"/>
      <c r="D21" s="1208"/>
      <c r="E21" s="1209"/>
      <c r="F21" s="210">
        <f>SUM(F11:F20)</f>
        <v>0</v>
      </c>
      <c r="G21" s="210">
        <f>SUM(G11:G20)</f>
        <v>0</v>
      </c>
      <c r="H21" s="1189">
        <f t="shared" si="0"/>
        <v>0</v>
      </c>
      <c r="I21" s="559">
        <f t="shared" si="1"/>
        <v>0</v>
      </c>
      <c r="J21" s="559">
        <f t="shared" si="2"/>
        <v>1</v>
      </c>
      <c r="K21" s="559">
        <f t="shared" si="3"/>
        <v>0</v>
      </c>
      <c r="L21" s="559">
        <f t="shared" si="4"/>
        <v>1</v>
      </c>
    </row>
    <row r="22" spans="2:12" s="559" customFormat="1" ht="24.95" customHeight="1">
      <c r="B22" s="1210" t="str">
        <f>IF([1]ACCUEIL!B1=1,"Balance grants","Subventions d'équilibre")</f>
        <v>Subventions d'équilibre</v>
      </c>
      <c r="C22" s="1188"/>
      <c r="D22" s="1188"/>
      <c r="E22" s="1111"/>
      <c r="F22" s="216">
        <f>SUM('[1]CLASSE 8'!I39:I42)</f>
        <v>0</v>
      </c>
      <c r="G22" s="216">
        <f>SUM('[1]CLASSE 8'!E39:E42)</f>
        <v>0</v>
      </c>
      <c r="H22" s="1189">
        <f t="shared" si="0"/>
        <v>0</v>
      </c>
      <c r="I22" s="559">
        <f t="shared" si="1"/>
        <v>0</v>
      </c>
      <c r="J22" s="559">
        <f t="shared" si="2"/>
        <v>1</v>
      </c>
      <c r="K22" s="559">
        <f t="shared" si="3"/>
        <v>0</v>
      </c>
      <c r="L22" s="559">
        <f t="shared" si="4"/>
        <v>1</v>
      </c>
    </row>
    <row r="23" spans="2:12" s="559" customFormat="1" ht="24.95" customHeight="1">
      <c r="B23" s="1110" t="str">
        <f>IF([1]ACCUEIL!B1=1,"HAO PRODUCT FINDINGS (841) TO DETAIL","PRODUITS HAO CONSTATES (841) A DETAILLER")</f>
        <v>PRODUITS HAO CONSTATES (841) A DETAILLER</v>
      </c>
      <c r="C23" s="1188"/>
      <c r="D23" s="1188"/>
      <c r="E23" s="1111"/>
      <c r="F23" s="216">
        <f>'[1]CLASSE 8'!J18</f>
        <v>0</v>
      </c>
      <c r="G23" s="216">
        <f>'[1]CLASSE 8'!F18</f>
        <v>0</v>
      </c>
      <c r="H23" s="1189">
        <f t="shared" si="0"/>
        <v>0</v>
      </c>
      <c r="I23" s="559">
        <f t="shared" si="1"/>
        <v>0</v>
      </c>
      <c r="J23" s="559">
        <f t="shared" si="2"/>
        <v>1</v>
      </c>
      <c r="K23" s="559">
        <f t="shared" si="3"/>
        <v>0</v>
      </c>
      <c r="L23" s="559">
        <f t="shared" si="4"/>
        <v>1</v>
      </c>
    </row>
    <row r="24" spans="2:12" s="559" customFormat="1" ht="24.95" customHeight="1">
      <c r="B24" s="1110" t="s">
        <v>303</v>
      </c>
      <c r="C24" s="1188"/>
      <c r="D24" s="1188"/>
      <c r="E24" s="1111"/>
      <c r="F24" s="1203">
        <f>'[1]NOTE 30'!F24</f>
        <v>0</v>
      </c>
      <c r="G24" s="1203">
        <f>'[1]NOTE 30'!G24</f>
        <v>0</v>
      </c>
      <c r="H24" s="1189">
        <f t="shared" si="0"/>
        <v>0</v>
      </c>
      <c r="I24" s="559">
        <f t="shared" si="1"/>
        <v>0</v>
      </c>
      <c r="J24" s="559">
        <f t="shared" si="2"/>
        <v>1</v>
      </c>
      <c r="K24" s="559">
        <f t="shared" si="3"/>
        <v>0</v>
      </c>
      <c r="L24" s="559">
        <f t="shared" si="4"/>
        <v>1</v>
      </c>
    </row>
    <row r="25" spans="2:12" s="559" customFormat="1" ht="24.95" customHeight="1">
      <c r="B25" s="1204" t="s">
        <v>304</v>
      </c>
      <c r="C25" s="1205"/>
      <c r="D25" s="1205"/>
      <c r="E25" s="1206"/>
      <c r="F25" s="1203">
        <f>'[1]NOTE 30'!F25</f>
        <v>0</v>
      </c>
      <c r="G25" s="1203">
        <f>'[1]NOTE 30'!G25</f>
        <v>0</v>
      </c>
      <c r="H25" s="1189">
        <f t="shared" si="0"/>
        <v>0</v>
      </c>
      <c r="I25" s="559">
        <f t="shared" si="1"/>
        <v>0</v>
      </c>
      <c r="J25" s="559">
        <f t="shared" si="2"/>
        <v>1</v>
      </c>
      <c r="K25" s="559">
        <f t="shared" si="3"/>
        <v>0</v>
      </c>
      <c r="L25" s="559">
        <f t="shared" si="4"/>
        <v>1</v>
      </c>
    </row>
    <row r="26" spans="2:12" s="559" customFormat="1" ht="24.95" customHeight="1">
      <c r="B26" s="1210" t="str">
        <f>IF([1]ACCUEIL!B1=1,"Products related to restructuring operations","Produits liés aux opérations de restructuration")</f>
        <v>Produits liés aux opérations de restructuration</v>
      </c>
      <c r="C26" s="1205"/>
      <c r="D26" s="1205"/>
      <c r="E26" s="1206"/>
      <c r="F26" s="1211">
        <f>+'[1]CLASSE 8'!J19</f>
        <v>0</v>
      </c>
      <c r="G26" s="1211">
        <f>+'[1]CLASSE 8'!F19</f>
        <v>0</v>
      </c>
      <c r="H26" s="1189">
        <f t="shared" si="0"/>
        <v>0</v>
      </c>
      <c r="I26" s="559">
        <f t="shared" si="1"/>
        <v>0</v>
      </c>
      <c r="J26" s="559">
        <f t="shared" si="2"/>
        <v>1</v>
      </c>
      <c r="K26" s="559">
        <f t="shared" si="3"/>
        <v>0</v>
      </c>
      <c r="L26" s="559">
        <f t="shared" si="4"/>
        <v>1</v>
      </c>
    </row>
    <row r="27" spans="2:12" s="559" customFormat="1" ht="24.95" customHeight="1">
      <c r="B27" s="1210" t="str">
        <f>IF([1]ACCUEIL!B1=1,"Indemnities and subsidies EOA (agricultural entity)","Indemnités et subventions HAO (entité agricole)")</f>
        <v>Indemnités et subventions HAO (entité agricole)</v>
      </c>
      <c r="C27" s="1205"/>
      <c r="D27" s="1205"/>
      <c r="E27" s="1206"/>
      <c r="F27" s="1211">
        <f>+'[1]CLASSE 8'!J20</f>
        <v>0</v>
      </c>
      <c r="G27" s="1211">
        <f>+'[1]CLASSE 8'!F20</f>
        <v>0</v>
      </c>
      <c r="H27" s="1189">
        <f t="shared" si="0"/>
        <v>0</v>
      </c>
      <c r="I27" s="559">
        <f t="shared" si="1"/>
        <v>0</v>
      </c>
      <c r="J27" s="559">
        <f t="shared" si="2"/>
        <v>1</v>
      </c>
      <c r="K27" s="559">
        <f t="shared" si="3"/>
        <v>0</v>
      </c>
      <c r="L27" s="559">
        <f t="shared" si="4"/>
        <v>1</v>
      </c>
    </row>
    <row r="28" spans="2:12" s="559" customFormat="1" ht="24.95" customHeight="1">
      <c r="B28" s="1210" t="str">
        <f>IF([1]ACCUEIL!B1=1,"Donations and donations","Dons et libéralités obtenus")</f>
        <v>Dons et libéralités obtenus</v>
      </c>
      <c r="C28" s="1200"/>
      <c r="D28" s="1200"/>
      <c r="E28" s="1201"/>
      <c r="F28" s="1211">
        <f>'[1]CLASSE 8'!J21</f>
        <v>0</v>
      </c>
      <c r="G28" s="216">
        <f>'[1]CLASSE 8'!F21</f>
        <v>0</v>
      </c>
      <c r="H28" s="1189">
        <f t="shared" si="0"/>
        <v>0</v>
      </c>
      <c r="I28" s="559">
        <f t="shared" si="1"/>
        <v>0</v>
      </c>
      <c r="J28" s="559">
        <f t="shared" si="2"/>
        <v>1</v>
      </c>
      <c r="K28" s="559">
        <f t="shared" si="3"/>
        <v>0</v>
      </c>
      <c r="L28" s="559">
        <f t="shared" si="4"/>
        <v>1</v>
      </c>
    </row>
    <row r="29" spans="2:12" s="559" customFormat="1" ht="24.95" customHeight="1">
      <c r="B29" s="1210" t="str">
        <f>IF([1]ACCUEIL!B1=1,"Debt forgiveness obtained","Abandons de créances obtenus")</f>
        <v>Abandons de créances obtenus</v>
      </c>
      <c r="C29" s="1200"/>
      <c r="D29" s="1200"/>
      <c r="E29" s="1201"/>
      <c r="F29" s="1211">
        <f>'[1]CLASSE 8'!J22</f>
        <v>0</v>
      </c>
      <c r="G29" s="216">
        <f>'[1]CLASSE 8'!F22</f>
        <v>0</v>
      </c>
      <c r="H29" s="1189">
        <f t="shared" si="0"/>
        <v>0</v>
      </c>
      <c r="I29" s="559">
        <f t="shared" si="1"/>
        <v>0</v>
      </c>
      <c r="J29" s="559">
        <f t="shared" si="2"/>
        <v>1</v>
      </c>
      <c r="K29" s="559">
        <f t="shared" si="3"/>
        <v>0</v>
      </c>
      <c r="L29" s="559">
        <f t="shared" si="4"/>
        <v>1</v>
      </c>
    </row>
    <row r="30" spans="2:12" s="559" customFormat="1" ht="24.95" customHeight="1">
      <c r="B30" s="1210" t="str">
        <f>IF([1]ACCUEIL!B1=1,"Load transfer E.O.A","Transfert de charges H.A.O")</f>
        <v>Transfert de charges H.A.O</v>
      </c>
      <c r="C30" s="1200"/>
      <c r="D30" s="1200"/>
      <c r="E30" s="1201"/>
      <c r="F30" s="1211">
        <f>'[1]CLASSE 8'!J24</f>
        <v>0</v>
      </c>
      <c r="G30" s="216">
        <f>'[1]CLASSE 8'!F24</f>
        <v>0</v>
      </c>
      <c r="H30" s="1189">
        <f t="shared" si="0"/>
        <v>0</v>
      </c>
      <c r="I30" s="559">
        <f t="shared" si="1"/>
        <v>0</v>
      </c>
      <c r="J30" s="559">
        <f t="shared" si="2"/>
        <v>1</v>
      </c>
      <c r="K30" s="559">
        <f t="shared" si="3"/>
        <v>0</v>
      </c>
      <c r="L30" s="559">
        <f t="shared" si="4"/>
        <v>1</v>
      </c>
    </row>
    <row r="31" spans="2:12" s="559" customFormat="1" ht="35.450000000000003" customHeight="1">
      <c r="B31" s="2111" t="str">
        <f>IF([1]ACCUEIL!B1=1,"Reversal of charges for impairment and provisions for short-term risks EOA","Reprises de charges pour dépréciations et provisions pour risques à court terme HAO")</f>
        <v>Reprises de charges pour dépréciations et provisions pour risques à court terme HAO</v>
      </c>
      <c r="C31" s="2112"/>
      <c r="D31" s="2112"/>
      <c r="E31" s="2113"/>
      <c r="F31" s="1211">
        <f>'[1]CLASSE 8'!J25</f>
        <v>0</v>
      </c>
      <c r="G31" s="216">
        <f>'[1]CLASSE 8'!F25</f>
        <v>0</v>
      </c>
      <c r="H31" s="1189">
        <f t="shared" si="0"/>
        <v>0</v>
      </c>
      <c r="I31" s="559">
        <f t="shared" si="1"/>
        <v>0</v>
      </c>
      <c r="J31" s="559">
        <f t="shared" si="2"/>
        <v>1</v>
      </c>
      <c r="K31" s="559">
        <f t="shared" si="3"/>
        <v>0</v>
      </c>
      <c r="L31" s="559">
        <f t="shared" si="4"/>
        <v>1</v>
      </c>
    </row>
    <row r="32" spans="2:12" s="559" customFormat="1" ht="24.95" customHeight="1">
      <c r="B32" s="1210" t="str">
        <f>IF([1]ACCUEIL!B1=1,"Reversal of charges, provisions and depreciation EOA","Reprises des charges, provisions et dépréciations H.A.O")</f>
        <v>Reprises des charges, provisions et dépréciations H.A.O</v>
      </c>
      <c r="C32" s="1200"/>
      <c r="D32" s="1200"/>
      <c r="E32" s="1201"/>
      <c r="F32" s="1211">
        <f>SUM('[1]CLASSE 8'!J31:J35)</f>
        <v>0</v>
      </c>
      <c r="G32" s="216">
        <f>SUM('[1]CLASSE 8'!F31:F35)</f>
        <v>0</v>
      </c>
      <c r="H32" s="1189">
        <f t="shared" si="0"/>
        <v>0</v>
      </c>
      <c r="I32" s="559">
        <f t="shared" si="1"/>
        <v>0</v>
      </c>
      <c r="J32" s="559">
        <f t="shared" si="2"/>
        <v>1</v>
      </c>
      <c r="K32" s="559">
        <f t="shared" si="3"/>
        <v>0</v>
      </c>
      <c r="L32" s="559">
        <f t="shared" si="4"/>
        <v>1</v>
      </c>
    </row>
    <row r="33" spans="2:12" s="559" customFormat="1" ht="24.95" customHeight="1">
      <c r="B33" s="1207" t="str">
        <f>IF([1]ACCUEIL!B1=1,"SUB-TOTAL: OTHER PRODUCTS EOA","SOUS TOTAL : AUTRES PRODUITS HAO")</f>
        <v>SOUS TOTAL : AUTRES PRODUITS HAO</v>
      </c>
      <c r="C33" s="1208"/>
      <c r="D33" s="1208"/>
      <c r="E33" s="1209"/>
      <c r="F33" s="210">
        <f>SUM(F23:F32)</f>
        <v>0</v>
      </c>
      <c r="G33" s="210">
        <f>SUM(G23:G32)</f>
        <v>0</v>
      </c>
      <c r="H33" s="1189">
        <f t="shared" si="0"/>
        <v>0</v>
      </c>
      <c r="I33" s="559">
        <f t="shared" si="1"/>
        <v>0</v>
      </c>
      <c r="J33" s="559">
        <f t="shared" si="2"/>
        <v>1</v>
      </c>
      <c r="K33" s="559">
        <f t="shared" si="3"/>
        <v>0</v>
      </c>
      <c r="L33" s="559">
        <f t="shared" si="4"/>
        <v>1</v>
      </c>
    </row>
    <row r="34" spans="2:12" s="559" customFormat="1" ht="24.95" customHeight="1">
      <c r="B34" s="1115" t="str">
        <f>IF([1]ACCUEIL!B1=1,"GRAND TOTAL","TOTAL GENERAL")</f>
        <v>TOTAL GENERAL</v>
      </c>
      <c r="C34" s="1191"/>
      <c r="D34" s="1191"/>
      <c r="E34" s="1116"/>
      <c r="F34" s="210">
        <f>F21+F33</f>
        <v>0</v>
      </c>
      <c r="G34" s="210">
        <f>G21+G33</f>
        <v>0</v>
      </c>
      <c r="H34" s="1189">
        <f t="shared" si="0"/>
        <v>0</v>
      </c>
      <c r="I34" s="559">
        <f t="shared" si="1"/>
        <v>0</v>
      </c>
      <c r="J34" s="559">
        <f t="shared" si="2"/>
        <v>1</v>
      </c>
      <c r="K34" s="559">
        <f t="shared" si="3"/>
        <v>0</v>
      </c>
      <c r="L34" s="559">
        <f t="shared" si="4"/>
        <v>1</v>
      </c>
    </row>
    <row r="35" spans="2:12">
      <c r="B35" s="118"/>
      <c r="C35" s="118"/>
      <c r="D35" s="118"/>
      <c r="E35" s="118"/>
      <c r="F35" s="118"/>
      <c r="G35" s="118"/>
      <c r="H35" s="118"/>
    </row>
    <row r="36" spans="2:12">
      <c r="B36" s="1202" t="str">
        <f>'NOTE 29'!B33</f>
        <v>COMMENTAIRE</v>
      </c>
      <c r="C36" s="1733">
        <f>'[1]NOTE 30'!C36:H36</f>
        <v>0</v>
      </c>
      <c r="D36" s="1733"/>
      <c r="E36" s="1733"/>
      <c r="F36" s="1733"/>
      <c r="G36" s="1733"/>
      <c r="H36" s="1733"/>
    </row>
    <row r="37" spans="2:12">
      <c r="B37" s="118"/>
      <c r="C37" s="1733">
        <f>'[1]NOTE 30'!C37:H37</f>
        <v>0</v>
      </c>
      <c r="D37" s="1733"/>
      <c r="E37" s="1733"/>
      <c r="F37" s="1733"/>
      <c r="G37" s="1733"/>
      <c r="H37" s="1733"/>
    </row>
    <row r="38" spans="2:12">
      <c r="B38" s="118"/>
      <c r="C38" s="1733">
        <f>'[1]NOTE 30'!C38:H38</f>
        <v>0</v>
      </c>
      <c r="D38" s="1733"/>
      <c r="E38" s="1733"/>
      <c r="F38" s="1733"/>
      <c r="G38" s="1733"/>
      <c r="H38" s="1733"/>
    </row>
    <row r="39" spans="2:12">
      <c r="B39" s="118"/>
      <c r="C39" s="1733">
        <f>'[1]NOTE 30'!C39:H39</f>
        <v>0</v>
      </c>
      <c r="D39" s="1733"/>
      <c r="E39" s="1733"/>
      <c r="F39" s="1733"/>
      <c r="G39" s="1733"/>
      <c r="H39" s="1733"/>
    </row>
    <row r="40" spans="2:12">
      <c r="B40" s="118"/>
      <c r="C40" s="1733">
        <f>'[1]NOTE 30'!C40:H40</f>
        <v>0</v>
      </c>
      <c r="D40" s="1733"/>
      <c r="E40" s="1733"/>
      <c r="F40" s="1733"/>
      <c r="G40" s="1733"/>
      <c r="H40" s="1733"/>
    </row>
    <row r="41" spans="2:12">
      <c r="B41" s="118"/>
      <c r="C41" s="1733">
        <f>'[1]NOTE 30'!C41:H41</f>
        <v>0</v>
      </c>
      <c r="D41" s="1733"/>
      <c r="E41" s="1733"/>
      <c r="F41" s="1733"/>
      <c r="G41" s="1733"/>
      <c r="H41" s="1733"/>
    </row>
    <row r="42" spans="2:12">
      <c r="C42" s="1733">
        <f>'[1]NOTE 30'!C42:H42</f>
        <v>0</v>
      </c>
      <c r="D42" s="1733"/>
      <c r="E42" s="1733"/>
      <c r="F42" s="1733"/>
      <c r="G42" s="1733"/>
      <c r="H42" s="1733"/>
    </row>
    <row r="43" spans="2:12">
      <c r="C43" s="1733">
        <f>'[1]NOTE 30'!C43:H43</f>
        <v>0</v>
      </c>
      <c r="D43" s="1733"/>
      <c r="E43" s="1733"/>
      <c r="F43" s="1733"/>
      <c r="G43" s="1733"/>
      <c r="H43" s="1733"/>
    </row>
    <row r="44" spans="2:12">
      <c r="C44" s="1733">
        <f>'[1]NOTE 30'!C44:H44</f>
        <v>0</v>
      </c>
      <c r="D44" s="1733"/>
      <c r="E44" s="1733"/>
      <c r="F44" s="1733"/>
      <c r="G44" s="1733"/>
      <c r="H44" s="1733"/>
    </row>
    <row r="45" spans="2:12">
      <c r="C45" s="1733">
        <f>'[1]NOTE 30'!C45:H45</f>
        <v>0</v>
      </c>
      <c r="D45" s="1733"/>
      <c r="E45" s="1733"/>
      <c r="F45" s="1733"/>
      <c r="G45" s="1733"/>
      <c r="H45" s="1733"/>
    </row>
    <row r="46" spans="2:12">
      <c r="C46" s="1733">
        <f>'[1]NOTE 30'!C46:H46</f>
        <v>0</v>
      </c>
      <c r="D46" s="1733"/>
      <c r="E46" s="1733"/>
      <c r="F46" s="1733"/>
      <c r="G46" s="1733"/>
      <c r="H46" s="1733"/>
    </row>
  </sheetData>
  <sheetProtection selectLockedCells="1"/>
  <mergeCells count="16">
    <mergeCell ref="C43:H43"/>
    <mergeCell ref="C44:H44"/>
    <mergeCell ref="C45:H45"/>
    <mergeCell ref="C46:H46"/>
    <mergeCell ref="C37:H37"/>
    <mergeCell ref="C38:H38"/>
    <mergeCell ref="C39:H39"/>
    <mergeCell ref="C40:H40"/>
    <mergeCell ref="C41:H41"/>
    <mergeCell ref="C42:H42"/>
    <mergeCell ref="C36:H36"/>
    <mergeCell ref="B1:H1"/>
    <mergeCell ref="G2:H3"/>
    <mergeCell ref="B9:H9"/>
    <mergeCell ref="B10:E10"/>
    <mergeCell ref="B31:E31"/>
  </mergeCells>
  <conditionalFormatting sqref="G5:H5 G6 D6">
    <cfRule type="expression" dxfId="5" priority="1">
      <formula>#REF!=1</formula>
    </cfRule>
  </conditionalFormatting>
  <printOptions horizontalCentered="1"/>
  <pageMargins left="0.78740157480314965" right="0" top="0.59055118110236227" bottom="0.19685039370078741" header="0.31496062992125984" footer="0.31496062992125984"/>
  <pageSetup paperSize="9" scale="76" orientation="portrait" r:id="rId1"/>
  <headerFooter>
    <oddHeader>&amp;C&amp;"-,Gras"&amp;14Page &amp;P / &amp;N</oddHeader>
  </headerFooter>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Feuil58">
    <pageSetUpPr fitToPage="1"/>
  </sheetPr>
  <dimension ref="B1:H40"/>
  <sheetViews>
    <sheetView showGridLines="0" showZeros="0" topLeftCell="A28" zoomScale="80" zoomScaleNormal="80" zoomScaleSheetLayoutView="106" workbookViewId="0">
      <selection activeCell="B36" sqref="B36:C40"/>
    </sheetView>
  </sheetViews>
  <sheetFormatPr baseColWidth="10" defaultColWidth="11.42578125" defaultRowHeight="15"/>
  <cols>
    <col min="1" max="1" width="8.42578125" style="256" customWidth="1"/>
    <col min="2" max="2" width="23.140625" style="256" customWidth="1"/>
    <col min="3" max="3" width="61.5703125" style="256" customWidth="1"/>
    <col min="4" max="4" width="17.7109375" style="256" customWidth="1"/>
    <col min="5" max="5" width="17.28515625" style="256" customWidth="1"/>
    <col min="6" max="6" width="16.140625" style="256" customWidth="1"/>
    <col min="7" max="7" width="21.28515625" style="256" bestFit="1" customWidth="1"/>
    <col min="8" max="8" width="15.7109375" style="256" customWidth="1"/>
    <col min="9" max="16384" width="11.42578125" style="256"/>
  </cols>
  <sheetData>
    <row r="1" spans="2:8">
      <c r="B1" s="2116"/>
      <c r="C1" s="2116"/>
      <c r="D1" s="2116"/>
      <c r="E1" s="2116"/>
      <c r="F1" s="2116"/>
      <c r="G1" s="2116"/>
      <c r="H1" s="2116"/>
    </row>
    <row r="2" spans="2:8">
      <c r="B2" s="828"/>
      <c r="C2" s="828"/>
      <c r="D2" s="828"/>
      <c r="E2" s="828"/>
      <c r="F2" s="828"/>
      <c r="G2" s="2117" t="str">
        <f>IF([1]ACCUEIL!B1=1,"NOTE 31
NORMAL SYSTEM","NOTE 31
SYSTEME NORMAL")</f>
        <v>NOTE 31
SYSTEME NORMAL</v>
      </c>
      <c r="H2" s="2118"/>
    </row>
    <row r="3" spans="2:8">
      <c r="B3" s="829"/>
      <c r="C3" s="829"/>
      <c r="D3" s="829"/>
      <c r="E3" s="829"/>
      <c r="F3" s="829"/>
      <c r="G3" s="2119"/>
      <c r="H3" s="2120"/>
    </row>
    <row r="4" spans="2:8">
      <c r="B4" s="830" t="str">
        <f>'NOTE 30'!B4</f>
        <v>Désignation entité:</v>
      </c>
      <c r="C4" s="831" t="str">
        <f>'NOTE 30'!C4</f>
        <v/>
      </c>
      <c r="D4" s="832"/>
      <c r="E4" s="829"/>
      <c r="F4" s="829"/>
      <c r="G4" s="832"/>
      <c r="H4" s="829"/>
    </row>
    <row r="5" spans="2:8" ht="17.25" customHeight="1">
      <c r="B5" s="830" t="str">
        <f>'NOTE 30'!B5</f>
        <v>Sigle usuel :</v>
      </c>
      <c r="C5" s="833" t="str">
        <f>'NOTE 30'!C5</f>
        <v/>
      </c>
      <c r="E5" s="834"/>
      <c r="F5" s="834"/>
      <c r="G5" s="835"/>
      <c r="H5" s="836"/>
    </row>
    <row r="6" spans="2:8" ht="20.25" customHeight="1">
      <c r="B6" s="830" t="str">
        <f>'NOTE 30'!B6</f>
        <v>Adresse:</v>
      </c>
      <c r="C6" s="831">
        <f>'NOTE 30'!C6</f>
        <v>0</v>
      </c>
      <c r="D6" s="825"/>
      <c r="E6" s="837"/>
      <c r="F6" s="837"/>
      <c r="G6" s="826" t="str">
        <f>'NOTE 30'!G6</f>
        <v>BP:</v>
      </c>
      <c r="H6" s="833" t="str">
        <f>'NOTE 30'!H6</f>
        <v/>
      </c>
    </row>
    <row r="7" spans="2:8" ht="21.75" customHeight="1">
      <c r="B7" s="830" t="str">
        <f>'NOTE 30'!B7</f>
        <v>Numéro d'identification:</v>
      </c>
      <c r="C7" s="838" t="str">
        <f>'NOTE 30'!C7</f>
        <v/>
      </c>
      <c r="D7" s="2121" t="str">
        <f>'NOTE 30'!E7</f>
        <v xml:space="preserve">   Exercice clos le 31 - 12- </v>
      </c>
      <c r="E7" s="2121"/>
      <c r="F7" s="838">
        <f>'NOTE 30'!F7</f>
        <v>2025</v>
      </c>
      <c r="G7" s="839" t="str">
        <f>'NOTE 30'!G7</f>
        <v xml:space="preserve">    Durée (en mois):</v>
      </c>
      <c r="H7" s="838">
        <f>'NOTE 30'!H7</f>
        <v>12</v>
      </c>
    </row>
    <row r="8" spans="2:8" ht="9" customHeight="1">
      <c r="B8" s="828"/>
      <c r="C8" s="840"/>
      <c r="D8" s="828"/>
      <c r="E8" s="828"/>
      <c r="F8" s="840"/>
      <c r="G8" s="828"/>
      <c r="H8" s="840"/>
    </row>
    <row r="9" spans="2:8" ht="34.5" customHeight="1">
      <c r="B9" s="2122" t="str">
        <f>IF([1]ACCUEIL!B1=1,"NOTE 31 DISTRIBUTION OF RESULT AND OTHER CHARACTERISTIC ELEMENTS OF THE LAST FIVE YEARS","NOTE 31 REPARTITION DU RESULTAT ET AUTRES ELEMENTS CARACTERISTIQUES DES CINQ DERNIERES ANNEES")</f>
        <v>NOTE 31 REPARTITION DU RESULTAT ET AUTRES ELEMENTS CARACTERISTIQUES DES CINQ DERNIERES ANNEES</v>
      </c>
      <c r="C9" s="2122"/>
      <c r="D9" s="2122"/>
      <c r="E9" s="2122"/>
      <c r="F9" s="2122"/>
      <c r="G9" s="2122"/>
      <c r="H9" s="2122"/>
    </row>
    <row r="10" spans="2:8" ht="15.75" customHeight="1">
      <c r="B10" s="841"/>
      <c r="C10" s="1212" t="str">
        <f>IF([1]ACCUEIL!B1=1,"EXERCISES CONCERNED (1)","EXERCICES CONCERNES (1)")</f>
        <v>EXERCICES CONCERNES (1)</v>
      </c>
      <c r="D10" s="2127">
        <f>'[1]NOTE 31'!D10</f>
        <v>2025</v>
      </c>
      <c r="E10" s="2127">
        <f>'[1]NOTE 31'!E10</f>
        <v>2024</v>
      </c>
      <c r="F10" s="2127">
        <f>'[1]NOTE 31'!F10</f>
        <v>2023</v>
      </c>
      <c r="G10" s="2127">
        <f>'[1]NOTE 31'!G10</f>
        <v>2022</v>
      </c>
      <c r="H10" s="2127">
        <f>'[1]NOTE 31'!H10</f>
        <v>2021</v>
      </c>
    </row>
    <row r="11" spans="2:8" ht="15.75" customHeight="1">
      <c r="B11" s="842" t="str">
        <f>IF([1]ACCUEIL!B1=1,"NATURE OF INDICATIONS","NATURE DES INDICATIONS")</f>
        <v>NATURE DES INDICATIONS</v>
      </c>
      <c r="C11" s="843"/>
      <c r="D11" s="2128"/>
      <c r="E11" s="2128"/>
      <c r="F11" s="2128"/>
      <c r="G11" s="2128"/>
      <c r="H11" s="2128"/>
    </row>
    <row r="12" spans="2:8" ht="15.75" customHeight="1">
      <c r="B12" s="2123" t="str">
        <f>IF([1]ACCUEIL!B1=1,"CAPITAL STRUCTURE AT THE END OF THE FINANCIAL YEAR (2)","STRUCTURE DU CAPITAL A LA CLOTURE DE L'EXERCICE (2)")</f>
        <v>STRUCTURE DU CAPITAL A LA CLOTURE DE L'EXERCICE (2)</v>
      </c>
      <c r="C12" s="2124"/>
      <c r="D12" s="844">
        <f>'[1]NOTE 31'!D12</f>
        <v>0</v>
      </c>
      <c r="E12" s="844">
        <f>'[1]NOTE 31'!E12</f>
        <v>0</v>
      </c>
      <c r="F12" s="844">
        <f>'[1]NOTE 31'!F12</f>
        <v>0</v>
      </c>
      <c r="G12" s="844">
        <f>'[1]NOTE 31'!G12</f>
        <v>0</v>
      </c>
      <c r="H12" s="844">
        <f>'[1]NOTE 31'!H12</f>
        <v>0</v>
      </c>
    </row>
    <row r="13" spans="2:8" ht="19.5" customHeight="1">
      <c r="B13" s="2125" t="str">
        <f>IF([1]ACCUEIL!B1=1,"Share capital","Capital Social")</f>
        <v>Capital Social</v>
      </c>
      <c r="C13" s="2126"/>
      <c r="D13" s="844">
        <f>'[1]NOTE 31'!D13</f>
        <v>0</v>
      </c>
      <c r="E13" s="844">
        <f>'[1]NOTE 31'!E13</f>
        <v>0</v>
      </c>
      <c r="F13" s="844">
        <f>'[1]NOTE 31'!F13</f>
        <v>0</v>
      </c>
      <c r="G13" s="844">
        <f>'[1]NOTE 31'!G13</f>
        <v>0</v>
      </c>
      <c r="H13" s="844">
        <f>'[1]NOTE 31'!H13</f>
        <v>0</v>
      </c>
    </row>
    <row r="14" spans="2:8" ht="19.5" customHeight="1">
      <c r="B14" s="2125" t="str">
        <f>IF([1]ACCUEIL!B1=1,"Ordinary actions","Actions ordinaires")</f>
        <v>Actions ordinaires</v>
      </c>
      <c r="C14" s="2126"/>
      <c r="D14" s="844">
        <f>'[1]NOTE 31'!D14</f>
        <v>0</v>
      </c>
      <c r="E14" s="844">
        <f>'[1]NOTE 31'!E14</f>
        <v>0</v>
      </c>
      <c r="F14" s="844">
        <f>'[1]NOTE 31'!F14</f>
        <v>0</v>
      </c>
      <c r="G14" s="844">
        <f>'[1]NOTE 31'!G14</f>
        <v>0</v>
      </c>
      <c r="H14" s="844">
        <f>'[1]NOTE 31'!H14</f>
        <v>0</v>
      </c>
    </row>
    <row r="15" spans="2:8" ht="19.5" customHeight="1">
      <c r="B15" s="2125" t="str">
        <f>IF([1]ACCUEIL!B1=1,"Priority dividend shares (P.D.S) without voting rights","Actions à dividendes prioritaires (A.D.P) sans droit de vote")</f>
        <v>Actions à dividendes prioritaires (A.D.P) sans droit de vote</v>
      </c>
      <c r="C15" s="2126"/>
      <c r="D15" s="844">
        <f>'[1]NOTE 31'!D15</f>
        <v>0</v>
      </c>
      <c r="E15" s="844">
        <f>'[1]NOTE 31'!E15</f>
        <v>0</v>
      </c>
      <c r="F15" s="844">
        <f>'[1]NOTE 31'!F15</f>
        <v>0</v>
      </c>
      <c r="G15" s="844">
        <f>'[1]NOTE 31'!G15</f>
        <v>0</v>
      </c>
      <c r="H15" s="844">
        <f>'[1]NOTE 31'!H15</f>
        <v>0</v>
      </c>
    </row>
    <row r="16" spans="2:8" ht="19.5" customHeight="1">
      <c r="B16" s="2125" t="str">
        <f>IF([1]ACCUEIL!B1=1,"New shares to be issued","Actions nouvelles à émettre")</f>
        <v>Actions nouvelles à émettre</v>
      </c>
      <c r="C16" s="2126"/>
      <c r="D16" s="844">
        <f>'[1]NOTE 31'!D16</f>
        <v>0</v>
      </c>
      <c r="E16" s="844">
        <f>'[1]NOTE 31'!E16</f>
        <v>0</v>
      </c>
      <c r="F16" s="844">
        <f>'[1]NOTE 31'!F16</f>
        <v>0</v>
      </c>
      <c r="G16" s="844">
        <f>'[1]NOTE 31'!G16</f>
        <v>0</v>
      </c>
      <c r="H16" s="844">
        <f>'[1]NOTE 31'!H16</f>
        <v>0</v>
      </c>
    </row>
    <row r="17" spans="2:8" ht="19.5" customHeight="1">
      <c r="B17" s="2125" t="str">
        <f>IF([1]ACCUEIL!B1=1,"_ by conversion of bonds","    _ par conversion d'obligations")</f>
        <v xml:space="preserve">    _ par conversion d'obligations</v>
      </c>
      <c r="C17" s="2126"/>
      <c r="D17" s="844">
        <f>'[1]NOTE 31'!D17</f>
        <v>0</v>
      </c>
      <c r="E17" s="844">
        <f>'[1]NOTE 31'!E17</f>
        <v>0</v>
      </c>
      <c r="F17" s="844">
        <f>'[1]NOTE 31'!F17</f>
        <v>0</v>
      </c>
      <c r="G17" s="844">
        <f>'[1]NOTE 31'!G17</f>
        <v>0</v>
      </c>
      <c r="H17" s="844">
        <f>'[1]NOTE 31'!H17</f>
        <v>0</v>
      </c>
    </row>
    <row r="18" spans="2:8" ht="19.5" customHeight="1">
      <c r="B18" s="2125" t="str">
        <f>IF([1]ACCUEIL!B1=1,"_ by exercising subscription rights","    _ par exercice de droit de souscription")</f>
        <v xml:space="preserve">    _ par exercice de droit de souscription</v>
      </c>
      <c r="C18" s="2126"/>
      <c r="D18" s="844">
        <f>'[1]NOTE 31'!D18</f>
        <v>0</v>
      </c>
      <c r="E18" s="844">
        <f>'[1]NOTE 31'!E18</f>
        <v>0</v>
      </c>
      <c r="F18" s="844">
        <f>'[1]NOTE 31'!F18</f>
        <v>0</v>
      </c>
      <c r="G18" s="844">
        <f>'[1]NOTE 31'!G18</f>
        <v>0</v>
      </c>
      <c r="H18" s="844">
        <f>'[1]NOTE 31'!H18</f>
        <v>0</v>
      </c>
    </row>
    <row r="19" spans="2:8" ht="19.5" customHeight="1">
      <c r="B19" s="2114" t="str">
        <f>IF([1]ACCUEIL!B1=1,"OPERATIONS AND RESULTS FOR THE YEAR (3)","OPERATIONS ET RESULTATS DE L'EXERCICE (3)")</f>
        <v>OPERATIONS ET RESULTATS DE L'EXERCICE (3)</v>
      </c>
      <c r="C19" s="2115"/>
      <c r="D19" s="844">
        <f>'[1]NOTE 31'!D19</f>
        <v>0</v>
      </c>
      <c r="E19" s="844">
        <f>'[1]NOTE 31'!E19</f>
        <v>0</v>
      </c>
      <c r="F19" s="844">
        <f>'[1]NOTE 31'!F19</f>
        <v>0</v>
      </c>
      <c r="G19" s="844">
        <f>'[1]NOTE 31'!G19</f>
        <v>0</v>
      </c>
      <c r="H19" s="844">
        <f>'[1]NOTE 31'!H19</f>
        <v>0</v>
      </c>
    </row>
    <row r="20" spans="2:8" ht="19.5" customHeight="1">
      <c r="B20" s="2125" t="str">
        <f>IF([1]ACCUEIL!B1=1,"Tax-free turnover","Chiffre d'affaire hors taxe")</f>
        <v>Chiffre d'affaire hors taxe</v>
      </c>
      <c r="C20" s="2126"/>
      <c r="D20" s="844">
        <f>'[1]NOTE 31'!D20</f>
        <v>0</v>
      </c>
      <c r="E20" s="844">
        <f>'[1]NOTE 31'!E20</f>
        <v>0</v>
      </c>
      <c r="F20" s="844">
        <f>'[1]NOTE 31'!F20</f>
        <v>0</v>
      </c>
      <c r="G20" s="844">
        <f>'[1]NOTE 31'!G20</f>
        <v>0</v>
      </c>
      <c r="H20" s="844">
        <f>'[1]NOTE 31'!H20</f>
        <v>0</v>
      </c>
    </row>
    <row r="21" spans="2:8" ht="19.5" customHeight="1">
      <c r="B21" s="2125" t="str">
        <f>IF([1]ACCUEIL!B1=1,"Profit from ordinary activities (P.O.A) excluding allocations and reversals","Résultat des activités ordinaires (R.A.O) hors dotations et reprises ")</f>
        <v xml:space="preserve">Résultat des activités ordinaires (R.A.O) hors dotations et reprises </v>
      </c>
      <c r="C21" s="2126"/>
      <c r="D21" s="844">
        <f>'[1]NOTE 31'!D21</f>
        <v>0</v>
      </c>
      <c r="E21" s="844">
        <f ca="1">'[1]NOTE 31'!E21</f>
        <v>0</v>
      </c>
      <c r="F21" s="844">
        <f>'[1]NOTE 31'!F21</f>
        <v>0</v>
      </c>
      <c r="G21" s="844">
        <f>'[1]NOTE 31'!G21</f>
        <v>0</v>
      </c>
      <c r="H21" s="844">
        <f>'[1]NOTE 31'!H21</f>
        <v>0</v>
      </c>
    </row>
    <row r="22" spans="2:8" ht="19.5" customHeight="1">
      <c r="B22" s="2125" t="str">
        <f>IF([1]ACCUEIL!B1=1,"(operating and financial)","(exploitation et financières)")</f>
        <v>(exploitation et financières)</v>
      </c>
      <c r="C22" s="2126"/>
      <c r="D22" s="844">
        <f>'[1]NOTE 31'!D22</f>
        <v>0</v>
      </c>
      <c r="E22" s="844">
        <f>'[1]NOTE 31'!E22</f>
        <v>0</v>
      </c>
      <c r="F22" s="844">
        <f>'[1]NOTE 31'!F22</f>
        <v>0</v>
      </c>
      <c r="G22" s="844">
        <f>'[1]NOTE 31'!G22</f>
        <v>0</v>
      </c>
      <c r="H22" s="844">
        <f>'[1]NOTE 31'!H22</f>
        <v>0</v>
      </c>
    </row>
    <row r="23" spans="2:8" ht="19.5" customHeight="1">
      <c r="B23" s="2125" t="str">
        <f>IF([1]ACCUEIL!B1=1,"Employee participation in profits","Participation des travailleurs aux bénéfices")</f>
        <v>Participation des travailleurs aux bénéfices</v>
      </c>
      <c r="C23" s="2126"/>
      <c r="D23" s="844">
        <f>'[1]NOTE 31'!D23</f>
        <v>0</v>
      </c>
      <c r="E23" s="844">
        <f>'[1]NOTE 31'!E23</f>
        <v>0</v>
      </c>
      <c r="F23" s="844">
        <f>'[1]NOTE 31'!F23</f>
        <v>0</v>
      </c>
      <c r="G23" s="844">
        <f>'[1]NOTE 31'!G23</f>
        <v>0</v>
      </c>
      <c r="H23" s="844">
        <f>'[1]NOTE 31'!H23</f>
        <v>0</v>
      </c>
    </row>
    <row r="24" spans="2:8" ht="19.5" customHeight="1">
      <c r="B24" s="2125" t="str">
        <f>IF([1]ACCUEIL!B1=1,"Income tax","Impôt sur le résultat")</f>
        <v>Impôt sur le résultat</v>
      </c>
      <c r="C24" s="2126"/>
      <c r="D24" s="844">
        <f>'[1]NOTE 31'!D24</f>
        <v>0</v>
      </c>
      <c r="E24" s="844">
        <f>'[1]NOTE 31'!E24</f>
        <v>0</v>
      </c>
      <c r="F24" s="844">
        <f>'[1]NOTE 31'!F24</f>
        <v>0</v>
      </c>
      <c r="G24" s="844">
        <f>'[1]NOTE 31'!G24</f>
        <v>0</v>
      </c>
      <c r="H24" s="844">
        <f>'[1]NOTE 31'!H24</f>
        <v>0</v>
      </c>
    </row>
    <row r="25" spans="2:8" ht="19.5" customHeight="1">
      <c r="B25" s="2125" t="str">
        <f>IF([1]ACCUEIL!B1=1,"Net income (4)","Résultat net (4)")</f>
        <v>Résultat net (4)</v>
      </c>
      <c r="C25" s="2126"/>
      <c r="D25" s="844">
        <f ca="1">'[1]NOTE 31'!D25</f>
        <v>0</v>
      </c>
      <c r="E25" s="844">
        <f ca="1">'[1]NOTE 31'!E25</f>
        <v>0</v>
      </c>
      <c r="F25" s="844">
        <f>'[1]NOTE 31'!F25</f>
        <v>0</v>
      </c>
      <c r="G25" s="844">
        <f>'[1]NOTE 31'!G25</f>
        <v>0</v>
      </c>
      <c r="H25" s="844">
        <f>'[1]NOTE 31'!H25</f>
        <v>0</v>
      </c>
    </row>
    <row r="26" spans="2:8" ht="19.5" customHeight="1">
      <c r="B26" s="2114" t="str">
        <f>IF([1]ACCUEIL!B1=1,"DISTRIBUTED RESULT AND DIVIDEND","RÉSULTAT ET DIVIDENDE DISTRIBUÉS")</f>
        <v>RÉSULTAT ET DIVIDENDE DISTRIBUÉS</v>
      </c>
      <c r="C26" s="2115"/>
      <c r="D26" s="844">
        <f>'[1]NOTE 31'!D26</f>
        <v>0</v>
      </c>
      <c r="E26" s="844">
        <f>'[1]NOTE 31'!E26</f>
        <v>0</v>
      </c>
      <c r="F26" s="844">
        <f>'[1]NOTE 31'!F26</f>
        <v>0</v>
      </c>
      <c r="G26" s="844">
        <f>'[1]NOTE 31'!G26</f>
        <v>0</v>
      </c>
      <c r="H26" s="844">
        <f>'[1]NOTE 31'!H26</f>
        <v>0</v>
      </c>
    </row>
    <row r="27" spans="2:8" ht="19.5" customHeight="1">
      <c r="B27" s="2125" t="str">
        <f>IF([1]ACCUEIL!B1=1,"Distributed result (5)","Résultat distribué (5)")</f>
        <v>Résultat distribué (5)</v>
      </c>
      <c r="C27" s="2126"/>
      <c r="D27" s="844">
        <f>'[1]NOTE 31'!D27</f>
        <v>0</v>
      </c>
      <c r="E27" s="844">
        <f>'[1]NOTE 31'!E27</f>
        <v>0</v>
      </c>
      <c r="F27" s="844">
        <f>'[1]NOTE 31'!F27</f>
        <v>0</v>
      </c>
      <c r="G27" s="844">
        <f>'[1]NOTE 31'!G27</f>
        <v>0</v>
      </c>
      <c r="H27" s="844">
        <f>'[1]NOTE 31'!H27</f>
        <v>0</v>
      </c>
    </row>
    <row r="28" spans="2:8" ht="19.5" customHeight="1">
      <c r="B28" s="2125" t="str">
        <f>IF([1]ACCUEIL!B1=1,"Dividend allocated to each share","Dividende attribué à chaque action")</f>
        <v>Dividende attribué à chaque action</v>
      </c>
      <c r="C28" s="2126"/>
      <c r="D28" s="844" t="str">
        <f>'[1]NOTE 31'!D28</f>
        <v/>
      </c>
      <c r="E28" s="844" t="str">
        <f>'[1]NOTE 31'!E28</f>
        <v/>
      </c>
      <c r="F28" s="844">
        <f>'[1]NOTE 31'!F28</f>
        <v>0</v>
      </c>
      <c r="G28" s="844">
        <f>'[1]NOTE 31'!G28</f>
        <v>0</v>
      </c>
      <c r="H28" s="844">
        <f>'[1]NOTE 31'!H28</f>
        <v>0</v>
      </c>
    </row>
    <row r="29" spans="2:8" ht="19.5" customHeight="1">
      <c r="B29" s="2114" t="str">
        <f>IF([1]ACCUEIL!B1=1,"STAFF AND SALARY POLICY","PERSONNEL ET POLITIQUE SALARIALE")</f>
        <v>PERSONNEL ET POLITIQUE SALARIALE</v>
      </c>
      <c r="C29" s="2115"/>
      <c r="D29" s="844">
        <f>'[1]NOTE 31'!D29</f>
        <v>0</v>
      </c>
      <c r="E29" s="844">
        <f>'[1]NOTE 31'!E29</f>
        <v>0</v>
      </c>
      <c r="F29" s="844">
        <f>'[1]NOTE 31'!F29</f>
        <v>0</v>
      </c>
      <c r="G29" s="844">
        <f>'[1]NOTE 31'!G29</f>
        <v>0</v>
      </c>
      <c r="H29" s="844">
        <f>'[1]NOTE 31'!H29</f>
        <v>0</v>
      </c>
    </row>
    <row r="30" spans="2:8" ht="19.5" customHeight="1">
      <c r="B30" s="2125" t="str">
        <f>IF([1]ACCUEIL!B1=1,"Average number of workers during the financial year (6)","Effectif moyen des travailleurs au cours de l'exercice (6)")</f>
        <v>Effectif moyen des travailleurs au cours de l'exercice (6)</v>
      </c>
      <c r="C30" s="2126"/>
      <c r="D30" s="844">
        <f>'[1]NOTE 31'!D30</f>
        <v>0</v>
      </c>
      <c r="E30" s="844">
        <f>'[1]NOTE 31'!E30</f>
        <v>0</v>
      </c>
      <c r="F30" s="844">
        <f>'[1]NOTE 31'!F30</f>
        <v>0</v>
      </c>
      <c r="G30" s="844">
        <f>'[1]NOTE 31'!G30</f>
        <v>0</v>
      </c>
      <c r="H30" s="844">
        <f>'[1]NOTE 31'!H30</f>
        <v>0</v>
      </c>
    </row>
    <row r="31" spans="2:8" ht="19.5" customHeight="1">
      <c r="B31" s="2125" t="str">
        <f>IF([1]ACCUEIL!B1=1,"Average number of external staff","Effectif moyen de personnel extérieur")</f>
        <v>Effectif moyen de personnel extérieur</v>
      </c>
      <c r="C31" s="2126"/>
      <c r="D31" s="844">
        <f>'[1]NOTE 31'!D31</f>
        <v>0</v>
      </c>
      <c r="E31" s="844">
        <f>'[1]NOTE 31'!E31</f>
        <v>0</v>
      </c>
      <c r="F31" s="844">
        <f>'[1]NOTE 31'!F31</f>
        <v>0</v>
      </c>
      <c r="G31" s="844">
        <f>'[1]NOTE 31'!G31</f>
        <v>0</v>
      </c>
      <c r="H31" s="844">
        <f>'[1]NOTE 31'!H31</f>
        <v>0</v>
      </c>
    </row>
    <row r="32" spans="2:8" ht="19.5" customHeight="1">
      <c r="B32" s="2125" t="str">
        <f>IF([1]ACCUEIL!B1=1,"Payroll distributed during the year (7)","Masse salariale distribuée au cours de l'exercice (7)")</f>
        <v>Masse salariale distribuée au cours de l'exercice (7)</v>
      </c>
      <c r="C32" s="2126"/>
      <c r="D32" s="844">
        <f>'[1]NOTE 31'!D32</f>
        <v>0</v>
      </c>
      <c r="E32" s="844">
        <f>'[1]NOTE 31'!E32</f>
        <v>0</v>
      </c>
      <c r="F32" s="844">
        <f>'[1]NOTE 31'!F32</f>
        <v>0</v>
      </c>
      <c r="G32" s="844">
        <f>'[1]NOTE 31'!G32</f>
        <v>0</v>
      </c>
      <c r="H32" s="844">
        <f>'[1]NOTE 31'!H32</f>
        <v>0</v>
      </c>
    </row>
    <row r="33" spans="2:8" ht="19.5" customHeight="1">
      <c r="B33" s="2125" t="str">
        <f>IF([1]ACCUEIL!B1=1,"Benefits paid during the year (8)","Avantages sociaux versés au cours de l'exercice (8 )")</f>
        <v>Avantages sociaux versés au cours de l'exercice (8 )</v>
      </c>
      <c r="C33" s="2126"/>
      <c r="D33" s="844">
        <f>'[1]NOTE 31'!D33</f>
        <v>0</v>
      </c>
      <c r="E33" s="844">
        <f>'[1]NOTE 31'!E33</f>
        <v>0</v>
      </c>
      <c r="F33" s="844">
        <f>'[1]NOTE 31'!F33</f>
        <v>0</v>
      </c>
      <c r="G33" s="844">
        <f>'[1]NOTE 31'!G33</f>
        <v>0</v>
      </c>
      <c r="H33" s="844">
        <f>'[1]NOTE 31'!H33</f>
        <v>0</v>
      </c>
    </row>
    <row r="34" spans="2:8" ht="19.5" customHeight="1">
      <c r="B34" s="2125" t="str">
        <f>IF([1]ACCUEIL!B1=1,"External personnel invoiced to the company (9)","Personnel extérieur facturé à l'entreprise (9) ")</f>
        <v xml:space="preserve">Personnel extérieur facturé à l'entreprise (9) </v>
      </c>
      <c r="C34" s="2126"/>
      <c r="D34" s="844">
        <f>'[1]NOTE 31'!D34</f>
        <v>0</v>
      </c>
      <c r="E34" s="844">
        <f>'[1]NOTE 31'!E34</f>
        <v>0</v>
      </c>
      <c r="F34" s="844">
        <f>'[1]NOTE 31'!F34</f>
        <v>0</v>
      </c>
      <c r="G34" s="844">
        <f>'[1]NOTE 31'!G34</f>
        <v>0</v>
      </c>
      <c r="H34" s="844">
        <f>'[1]NOTE 31'!H34</f>
        <v>0</v>
      </c>
    </row>
    <row r="35" spans="2:8">
      <c r="B35" s="848"/>
      <c r="C35" s="848"/>
      <c r="D35" s="848"/>
      <c r="E35" s="848"/>
      <c r="F35" s="848"/>
      <c r="G35" s="848"/>
      <c r="H35" s="848"/>
    </row>
    <row r="36" spans="2:8" ht="19.5" customHeight="1">
      <c r="B36" s="2125" t="str">
        <f>IF([1]ACCUEIL!B1=1,"(1) Including the financial year for which the financial statements are subject to the approval of the Meeting.","(1) Y compris l'exercice dont les états financiers sont soumis à l'approbation de l'Assemblée.")</f>
        <v>(1) Y compris l'exercice dont les états financiers sont soumis à l'approbation de l'Assemblée.</v>
      </c>
      <c r="C36" s="2126"/>
      <c r="D36" s="846"/>
      <c r="E36" s="846" t="str">
        <f>IF([1]ACCUEIL!B1=1,"(6) Clean staff.","(6) Personnel propre.")</f>
        <v>(6) Personnel propre.</v>
      </c>
      <c r="F36" s="847"/>
      <c r="G36" s="845"/>
      <c r="H36" s="845"/>
    </row>
    <row r="37" spans="2:8" ht="19.5" customHeight="1">
      <c r="B37" s="2125" t="str">
        <f>IF([1]ACCUEIL!B1=1,"(2) Indication in the event of partial release of capital of the amount of capital not called up.","(2) Indication en cas de libération partielle du capital du montant du capital non appelé.")</f>
        <v>(2) Indication en cas de libération partielle du capital du montant du capital non appelé.</v>
      </c>
      <c r="C37" s="2126"/>
      <c r="D37" s="846"/>
      <c r="E37" s="846" t="str">
        <f>IF([1]ACCUEIL!B1=1,"(7) Total of accounts 661, 662, 663.","(7) Total des comptes 661, 662, 663.")</f>
        <v>(7) Total des comptes 661, 662, 663.</v>
      </c>
      <c r="F37" s="847"/>
      <c r="G37" s="845"/>
      <c r="H37" s="845"/>
    </row>
    <row r="38" spans="2:8" ht="19.5" customHeight="1">
      <c r="B38" s="2125" t="str">
        <f>IF([1]ACCUEIL!B1=1,"(3) The items in this section are those appearing in the income statement.","(3) Les éléments de cette rubrique sont ceux figurant au compte de résultat.")</f>
        <v>(3) Les éléments de cette rubrique sont ceux figurant au compte de résultat.</v>
      </c>
      <c r="C38" s="2126"/>
      <c r="D38" s="846"/>
      <c r="E38" s="846" t="str">
        <f>IF([1]ACCUEIL!B1=1,"(8) Total accounts 664, 668.","(8) Total des comptes 664, 668.")</f>
        <v>(8) Total des comptes 664, 668.</v>
      </c>
      <c r="F38" s="847"/>
      <c r="G38" s="845"/>
      <c r="H38" s="845"/>
    </row>
    <row r="39" spans="2:8" ht="19.5" customHeight="1">
      <c r="B39" s="2125" t="str">
        <f>IF([1]ACCUEIL!B1=1,"(4) The result, when negative, must be put in brackets.","(4) Le résultat, lorsqu'il est négatif, doit être mis entre parenthèses.")</f>
        <v>(4) Le résultat, lorsqu'il est négatif, doit être mis entre parenthèses.</v>
      </c>
      <c r="C39" s="2126"/>
      <c r="D39" s="846"/>
      <c r="E39" s="846" t="str">
        <f>IF([1]ACCUEIL!B1=1,"(9) Account 667.","(9) Compte 667.")</f>
        <v>(9) Compte 667.</v>
      </c>
      <c r="F39" s="847"/>
      <c r="G39" s="845"/>
      <c r="H39" s="845"/>
    </row>
    <row r="40" spans="2:8" ht="19.5" customHeight="1">
      <c r="B40" s="2125" t="str">
        <f>IF([1]ACCUEIL!B1=1,"(5) Financial year N corresponds to the proposed dividend for the last financial year.","(5) L'exercice N correspond au dividende proposé du dernier exercice.")</f>
        <v>(5) L'exercice N correspond au dividende proposé du dernier exercice.</v>
      </c>
      <c r="C40" s="2126"/>
      <c r="D40" s="846"/>
      <c r="E40" s="846"/>
      <c r="F40" s="847"/>
      <c r="G40" s="845"/>
      <c r="H40" s="845"/>
    </row>
  </sheetData>
  <sheetProtection selectLockedCells="1"/>
  <mergeCells count="37">
    <mergeCell ref="H10:H11"/>
    <mergeCell ref="B39:C39"/>
    <mergeCell ref="B40:C40"/>
    <mergeCell ref="B32:C32"/>
    <mergeCell ref="B33:C33"/>
    <mergeCell ref="B34:C34"/>
    <mergeCell ref="B36:C36"/>
    <mergeCell ref="B37:C37"/>
    <mergeCell ref="B38:C38"/>
    <mergeCell ref="B31:C31"/>
    <mergeCell ref="B20:C20"/>
    <mergeCell ref="B21:C21"/>
    <mergeCell ref="B22:C22"/>
    <mergeCell ref="B23:C23"/>
    <mergeCell ref="B24:C24"/>
    <mergeCell ref="B25:C25"/>
    <mergeCell ref="B26:C26"/>
    <mergeCell ref="B27:C27"/>
    <mergeCell ref="B28:C28"/>
    <mergeCell ref="B29:C29"/>
    <mergeCell ref="B30:C30"/>
    <mergeCell ref="B19:C19"/>
    <mergeCell ref="B1:H1"/>
    <mergeCell ref="G2:H3"/>
    <mergeCell ref="D7:E7"/>
    <mergeCell ref="B9:H9"/>
    <mergeCell ref="B12:C12"/>
    <mergeCell ref="B13:C13"/>
    <mergeCell ref="B14:C14"/>
    <mergeCell ref="B15:C15"/>
    <mergeCell ref="B16:C16"/>
    <mergeCell ref="B17:C17"/>
    <mergeCell ref="B18:C18"/>
    <mergeCell ref="D10:D11"/>
    <mergeCell ref="E10:E11"/>
    <mergeCell ref="F10:F11"/>
    <mergeCell ref="G10:G11"/>
  </mergeCells>
  <conditionalFormatting sqref="G6 E5:F5 D6">
    <cfRule type="expression" dxfId="4" priority="1">
      <formula>#REF!=1</formula>
    </cfRule>
  </conditionalFormatting>
  <printOptions horizontalCentered="1"/>
  <pageMargins left="0.78740157480314965" right="0" top="0.59055118110236227" bottom="0.19685039370078741" header="0.31496062992125984" footer="0.31496062992125984"/>
  <pageSetup paperSize="9" scale="53" orientation="portrait" r:id="rId1"/>
  <headerFooter>
    <oddHeader>&amp;C&amp;"-,Gras"&amp;14Page &amp;P / &amp;N</oddHeader>
  </headerFooter>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Feuil59">
    <pageSetUpPr fitToPage="1"/>
  </sheetPr>
  <dimension ref="B1:K43"/>
  <sheetViews>
    <sheetView showZeros="0" topLeftCell="A19" zoomScale="80" zoomScaleNormal="80" zoomScaleSheetLayoutView="98" workbookViewId="0">
      <selection activeCell="M35" sqref="M35"/>
    </sheetView>
  </sheetViews>
  <sheetFormatPr baseColWidth="10" defaultColWidth="11.42578125" defaultRowHeight="15"/>
  <cols>
    <col min="1" max="1" width="8.28515625" style="2" customWidth="1"/>
    <col min="2" max="2" width="23.140625" style="2" customWidth="1"/>
    <col min="3" max="3" width="16.7109375" style="2" customWidth="1"/>
    <col min="4" max="4" width="14" style="2" customWidth="1"/>
    <col min="5" max="5" width="15.85546875" style="2" customWidth="1"/>
    <col min="6" max="6" width="12.85546875" style="2" customWidth="1"/>
    <col min="7" max="7" width="14.7109375" style="2" customWidth="1"/>
    <col min="8" max="8" width="13.28515625" style="2" customWidth="1"/>
    <col min="9" max="9" width="15.140625" style="2" customWidth="1"/>
    <col min="10" max="10" width="20" style="2" bestFit="1" customWidth="1"/>
    <col min="11" max="11" width="11.42578125" style="2" customWidth="1"/>
    <col min="12" max="16384" width="11.42578125" style="2"/>
  </cols>
  <sheetData>
    <row r="1" spans="2:11">
      <c r="B1" s="2129"/>
      <c r="C1" s="2129"/>
      <c r="D1" s="2129"/>
      <c r="E1" s="2129"/>
      <c r="F1" s="2129"/>
      <c r="G1" s="2129"/>
      <c r="H1" s="2129"/>
      <c r="I1" s="2129"/>
      <c r="J1" s="2129"/>
      <c r="K1" s="2129"/>
    </row>
    <row r="2" spans="2:11">
      <c r="B2" s="81"/>
      <c r="C2" s="81"/>
      <c r="D2" s="81"/>
      <c r="E2" s="81"/>
      <c r="F2" s="81"/>
      <c r="G2" s="81"/>
      <c r="H2" s="81"/>
      <c r="I2" s="81"/>
      <c r="J2" s="2117" t="str">
        <f>IF([1]ACCUEIL!B1=1,"NOTE 32
NORMAL SYSTEM","NOTE 32
SYSTEME NORMAL")</f>
        <v>NOTE 32
SYSTEME NORMAL</v>
      </c>
      <c r="K2" s="2118"/>
    </row>
    <row r="3" spans="2:11">
      <c r="B3" s="81"/>
      <c r="C3" s="81"/>
      <c r="D3" s="81"/>
      <c r="E3" s="81"/>
      <c r="F3" s="198"/>
      <c r="G3" s="81"/>
      <c r="H3" s="81"/>
      <c r="I3" s="81"/>
      <c r="J3" s="2119"/>
      <c r="K3" s="2120"/>
    </row>
    <row r="4" spans="2:11">
      <c r="B4" s="184" t="str">
        <f>'NOTE 31'!B4</f>
        <v>Désignation entité:</v>
      </c>
      <c r="C4" s="745" t="str">
        <f>'NOTE 31'!C4</f>
        <v/>
      </c>
      <c r="D4" s="849"/>
      <c r="E4" s="849"/>
      <c r="F4" s="849"/>
      <c r="G4" s="849"/>
      <c r="H4" s="849"/>
      <c r="I4" s="849"/>
      <c r="J4" s="849"/>
      <c r="K4" s="849"/>
    </row>
    <row r="5" spans="2:11">
      <c r="B5" s="184" t="str">
        <f>'NOTE 31'!B5</f>
        <v>Sigle usuel :</v>
      </c>
      <c r="C5" s="746" t="str">
        <f>'NOTE 31'!C5</f>
        <v/>
      </c>
      <c r="D5" s="653"/>
      <c r="E5" s="653"/>
      <c r="F5" s="834"/>
      <c r="G5" s="850"/>
      <c r="H5" s="850"/>
      <c r="I5" s="746"/>
      <c r="J5" s="746"/>
      <c r="K5" s="850"/>
    </row>
    <row r="6" spans="2:11">
      <c r="B6" s="184" t="str">
        <f>'NOTE 31'!B6</f>
        <v>Adresse:</v>
      </c>
      <c r="C6" s="746">
        <f>'NOTE 31'!C6</f>
        <v>0</v>
      </c>
      <c r="D6" s="653"/>
      <c r="E6" s="850"/>
      <c r="F6" s="850"/>
      <c r="I6" s="653"/>
      <c r="J6" s="826" t="str">
        <f>'NOTE 31'!G6</f>
        <v>BP:</v>
      </c>
      <c r="K6" s="850" t="str">
        <f>'NOTE 31'!H6</f>
        <v/>
      </c>
    </row>
    <row r="7" spans="2:11">
      <c r="B7" s="184" t="str">
        <f>'NOTE 31'!B7</f>
        <v>Numéro d'identification:</v>
      </c>
      <c r="C7" s="746" t="str">
        <f>'NOTE 31'!C7</f>
        <v/>
      </c>
      <c r="D7" s="850"/>
      <c r="E7" s="850"/>
      <c r="F7" s="653"/>
      <c r="G7" s="2130" t="str">
        <f>'NOTE 31'!D7</f>
        <v xml:space="preserve">   Exercice clos le 31 - 12- </v>
      </c>
      <c r="H7" s="2130"/>
      <c r="I7" s="746">
        <f>'NOTE 31'!F7</f>
        <v>2025</v>
      </c>
      <c r="J7" s="182" t="str">
        <f>'NOTE 31'!G7</f>
        <v xml:space="preserve">    Durée (en mois):</v>
      </c>
      <c r="K7" s="184">
        <f>'NOTE 31'!H7</f>
        <v>12</v>
      </c>
    </row>
    <row r="8" spans="2:11">
      <c r="B8" s="34"/>
      <c r="C8" s="827"/>
      <c r="D8" s="34"/>
      <c r="E8" s="34"/>
      <c r="F8" s="34"/>
      <c r="G8" s="34"/>
      <c r="H8" s="34"/>
      <c r="I8" s="34"/>
      <c r="J8" s="34"/>
      <c r="K8" s="827"/>
    </row>
    <row r="9" spans="2:11" ht="30.75" customHeight="1">
      <c r="B9" s="1712" t="str">
        <f>IF([1]ACCUEIL!B1=1,"NOTE 32 PRODUCTION FOR THE YEAR","NOTE 32  PRODUCTION DE L'EXERCICE")</f>
        <v>NOTE 32  PRODUCTION DE L'EXERCICE</v>
      </c>
      <c r="C9" s="1712"/>
      <c r="D9" s="1712"/>
      <c r="E9" s="1712"/>
      <c r="F9" s="1712"/>
      <c r="G9" s="1712"/>
      <c r="H9" s="1712"/>
      <c r="I9" s="1712"/>
      <c r="J9" s="1712"/>
      <c r="K9" s="1712"/>
    </row>
    <row r="10" spans="2:11" ht="25.5" customHeight="1">
      <c r="B10" s="1630" t="str">
        <f>IF([1]ACCUEIL!B1=1,"PRODUCT DESIGNATION","DÉSIGNATION DU PRODUIT")</f>
        <v>DÉSIGNATION DU PRODUIT</v>
      </c>
      <c r="C10" s="851" t="str">
        <f>IF([1]ACCUEIL!B1=1,"SELECTED QUANTITY UNIT","UNITÉ DE QUANTITÉ CHOISIE")</f>
        <v>UNITÉ DE QUANTITÉ CHOISIE</v>
      </c>
      <c r="D10" s="2131" t="str">
        <f>IF([1]ACCUEIL!B1=1,"PRODUCTION SOLD IN THE COUNTRY","PRODUCTION VENDUE DANS LE PAYS")</f>
        <v>PRODUCTION VENDUE DANS LE PAYS</v>
      </c>
      <c r="E10" s="2132"/>
      <c r="F10" s="2131" t="str">
        <f>IF([1]ACCUEIL!B1=1,"PRODUCTION SOLD IN OTHER OHADA COUNTRIES","PRODUCTION VENDUE DANS LES AUTRE PAYS DE OHADA")</f>
        <v>PRODUCTION VENDUE DANS LES AUTRE PAYS DE OHADA</v>
      </c>
      <c r="G10" s="2132"/>
      <c r="H10" s="2131" t="str">
        <f>IF([1]ACCUEIL!B1=1,"PRODUCTION SOLD OUTSIDE OHADA","PRODUCTION VENDUE HORS OHADA")</f>
        <v>PRODUCTION VENDUE HORS OHADA</v>
      </c>
      <c r="I10" s="2132"/>
      <c r="J10" s="2131" t="str">
        <f>IF([1]ACCUEIL!B1=1,"IMMOBILISED PRODUCTION","PRODUCTION IMMOBILISÉE")</f>
        <v>PRODUCTION IMMOBILISÉE</v>
      </c>
      <c r="K10" s="2132"/>
    </row>
    <row r="11" spans="2:11">
      <c r="B11" s="1631"/>
      <c r="C11" s="852"/>
      <c r="D11" s="741" t="str">
        <f>IF([1]ACCUEIL!B1=1,"QUANTITY","QUANTITÉ")</f>
        <v>QUANTITÉ</v>
      </c>
      <c r="E11" s="741" t="str">
        <f>IF([1]ACCUEIL!B1=1,"VALUE","VALEUR")</f>
        <v>VALEUR</v>
      </c>
      <c r="F11" s="741" t="str">
        <f>D11</f>
        <v>QUANTITÉ</v>
      </c>
      <c r="G11" s="741" t="str">
        <f t="shared" ref="G11:K11" si="0">E11</f>
        <v>VALEUR</v>
      </c>
      <c r="H11" s="741" t="str">
        <f t="shared" si="0"/>
        <v>QUANTITÉ</v>
      </c>
      <c r="I11" s="741" t="str">
        <f t="shared" si="0"/>
        <v>VALEUR</v>
      </c>
      <c r="J11" s="741" t="str">
        <f t="shared" si="0"/>
        <v>QUANTITÉ</v>
      </c>
      <c r="K11" s="741" t="str">
        <f t="shared" si="0"/>
        <v>VALEUR</v>
      </c>
    </row>
    <row r="12" spans="2:11">
      <c r="B12" s="517">
        <f>'[1]NOTE 32'!B12</f>
        <v>0</v>
      </c>
      <c r="C12" s="517">
        <f>'[1]NOTE 32'!C12</f>
        <v>0</v>
      </c>
      <c r="D12" s="517">
        <f>'[1]NOTE 32'!D12</f>
        <v>0</v>
      </c>
      <c r="E12" s="517">
        <f>'[1]NOTE 32'!E12</f>
        <v>0</v>
      </c>
      <c r="F12" s="517">
        <f>'[1]NOTE 32'!F12</f>
        <v>0</v>
      </c>
      <c r="G12" s="517">
        <f>'[1]NOTE 32'!G12</f>
        <v>0</v>
      </c>
      <c r="H12" s="517">
        <f>'[1]NOTE 32'!H12</f>
        <v>0</v>
      </c>
      <c r="I12" s="517">
        <f>'[1]NOTE 32'!I12</f>
        <v>0</v>
      </c>
      <c r="J12" s="517">
        <f>'[1]NOTE 32'!J12</f>
        <v>0</v>
      </c>
      <c r="K12" s="517">
        <f>'[1]NOTE 32'!K12</f>
        <v>0</v>
      </c>
    </row>
    <row r="13" spans="2:11">
      <c r="B13" s="517">
        <f>'[1]NOTE 32'!B13</f>
        <v>0</v>
      </c>
      <c r="C13" s="517">
        <f>'[1]NOTE 32'!C13</f>
        <v>0</v>
      </c>
      <c r="D13" s="517">
        <f>'[1]NOTE 32'!D13</f>
        <v>0</v>
      </c>
      <c r="E13" s="517">
        <f>'[1]NOTE 32'!E13</f>
        <v>0</v>
      </c>
      <c r="F13" s="517">
        <f>'[1]NOTE 32'!F13</f>
        <v>0</v>
      </c>
      <c r="G13" s="517">
        <f>'[1]NOTE 32'!G13</f>
        <v>0</v>
      </c>
      <c r="H13" s="517">
        <f>'[1]NOTE 32'!H13</f>
        <v>0</v>
      </c>
      <c r="I13" s="517">
        <f>'[1]NOTE 32'!I13</f>
        <v>0</v>
      </c>
      <c r="J13" s="517">
        <f>'[1]NOTE 32'!J13</f>
        <v>0</v>
      </c>
      <c r="K13" s="517">
        <f>'[1]NOTE 32'!K13</f>
        <v>0</v>
      </c>
    </row>
    <row r="14" spans="2:11">
      <c r="B14" s="517">
        <f>'[1]NOTE 32'!B14</f>
        <v>0</v>
      </c>
      <c r="C14" s="517">
        <f>'[1]NOTE 32'!C14</f>
        <v>0</v>
      </c>
      <c r="D14" s="517">
        <f>'[1]NOTE 32'!D14</f>
        <v>0</v>
      </c>
      <c r="E14" s="517">
        <f>'[1]NOTE 32'!E14</f>
        <v>0</v>
      </c>
      <c r="F14" s="517">
        <f>'[1]NOTE 32'!F14</f>
        <v>0</v>
      </c>
      <c r="G14" s="517">
        <f>'[1]NOTE 32'!G14</f>
        <v>0</v>
      </c>
      <c r="H14" s="517">
        <f>'[1]NOTE 32'!H14</f>
        <v>0</v>
      </c>
      <c r="I14" s="517">
        <f>'[1]NOTE 32'!I14</f>
        <v>0</v>
      </c>
      <c r="J14" s="517">
        <f>'[1]NOTE 32'!J14</f>
        <v>0</v>
      </c>
      <c r="K14" s="517">
        <f>'[1]NOTE 32'!K14</f>
        <v>0</v>
      </c>
    </row>
    <row r="15" spans="2:11">
      <c r="B15" s="517">
        <f>'[1]NOTE 32'!B15</f>
        <v>0</v>
      </c>
      <c r="C15" s="517">
        <f>'[1]NOTE 32'!C15</f>
        <v>0</v>
      </c>
      <c r="D15" s="517">
        <f>'[1]NOTE 32'!D15</f>
        <v>0</v>
      </c>
      <c r="E15" s="517">
        <f>'[1]NOTE 32'!E15</f>
        <v>0</v>
      </c>
      <c r="F15" s="517">
        <f>'[1]NOTE 32'!F15</f>
        <v>0</v>
      </c>
      <c r="G15" s="517">
        <f>'[1]NOTE 32'!G15</f>
        <v>0</v>
      </c>
      <c r="H15" s="517">
        <f>'[1]NOTE 32'!H15</f>
        <v>0</v>
      </c>
      <c r="I15" s="517">
        <f>'[1]NOTE 32'!I15</f>
        <v>0</v>
      </c>
      <c r="J15" s="517">
        <f>'[1]NOTE 32'!J15</f>
        <v>0</v>
      </c>
      <c r="K15" s="517">
        <f>'[1]NOTE 32'!K15</f>
        <v>0</v>
      </c>
    </row>
    <row r="16" spans="2:11">
      <c r="B16" s="517">
        <f>'[1]NOTE 32'!B16</f>
        <v>0</v>
      </c>
      <c r="C16" s="517">
        <f>'[1]NOTE 32'!C16</f>
        <v>0</v>
      </c>
      <c r="D16" s="517">
        <f>'[1]NOTE 32'!D16</f>
        <v>0</v>
      </c>
      <c r="E16" s="517">
        <f>'[1]NOTE 32'!E16</f>
        <v>0</v>
      </c>
      <c r="F16" s="517">
        <f>'[1]NOTE 32'!F16</f>
        <v>0</v>
      </c>
      <c r="G16" s="517">
        <f>'[1]NOTE 32'!G16</f>
        <v>0</v>
      </c>
      <c r="H16" s="517">
        <f>'[1]NOTE 32'!H16</f>
        <v>0</v>
      </c>
      <c r="I16" s="517">
        <f>'[1]NOTE 32'!I16</f>
        <v>0</v>
      </c>
      <c r="J16" s="517">
        <f>'[1]NOTE 32'!J16</f>
        <v>0</v>
      </c>
      <c r="K16" s="517">
        <f>'[1]NOTE 32'!K16</f>
        <v>0</v>
      </c>
    </row>
    <row r="17" spans="2:11">
      <c r="B17" s="517">
        <f>'[1]NOTE 32'!B17</f>
        <v>0</v>
      </c>
      <c r="C17" s="517">
        <f>'[1]NOTE 32'!C17</f>
        <v>0</v>
      </c>
      <c r="D17" s="517">
        <f>'[1]NOTE 32'!D17</f>
        <v>0</v>
      </c>
      <c r="E17" s="517">
        <f>'[1]NOTE 32'!E17</f>
        <v>0</v>
      </c>
      <c r="F17" s="517">
        <f>'[1]NOTE 32'!F17</f>
        <v>0</v>
      </c>
      <c r="G17" s="517">
        <f>'[1]NOTE 32'!G17</f>
        <v>0</v>
      </c>
      <c r="H17" s="517">
        <f>'[1]NOTE 32'!H17</f>
        <v>0</v>
      </c>
      <c r="I17" s="517">
        <f>'[1]NOTE 32'!I17</f>
        <v>0</v>
      </c>
      <c r="J17" s="517">
        <f>'[1]NOTE 32'!J17</f>
        <v>0</v>
      </c>
      <c r="K17" s="517">
        <f>'[1]NOTE 32'!K17</f>
        <v>0</v>
      </c>
    </row>
    <row r="18" spans="2:11">
      <c r="B18" s="517">
        <f>'[1]NOTE 32'!B18</f>
        <v>0</v>
      </c>
      <c r="C18" s="517">
        <f>'[1]NOTE 32'!C18</f>
        <v>0</v>
      </c>
      <c r="D18" s="517">
        <f>'[1]NOTE 32'!D18</f>
        <v>0</v>
      </c>
      <c r="E18" s="517">
        <f>'[1]NOTE 32'!E18</f>
        <v>0</v>
      </c>
      <c r="F18" s="517">
        <f>'[1]NOTE 32'!F18</f>
        <v>0</v>
      </c>
      <c r="G18" s="517">
        <f>'[1]NOTE 32'!G18</f>
        <v>0</v>
      </c>
      <c r="H18" s="517">
        <f>'[1]NOTE 32'!H18</f>
        <v>0</v>
      </c>
      <c r="I18" s="517">
        <f>'[1]NOTE 32'!I18</f>
        <v>0</v>
      </c>
      <c r="J18" s="517">
        <f>'[1]NOTE 32'!J18</f>
        <v>0</v>
      </c>
      <c r="K18" s="517">
        <f>'[1]NOTE 32'!K18</f>
        <v>0</v>
      </c>
    </row>
    <row r="19" spans="2:11">
      <c r="B19" s="517">
        <f>'[1]NOTE 32'!B19</f>
        <v>0</v>
      </c>
      <c r="C19" s="517">
        <f>'[1]NOTE 32'!C19</f>
        <v>0</v>
      </c>
      <c r="D19" s="517">
        <f>'[1]NOTE 32'!D19</f>
        <v>0</v>
      </c>
      <c r="E19" s="517">
        <f>'[1]NOTE 32'!E19</f>
        <v>0</v>
      </c>
      <c r="F19" s="517">
        <f>'[1]NOTE 32'!F19</f>
        <v>0</v>
      </c>
      <c r="G19" s="517">
        <f>'[1]NOTE 32'!G19</f>
        <v>0</v>
      </c>
      <c r="H19" s="517">
        <f>'[1]NOTE 32'!H19</f>
        <v>0</v>
      </c>
      <c r="I19" s="517">
        <f>'[1]NOTE 32'!I19</f>
        <v>0</v>
      </c>
      <c r="J19" s="517">
        <f>'[1]NOTE 32'!J19</f>
        <v>0</v>
      </c>
      <c r="K19" s="517">
        <f>'[1]NOTE 32'!K19</f>
        <v>0</v>
      </c>
    </row>
    <row r="20" spans="2:11">
      <c r="B20" s="517">
        <f>'[1]NOTE 32'!B20</f>
        <v>0</v>
      </c>
      <c r="C20" s="517">
        <f>'[1]NOTE 32'!C20</f>
        <v>0</v>
      </c>
      <c r="D20" s="517">
        <f>'[1]NOTE 32'!D20</f>
        <v>0</v>
      </c>
      <c r="E20" s="517">
        <f>'[1]NOTE 32'!E20</f>
        <v>0</v>
      </c>
      <c r="F20" s="517">
        <f>'[1]NOTE 32'!F20</f>
        <v>0</v>
      </c>
      <c r="G20" s="517">
        <f>'[1]NOTE 32'!G20</f>
        <v>0</v>
      </c>
      <c r="H20" s="517">
        <f>'[1]NOTE 32'!H20</f>
        <v>0</v>
      </c>
      <c r="I20" s="517">
        <f>'[1]NOTE 32'!I20</f>
        <v>0</v>
      </c>
      <c r="J20" s="517">
        <f>'[1]NOTE 32'!J20</f>
        <v>0</v>
      </c>
      <c r="K20" s="517">
        <f>'[1]NOTE 32'!K20</f>
        <v>0</v>
      </c>
    </row>
    <row r="21" spans="2:11">
      <c r="B21" s="517">
        <f>'[1]NOTE 32'!B21</f>
        <v>0</v>
      </c>
      <c r="C21" s="517">
        <f>'[1]NOTE 32'!C21</f>
        <v>0</v>
      </c>
      <c r="D21" s="517">
        <f>'[1]NOTE 32'!D21</f>
        <v>0</v>
      </c>
      <c r="E21" s="517">
        <f>'[1]NOTE 32'!E21</f>
        <v>0</v>
      </c>
      <c r="F21" s="517">
        <f>'[1]NOTE 32'!F21</f>
        <v>0</v>
      </c>
      <c r="G21" s="517">
        <f>'[1]NOTE 32'!G21</f>
        <v>0</v>
      </c>
      <c r="H21" s="517">
        <f>'[1]NOTE 32'!H21</f>
        <v>0</v>
      </c>
      <c r="I21" s="517">
        <f>'[1]NOTE 32'!I21</f>
        <v>0</v>
      </c>
      <c r="J21" s="517">
        <f>'[1]NOTE 32'!J21</f>
        <v>0</v>
      </c>
      <c r="K21" s="517">
        <f>'[1]NOTE 32'!K21</f>
        <v>0</v>
      </c>
    </row>
    <row r="22" spans="2:11">
      <c r="B22" s="517">
        <f>'[1]NOTE 32'!B22</f>
        <v>0</v>
      </c>
      <c r="C22" s="517">
        <f>'[1]NOTE 32'!C22</f>
        <v>0</v>
      </c>
      <c r="D22" s="517">
        <f>'[1]NOTE 32'!D22</f>
        <v>0</v>
      </c>
      <c r="E22" s="517">
        <f>'[1]NOTE 32'!E22</f>
        <v>0</v>
      </c>
      <c r="F22" s="517">
        <f>'[1]NOTE 32'!F22</f>
        <v>0</v>
      </c>
      <c r="G22" s="517">
        <f>'[1]NOTE 32'!G22</f>
        <v>0</v>
      </c>
      <c r="H22" s="517">
        <f>'[1]NOTE 32'!H22</f>
        <v>0</v>
      </c>
      <c r="I22" s="517">
        <f>'[1]NOTE 32'!I22</f>
        <v>0</v>
      </c>
      <c r="J22" s="517">
        <f>'[1]NOTE 32'!J22</f>
        <v>0</v>
      </c>
      <c r="K22" s="517">
        <f>'[1]NOTE 32'!K22</f>
        <v>0</v>
      </c>
    </row>
    <row r="23" spans="2:11">
      <c r="B23" s="517">
        <f>'[1]NOTE 32'!B23</f>
        <v>0</v>
      </c>
      <c r="C23" s="517">
        <f>'[1]NOTE 32'!C23</f>
        <v>0</v>
      </c>
      <c r="D23" s="517">
        <f>'[1]NOTE 32'!D23</f>
        <v>0</v>
      </c>
      <c r="E23" s="517">
        <f>'[1]NOTE 32'!E23</f>
        <v>0</v>
      </c>
      <c r="F23" s="517">
        <f>'[1]NOTE 32'!F23</f>
        <v>0</v>
      </c>
      <c r="G23" s="517">
        <f>'[1]NOTE 32'!G23</f>
        <v>0</v>
      </c>
      <c r="H23" s="517">
        <f>'[1]NOTE 32'!H23</f>
        <v>0</v>
      </c>
      <c r="I23" s="517">
        <f>'[1]NOTE 32'!I23</f>
        <v>0</v>
      </c>
      <c r="J23" s="517">
        <f>'[1]NOTE 32'!J23</f>
        <v>0</v>
      </c>
      <c r="K23" s="517">
        <f>'[1]NOTE 32'!K23</f>
        <v>0</v>
      </c>
    </row>
    <row r="24" spans="2:11">
      <c r="B24" s="517">
        <f>'[1]NOTE 32'!B24</f>
        <v>0</v>
      </c>
      <c r="C24" s="517">
        <f>'[1]NOTE 32'!C24</f>
        <v>0</v>
      </c>
      <c r="D24" s="517">
        <f>'[1]NOTE 32'!D24</f>
        <v>0</v>
      </c>
      <c r="E24" s="517">
        <f>'[1]NOTE 32'!E24</f>
        <v>0</v>
      </c>
      <c r="F24" s="517">
        <f>'[1]NOTE 32'!F24</f>
        <v>0</v>
      </c>
      <c r="G24" s="517">
        <f>'[1]NOTE 32'!G24</f>
        <v>0</v>
      </c>
      <c r="H24" s="517">
        <f>'[1]NOTE 32'!H24</f>
        <v>0</v>
      </c>
      <c r="I24" s="517">
        <f>'[1]NOTE 32'!I24</f>
        <v>0</v>
      </c>
      <c r="J24" s="517">
        <f>'[1]NOTE 32'!J24</f>
        <v>0</v>
      </c>
      <c r="K24" s="517">
        <f>'[1]NOTE 32'!K24</f>
        <v>0</v>
      </c>
    </row>
    <row r="25" spans="2:11">
      <c r="B25" s="517">
        <f>'[1]NOTE 32'!B25</f>
        <v>0</v>
      </c>
      <c r="C25" s="517">
        <f>'[1]NOTE 32'!C25</f>
        <v>0</v>
      </c>
      <c r="D25" s="517">
        <f>'[1]NOTE 32'!D25</f>
        <v>0</v>
      </c>
      <c r="E25" s="517">
        <f>'[1]NOTE 32'!E25</f>
        <v>0</v>
      </c>
      <c r="F25" s="517">
        <f>'[1]NOTE 32'!F25</f>
        <v>0</v>
      </c>
      <c r="G25" s="517">
        <f>'[1]NOTE 32'!G25</f>
        <v>0</v>
      </c>
      <c r="H25" s="517">
        <f>'[1]NOTE 32'!H25</f>
        <v>0</v>
      </c>
      <c r="I25" s="517">
        <f>'[1]NOTE 32'!I25</f>
        <v>0</v>
      </c>
      <c r="J25" s="517">
        <f>'[1]NOTE 32'!J25</f>
        <v>0</v>
      </c>
      <c r="K25" s="517">
        <f>'[1]NOTE 32'!K25</f>
        <v>0</v>
      </c>
    </row>
    <row r="26" spans="2:11">
      <c r="B26" s="517">
        <f>'[1]NOTE 32'!B26</f>
        <v>0</v>
      </c>
      <c r="C26" s="517">
        <f>'[1]NOTE 32'!C26</f>
        <v>0</v>
      </c>
      <c r="D26" s="517">
        <f>'[1]NOTE 32'!D26</f>
        <v>0</v>
      </c>
      <c r="E26" s="517">
        <f>'[1]NOTE 32'!E26</f>
        <v>0</v>
      </c>
      <c r="F26" s="517">
        <f>'[1]NOTE 32'!F26</f>
        <v>0</v>
      </c>
      <c r="G26" s="517">
        <f>'[1]NOTE 32'!G26</f>
        <v>0</v>
      </c>
      <c r="H26" s="517">
        <f>'[1]NOTE 32'!H26</f>
        <v>0</v>
      </c>
      <c r="I26" s="517">
        <f>'[1]NOTE 32'!I26</f>
        <v>0</v>
      </c>
      <c r="J26" s="517">
        <f>'[1]NOTE 32'!J26</f>
        <v>0</v>
      </c>
      <c r="K26" s="517">
        <f>'[1]NOTE 32'!K26</f>
        <v>0</v>
      </c>
    </row>
    <row r="27" spans="2:11">
      <c r="B27" s="517">
        <f>'[1]NOTE 32'!B27</f>
        <v>0</v>
      </c>
      <c r="C27" s="517">
        <f>'[1]NOTE 32'!C27</f>
        <v>0</v>
      </c>
      <c r="D27" s="517">
        <f>'[1]NOTE 32'!D27</f>
        <v>0</v>
      </c>
      <c r="E27" s="517">
        <f>'[1]NOTE 32'!E27</f>
        <v>0</v>
      </c>
      <c r="F27" s="517">
        <f>'[1]NOTE 32'!F27</f>
        <v>0</v>
      </c>
      <c r="G27" s="517">
        <f>'[1]NOTE 32'!G27</f>
        <v>0</v>
      </c>
      <c r="H27" s="517">
        <f>'[1]NOTE 32'!H27</f>
        <v>0</v>
      </c>
      <c r="I27" s="517">
        <f>'[1]NOTE 32'!I27</f>
        <v>0</v>
      </c>
      <c r="J27" s="517">
        <f>'[1]NOTE 32'!J27</f>
        <v>0</v>
      </c>
      <c r="K27" s="517">
        <f>'[1]NOTE 32'!K27</f>
        <v>0</v>
      </c>
    </row>
    <row r="28" spans="2:11">
      <c r="B28" s="517">
        <f>'[1]NOTE 32'!B28</f>
        <v>0</v>
      </c>
      <c r="C28" s="517">
        <f>'[1]NOTE 32'!C28</f>
        <v>0</v>
      </c>
      <c r="D28" s="517">
        <f>'[1]NOTE 32'!D28</f>
        <v>0</v>
      </c>
      <c r="E28" s="517">
        <f>'[1]NOTE 32'!E28</f>
        <v>0</v>
      </c>
      <c r="F28" s="517">
        <f>'[1]NOTE 32'!F28</f>
        <v>0</v>
      </c>
      <c r="G28" s="517">
        <f>'[1]NOTE 32'!G28</f>
        <v>0</v>
      </c>
      <c r="H28" s="517">
        <f>'[1]NOTE 32'!H28</f>
        <v>0</v>
      </c>
      <c r="I28" s="517">
        <f>'[1]NOTE 32'!I28</f>
        <v>0</v>
      </c>
      <c r="J28" s="517">
        <f>'[1]NOTE 32'!J28</f>
        <v>0</v>
      </c>
      <c r="K28" s="517">
        <f>'[1]NOTE 32'!K28</f>
        <v>0</v>
      </c>
    </row>
    <row r="29" spans="2:11">
      <c r="B29" s="517">
        <f>'[1]NOTE 32'!B29</f>
        <v>0</v>
      </c>
      <c r="C29" s="517">
        <f>'[1]NOTE 32'!C29</f>
        <v>0</v>
      </c>
      <c r="D29" s="517">
        <f>'[1]NOTE 32'!D29</f>
        <v>0</v>
      </c>
      <c r="E29" s="517">
        <f>'[1]NOTE 32'!E29</f>
        <v>0</v>
      </c>
      <c r="F29" s="517">
        <f>'[1]NOTE 32'!F29</f>
        <v>0</v>
      </c>
      <c r="G29" s="517">
        <f>'[1]NOTE 32'!G29</f>
        <v>0</v>
      </c>
      <c r="H29" s="517">
        <f>'[1]NOTE 32'!H29</f>
        <v>0</v>
      </c>
      <c r="I29" s="517">
        <f>'[1]NOTE 32'!I29</f>
        <v>0</v>
      </c>
      <c r="J29" s="517">
        <f>'[1]NOTE 32'!J29</f>
        <v>0</v>
      </c>
      <c r="K29" s="517">
        <f>'[1]NOTE 32'!K29</f>
        <v>0</v>
      </c>
    </row>
    <row r="30" spans="2:11">
      <c r="B30" s="517">
        <f>'[1]NOTE 32'!B30</f>
        <v>0</v>
      </c>
      <c r="C30" s="517">
        <f>'[1]NOTE 32'!C30</f>
        <v>0</v>
      </c>
      <c r="D30" s="517">
        <f>'[1]NOTE 32'!D30</f>
        <v>0</v>
      </c>
      <c r="E30" s="517">
        <f>'[1]NOTE 32'!E30</f>
        <v>0</v>
      </c>
      <c r="F30" s="517">
        <f>'[1]NOTE 32'!F30</f>
        <v>0</v>
      </c>
      <c r="G30" s="517">
        <f>'[1]NOTE 32'!G30</f>
        <v>0</v>
      </c>
      <c r="H30" s="517">
        <f>'[1]NOTE 32'!H30</f>
        <v>0</v>
      </c>
      <c r="I30" s="517">
        <f>'[1]NOTE 32'!I30</f>
        <v>0</v>
      </c>
      <c r="J30" s="517">
        <f>'[1]NOTE 32'!J30</f>
        <v>0</v>
      </c>
      <c r="K30" s="517">
        <f>'[1]NOTE 32'!K30</f>
        <v>0</v>
      </c>
    </row>
    <row r="31" spans="2:11">
      <c r="B31" s="517">
        <f>'[1]NOTE 32'!B31</f>
        <v>0</v>
      </c>
      <c r="C31" s="517">
        <f>'[1]NOTE 32'!C31</f>
        <v>0</v>
      </c>
      <c r="D31" s="517">
        <f>'[1]NOTE 32'!D31</f>
        <v>0</v>
      </c>
      <c r="E31" s="517">
        <f>'[1]NOTE 32'!E31</f>
        <v>0</v>
      </c>
      <c r="F31" s="517">
        <f>'[1]NOTE 32'!F31</f>
        <v>0</v>
      </c>
      <c r="G31" s="517">
        <f>'[1]NOTE 32'!G31</f>
        <v>0</v>
      </c>
      <c r="H31" s="517">
        <f>'[1]NOTE 32'!H31</f>
        <v>0</v>
      </c>
      <c r="I31" s="517">
        <f>'[1]NOTE 32'!I31</f>
        <v>0</v>
      </c>
      <c r="J31" s="517">
        <f>'[1]NOTE 32'!J31</f>
        <v>0</v>
      </c>
      <c r="K31" s="517">
        <f>'[1]NOTE 32'!K31</f>
        <v>0</v>
      </c>
    </row>
    <row r="32" spans="2:11">
      <c r="B32" s="517">
        <f>'[1]NOTE 32'!B32</f>
        <v>0</v>
      </c>
      <c r="C32" s="517">
        <f>'[1]NOTE 32'!C32</f>
        <v>0</v>
      </c>
      <c r="D32" s="517">
        <f>'[1]NOTE 32'!D32</f>
        <v>0</v>
      </c>
      <c r="E32" s="517">
        <f>'[1]NOTE 32'!E32</f>
        <v>0</v>
      </c>
      <c r="F32" s="517">
        <f>'[1]NOTE 32'!F32</f>
        <v>0</v>
      </c>
      <c r="G32" s="517">
        <f>'[1]NOTE 32'!G32</f>
        <v>0</v>
      </c>
      <c r="H32" s="517">
        <f>'[1]NOTE 32'!H32</f>
        <v>0</v>
      </c>
      <c r="I32" s="517">
        <f>'[1]NOTE 32'!I32</f>
        <v>0</v>
      </c>
      <c r="J32" s="517">
        <f>'[1]NOTE 32'!J32</f>
        <v>0</v>
      </c>
      <c r="K32" s="517">
        <f>'[1]NOTE 32'!K32</f>
        <v>0</v>
      </c>
    </row>
    <row r="33" spans="2:11">
      <c r="B33" s="517">
        <f>'[1]NOTE 32'!B33</f>
        <v>0</v>
      </c>
      <c r="C33" s="517">
        <f>'[1]NOTE 32'!C33</f>
        <v>0</v>
      </c>
      <c r="D33" s="517">
        <f>'[1]NOTE 32'!D33</f>
        <v>0</v>
      </c>
      <c r="E33" s="517">
        <f>'[1]NOTE 32'!E33</f>
        <v>0</v>
      </c>
      <c r="F33" s="517">
        <f>'[1]NOTE 32'!F33</f>
        <v>0</v>
      </c>
      <c r="G33" s="517">
        <f>'[1]NOTE 32'!G33</f>
        <v>0</v>
      </c>
      <c r="H33" s="517">
        <f>'[1]NOTE 32'!H33</f>
        <v>0</v>
      </c>
      <c r="I33" s="517">
        <f>'[1]NOTE 32'!I33</f>
        <v>0</v>
      </c>
      <c r="J33" s="517">
        <f>'[1]NOTE 32'!J33</f>
        <v>0</v>
      </c>
      <c r="K33" s="517">
        <f>'[1]NOTE 32'!K33</f>
        <v>0</v>
      </c>
    </row>
    <row r="34" spans="2:11">
      <c r="B34" s="517">
        <f>'[1]NOTE 32'!B34</f>
        <v>0</v>
      </c>
      <c r="C34" s="517">
        <f>'[1]NOTE 32'!C34</f>
        <v>0</v>
      </c>
      <c r="D34" s="517">
        <f>'[1]NOTE 32'!D34</f>
        <v>0</v>
      </c>
      <c r="E34" s="517">
        <f>'[1]NOTE 32'!E34</f>
        <v>0</v>
      </c>
      <c r="F34" s="517">
        <f>'[1]NOTE 32'!F34</f>
        <v>0</v>
      </c>
      <c r="G34" s="517">
        <f>'[1]NOTE 32'!G34</f>
        <v>0</v>
      </c>
      <c r="H34" s="517">
        <f>'[1]NOTE 32'!H34</f>
        <v>0</v>
      </c>
      <c r="I34" s="517">
        <f>'[1]NOTE 32'!I34</f>
        <v>0</v>
      </c>
      <c r="J34" s="517">
        <f>'[1]NOTE 32'!J34</f>
        <v>0</v>
      </c>
      <c r="K34" s="517">
        <f>'[1]NOTE 32'!K34</f>
        <v>0</v>
      </c>
    </row>
    <row r="35" spans="2:11">
      <c r="B35" s="517">
        <f>'[1]NOTE 32'!B35</f>
        <v>0</v>
      </c>
      <c r="C35" s="517">
        <f>'[1]NOTE 32'!C35</f>
        <v>0</v>
      </c>
      <c r="D35" s="517">
        <f>'[1]NOTE 32'!D35</f>
        <v>0</v>
      </c>
      <c r="E35" s="517">
        <f>'[1]NOTE 32'!E35</f>
        <v>0</v>
      </c>
      <c r="F35" s="517">
        <f>'[1]NOTE 32'!F35</f>
        <v>0</v>
      </c>
      <c r="G35" s="517">
        <f>'[1]NOTE 32'!G35</f>
        <v>0</v>
      </c>
      <c r="H35" s="517">
        <f>'[1]NOTE 32'!H35</f>
        <v>0</v>
      </c>
      <c r="I35" s="517">
        <f>'[1]NOTE 32'!I35</f>
        <v>0</v>
      </c>
      <c r="J35" s="517">
        <f>'[1]NOTE 32'!J35</f>
        <v>0</v>
      </c>
      <c r="K35" s="517">
        <f>'[1]NOTE 32'!K35</f>
        <v>0</v>
      </c>
    </row>
    <row r="36" spans="2:11">
      <c r="B36" s="517">
        <f>'[1]NOTE 32'!B36</f>
        <v>0</v>
      </c>
      <c r="C36" s="517">
        <f>'[1]NOTE 32'!C36</f>
        <v>0</v>
      </c>
      <c r="D36" s="517">
        <f>'[1]NOTE 32'!D36</f>
        <v>0</v>
      </c>
      <c r="E36" s="517">
        <f>'[1]NOTE 32'!E36</f>
        <v>0</v>
      </c>
      <c r="F36" s="517">
        <f>'[1]NOTE 32'!F36</f>
        <v>0</v>
      </c>
      <c r="G36" s="517">
        <f>'[1]NOTE 32'!G36</f>
        <v>0</v>
      </c>
      <c r="H36" s="517">
        <f>'[1]NOTE 32'!H36</f>
        <v>0</v>
      </c>
      <c r="I36" s="517">
        <f>'[1]NOTE 32'!I36</f>
        <v>0</v>
      </c>
      <c r="J36" s="517">
        <f>'[1]NOTE 32'!J36</f>
        <v>0</v>
      </c>
      <c r="K36" s="517">
        <f>'[1]NOTE 32'!K36</f>
        <v>0</v>
      </c>
    </row>
    <row r="37" spans="2:11">
      <c r="B37" s="854" t="str">
        <f>IF([1]ACCUEIL!B1=1,"NOT VENTILATED","NON VENTILÉ")</f>
        <v>NON VENTILÉ</v>
      </c>
      <c r="C37" s="517">
        <f>'[1]NOTE 32'!C37</f>
        <v>0</v>
      </c>
      <c r="D37" s="517">
        <f>'[1]NOTE 32'!D37</f>
        <v>0</v>
      </c>
      <c r="E37" s="517">
        <f>'[1]NOTE 32'!E37</f>
        <v>0</v>
      </c>
      <c r="F37" s="517">
        <f>'[1]NOTE 32'!F37</f>
        <v>0</v>
      </c>
      <c r="G37" s="517">
        <f>'[1]NOTE 32'!G37</f>
        <v>0</v>
      </c>
      <c r="H37" s="517">
        <f>'[1]NOTE 32'!H37</f>
        <v>0</v>
      </c>
      <c r="I37" s="517">
        <f>'[1]NOTE 32'!I37</f>
        <v>0</v>
      </c>
      <c r="J37" s="517">
        <f>'[1]NOTE 32'!J37</f>
        <v>0</v>
      </c>
      <c r="K37" s="517">
        <f>'[1]NOTE 32'!K37</f>
        <v>0</v>
      </c>
    </row>
    <row r="38" spans="2:11">
      <c r="B38" s="855" t="s">
        <v>25</v>
      </c>
      <c r="C38" s="517">
        <f>'[1]NOTE 32'!C38</f>
        <v>0</v>
      </c>
      <c r="D38" s="517">
        <f>'[1]NOTE 32'!D38</f>
        <v>0</v>
      </c>
      <c r="E38" s="517">
        <f>'[1]NOTE 32'!E38</f>
        <v>0</v>
      </c>
      <c r="F38" s="517">
        <f>'[1]NOTE 32'!F38</f>
        <v>0</v>
      </c>
      <c r="G38" s="517">
        <f>'[1]NOTE 32'!G38</f>
        <v>0</v>
      </c>
      <c r="H38" s="517">
        <f>'[1]NOTE 32'!H38</f>
        <v>0</v>
      </c>
      <c r="I38" s="517">
        <f>'[1]NOTE 32'!I38</f>
        <v>0</v>
      </c>
      <c r="J38" s="517">
        <f>'[1]NOTE 32'!J38</f>
        <v>0</v>
      </c>
      <c r="K38" s="517">
        <f>'[1]NOTE 32'!K38</f>
        <v>0</v>
      </c>
    </row>
    <row r="39" spans="2:11">
      <c r="B39" s="274"/>
      <c r="C39" s="274"/>
      <c r="D39" s="274"/>
      <c r="E39" s="274"/>
      <c r="F39" s="274"/>
      <c r="G39" s="274"/>
      <c r="H39" s="274"/>
      <c r="I39" s="274"/>
      <c r="J39" s="274"/>
      <c r="K39" s="274"/>
    </row>
    <row r="40" spans="2:11">
      <c r="B40" s="274"/>
      <c r="C40" s="274"/>
      <c r="D40" s="274"/>
      <c r="E40" s="274"/>
      <c r="F40" s="274"/>
      <c r="G40" s="274"/>
      <c r="H40" s="274"/>
      <c r="I40" s="274"/>
      <c r="J40" s="274"/>
      <c r="K40" s="274"/>
    </row>
    <row r="41" spans="2:11">
      <c r="B41" s="274"/>
      <c r="C41" s="274"/>
      <c r="D41" s="274"/>
      <c r="E41" s="274"/>
      <c r="F41" s="274"/>
      <c r="G41" s="274"/>
      <c r="H41" s="274"/>
      <c r="I41" s="274"/>
      <c r="J41" s="274"/>
      <c r="K41" s="274"/>
    </row>
    <row r="42" spans="2:11">
      <c r="B42" s="274"/>
      <c r="C42" s="274"/>
      <c r="D42" s="274"/>
      <c r="E42" s="274"/>
      <c r="F42" s="274"/>
      <c r="G42" s="274"/>
      <c r="H42" s="274"/>
      <c r="I42" s="274"/>
      <c r="J42" s="274"/>
      <c r="K42" s="274"/>
    </row>
    <row r="43" spans="2:11">
      <c r="B43" s="274"/>
      <c r="C43" s="274"/>
      <c r="D43" s="274"/>
      <c r="E43" s="274"/>
      <c r="F43" s="274"/>
      <c r="G43" s="274"/>
      <c r="H43" s="274"/>
      <c r="I43" s="274"/>
      <c r="J43" s="274"/>
      <c r="K43" s="274"/>
    </row>
  </sheetData>
  <sheetProtection insertRows="0" selectLockedCells="1"/>
  <mergeCells count="9">
    <mergeCell ref="B1:K1"/>
    <mergeCell ref="J2:K3"/>
    <mergeCell ref="G7:H7"/>
    <mergeCell ref="B9:K9"/>
    <mergeCell ref="B10:B11"/>
    <mergeCell ref="D10:E10"/>
    <mergeCell ref="F10:G10"/>
    <mergeCell ref="H10:I10"/>
    <mergeCell ref="J10:K10"/>
  </mergeCells>
  <conditionalFormatting sqref="J6 F5">
    <cfRule type="expression" dxfId="3" priority="1">
      <formula>#REF!=1</formula>
    </cfRule>
  </conditionalFormatting>
  <printOptions horizontalCentered="1"/>
  <pageMargins left="0.78740157480314965" right="0" top="0.59055118110236227" bottom="0.19685039370078741" header="0.31496062992125984" footer="0.31496062992125984"/>
  <pageSetup paperSize="9" scale="86" orientation="landscape" r:id="rId1"/>
  <headerFooter>
    <oddHeader>&amp;C&amp;"-,Gras"&amp;14Page &amp;P / &amp;N</oddHeader>
  </headerFooter>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Feuil60">
    <pageSetUpPr fitToPage="1"/>
  </sheetPr>
  <dimension ref="B1:J38"/>
  <sheetViews>
    <sheetView showZeros="0" topLeftCell="A10" zoomScale="70" zoomScaleNormal="70" zoomScaleSheetLayoutView="100" workbookViewId="0">
      <selection activeCell="K31" sqref="K31"/>
    </sheetView>
  </sheetViews>
  <sheetFormatPr baseColWidth="10" defaultColWidth="11.42578125" defaultRowHeight="15"/>
  <cols>
    <col min="1" max="1" width="7.7109375" style="2" customWidth="1"/>
    <col min="2" max="2" width="27.7109375" style="2" customWidth="1"/>
    <col min="3" max="3" width="16.42578125" style="2" customWidth="1"/>
    <col min="4" max="4" width="13.7109375" style="2" customWidth="1"/>
    <col min="5" max="5" width="15.7109375" style="2" customWidth="1"/>
    <col min="6" max="7" width="15.140625" style="2" customWidth="1"/>
    <col min="8" max="8" width="16.7109375" style="2" customWidth="1"/>
    <col min="9" max="9" width="20" style="2" bestFit="1" customWidth="1"/>
    <col min="10" max="10" width="15" style="2" customWidth="1"/>
    <col min="11" max="16384" width="11.42578125" style="2"/>
  </cols>
  <sheetData>
    <row r="1" spans="2:10">
      <c r="B1" s="2129"/>
      <c r="C1" s="2129"/>
      <c r="D1" s="2129"/>
      <c r="E1" s="2129"/>
      <c r="F1" s="2129"/>
      <c r="G1" s="2129"/>
      <c r="H1" s="2129"/>
      <c r="I1" s="2129"/>
      <c r="J1" s="2129"/>
    </row>
    <row r="2" spans="2:10">
      <c r="B2" s="81"/>
      <c r="C2" s="81"/>
      <c r="D2" s="81"/>
      <c r="E2" s="81"/>
      <c r="F2" s="81"/>
      <c r="G2" s="81"/>
      <c r="H2" s="81"/>
      <c r="I2" s="2117" t="str">
        <f>IF([1]ACCUEIL!B1=1,"NOTE 33
NORMAL SYSTEM","NOTE 33
SYSTEME NORMAL")</f>
        <v>NOTE 33
SYSTEME NORMAL</v>
      </c>
      <c r="J2" s="2118"/>
    </row>
    <row r="3" spans="2:10">
      <c r="B3" s="81"/>
      <c r="C3" s="81"/>
      <c r="D3" s="81"/>
      <c r="E3" s="81"/>
      <c r="F3" s="198"/>
      <c r="G3" s="81"/>
      <c r="H3" s="81"/>
      <c r="I3" s="2119"/>
      <c r="J3" s="2120"/>
    </row>
    <row r="4" spans="2:10">
      <c r="B4" s="184" t="str">
        <f>'NOTE 32'!B4</f>
        <v>Désignation entité:</v>
      </c>
      <c r="C4" s="745" t="str">
        <f>'NOTE 32'!C4</f>
        <v/>
      </c>
      <c r="D4" s="849"/>
      <c r="E4" s="849"/>
      <c r="F4" s="849"/>
      <c r="G4" s="849"/>
      <c r="H4" s="849"/>
      <c r="I4" s="849"/>
      <c r="J4" s="849"/>
    </row>
    <row r="5" spans="2:10">
      <c r="B5" s="184" t="str">
        <f>'NOTE 32'!B5</f>
        <v>Sigle usuel :</v>
      </c>
      <c r="C5" s="745" t="str">
        <f>'NOTE 32'!C5</f>
        <v/>
      </c>
      <c r="D5" s="653"/>
      <c r="F5" s="834"/>
      <c r="G5" s="850"/>
      <c r="H5" s="850"/>
      <c r="I5" s="746"/>
      <c r="J5" s="746"/>
    </row>
    <row r="6" spans="2:10">
      <c r="B6" s="184" t="str">
        <f>'NOTE 32'!B6</f>
        <v>Adresse:</v>
      </c>
      <c r="C6" s="745">
        <f>'NOTE 32'!C6</f>
        <v>0</v>
      </c>
      <c r="D6" s="856"/>
      <c r="E6" s="850"/>
      <c r="F6" s="850"/>
      <c r="I6" s="826" t="str">
        <f>'NOTE 32'!J6</f>
        <v>BP:</v>
      </c>
      <c r="J6" s="746" t="str">
        <f>'NOTE 32'!K6</f>
        <v/>
      </c>
    </row>
    <row r="7" spans="2:10">
      <c r="B7" s="184" t="str">
        <f>'NOTE 32'!B7</f>
        <v>Numéro d'identification:</v>
      </c>
      <c r="C7" s="184" t="str">
        <f>'NOTE 32'!C7</f>
        <v/>
      </c>
      <c r="D7" s="34"/>
      <c r="E7" s="849"/>
      <c r="F7" s="2130" t="str">
        <f>'NOTE 32'!G7</f>
        <v xml:space="preserve">   Exercice clos le 31 - 12- </v>
      </c>
      <c r="G7" s="2130"/>
      <c r="H7" s="746">
        <f>'NOTE 32'!I7</f>
        <v>2025</v>
      </c>
      <c r="I7" s="182" t="str">
        <f>'NOTE 32'!J7</f>
        <v xml:space="preserve">    Durée (en mois):</v>
      </c>
      <c r="J7" s="184">
        <f>'NOTE 32'!K7</f>
        <v>12</v>
      </c>
    </row>
    <row r="8" spans="2:10">
      <c r="B8" s="34"/>
      <c r="C8" s="827"/>
      <c r="D8" s="827"/>
      <c r="E8" s="34"/>
      <c r="F8" s="34"/>
      <c r="G8" s="34"/>
      <c r="H8" s="827"/>
      <c r="I8" s="34"/>
      <c r="J8" s="827"/>
    </row>
    <row r="9" spans="2:10">
      <c r="B9" s="1617" t="str">
        <f>IF([1]ACCUEIL!B1=1,"NOTE 33 PURCHASES FOR PRODUCTION","NOTE 33 ACHATS DESTINÉS A LA PRODUCTION")</f>
        <v>NOTE 33 ACHATS DESTINÉS A LA PRODUCTION</v>
      </c>
      <c r="C9" s="1617"/>
      <c r="D9" s="1617"/>
      <c r="E9" s="1617"/>
      <c r="F9" s="1617"/>
      <c r="G9" s="1617"/>
      <c r="H9" s="1617"/>
      <c r="I9" s="1617"/>
      <c r="J9" s="1617"/>
    </row>
    <row r="10" spans="2:10">
      <c r="B10" s="81"/>
      <c r="C10" s="81"/>
      <c r="D10" s="81"/>
      <c r="E10" s="81"/>
      <c r="F10" s="198"/>
      <c r="G10" s="81"/>
      <c r="H10" s="81"/>
      <c r="I10" s="81"/>
      <c r="J10" s="81"/>
    </row>
    <row r="11" spans="2:10" ht="15" customHeight="1">
      <c r="B11" s="2134" t="str">
        <f>IF([1]ACCUEIL!B1=1,"DESIGNATION OF MATERIALS AND PRODUCTS","DÉSIGNATION DES MATIÈRE ET PRODUITS")</f>
        <v>DÉSIGNATION DES MATIÈRE ET PRODUITS</v>
      </c>
      <c r="C11" s="2134" t="str">
        <f>IF([1]ACCUEIL!B1=1,"SELECTED QUANTITY UNIT","UNITÉ DE QUANTITÉ CHOISIE")</f>
        <v>UNITÉ DE QUANTITÉ CHOISIE</v>
      </c>
      <c r="D11" s="2137" t="str">
        <f>IF([1]ACCUEIL!B1=1,"PURCHASES CARRIED OUT DURING THE YEAR","ACHAT EFFECTUÉS AU COURS DE L'EXERCICE")</f>
        <v>ACHAT EFFECTUÉS AU COURS DE L'EXERCICE</v>
      </c>
      <c r="E11" s="2138"/>
      <c r="F11" s="2138"/>
      <c r="G11" s="2138"/>
      <c r="H11" s="2138"/>
      <c r="I11" s="2139"/>
      <c r="J11" s="2134" t="str">
        <f>IF([1]ACCUEIL!B1=1,"STOCK VARIATION (IN VALUE)","VARIATION DE STOCK (EN VALEUR)")</f>
        <v>VARIATION DE STOCK (EN VALEUR)</v>
      </c>
    </row>
    <row r="12" spans="2:10">
      <c r="B12" s="2135"/>
      <c r="C12" s="2135"/>
      <c r="D12" s="2133" t="str">
        <f>IF([1]ACCUEIL!B1=1,"GOVERNMENT PRODUCTS","PRODUITS DE L'ÉTAT")</f>
        <v>PRODUITS DE L'ÉTAT</v>
      </c>
      <c r="E12" s="2133"/>
      <c r="F12" s="2133" t="str">
        <f>IF([1]ACCUEIL!B1=1,"IMPORTED PRODUCTS","PRODUITS IMPORTÉS")</f>
        <v>PRODUITS IMPORTÉS</v>
      </c>
      <c r="G12" s="2133"/>
      <c r="H12" s="2133"/>
      <c r="I12" s="2133"/>
      <c r="J12" s="2135"/>
    </row>
    <row r="13" spans="2:10">
      <c r="B13" s="2135"/>
      <c r="C13" s="2135"/>
      <c r="D13" s="2133"/>
      <c r="E13" s="2133"/>
      <c r="F13" s="2133" t="str">
        <f>IF([1]ACCUEIL!B1=1,"PURCHASED IN THE STATE","ACHETÉS DANS L'ÉTAT")</f>
        <v>ACHETÉS DANS L'ÉTAT</v>
      </c>
      <c r="G13" s="2133"/>
      <c r="H13" s="2133" t="str">
        <f>IF([1]ACCUEIL!B1=1,"PURCHASED OUT OF STATE","ACHETÉS HORS DE L'ÉTAT")</f>
        <v>ACHETÉS HORS DE L'ÉTAT</v>
      </c>
      <c r="I13" s="2133"/>
      <c r="J13" s="2135"/>
    </row>
    <row r="14" spans="2:10">
      <c r="B14" s="2136"/>
      <c r="C14" s="2136"/>
      <c r="D14" s="857" t="str">
        <f>'NOTE 32'!D11</f>
        <v>QUANTITÉ</v>
      </c>
      <c r="E14" s="857" t="str">
        <f>'NOTE 32'!E11</f>
        <v>VALEUR</v>
      </c>
      <c r="F14" s="857" t="str">
        <f>'NOTE 32'!F11</f>
        <v>QUANTITÉ</v>
      </c>
      <c r="G14" s="857" t="str">
        <f>'NOTE 32'!G11</f>
        <v>VALEUR</v>
      </c>
      <c r="H14" s="857" t="str">
        <f>'NOTE 32'!H11</f>
        <v>QUANTITÉ</v>
      </c>
      <c r="I14" s="857" t="str">
        <f>'NOTE 32'!I11</f>
        <v>VALEUR</v>
      </c>
      <c r="J14" s="2136"/>
    </row>
    <row r="15" spans="2:10">
      <c r="B15" s="853">
        <f>'[1]NOTE 33'!B15</f>
        <v>0</v>
      </c>
      <c r="C15" s="853">
        <f>'[1]NOTE 33'!C15</f>
        <v>0</v>
      </c>
      <c r="D15" s="853">
        <f>'[1]NOTE 33'!D15</f>
        <v>0</v>
      </c>
      <c r="E15" s="853">
        <f>'[1]NOTE 33'!E15</f>
        <v>0</v>
      </c>
      <c r="F15" s="853">
        <f>'[1]NOTE 33'!F15</f>
        <v>0</v>
      </c>
      <c r="G15" s="853">
        <f>'[1]NOTE 33'!G15</f>
        <v>0</v>
      </c>
      <c r="H15" s="853">
        <f>'[1]NOTE 33'!H15</f>
        <v>0</v>
      </c>
      <c r="I15" s="853">
        <f>'[1]NOTE 33'!I15</f>
        <v>0</v>
      </c>
      <c r="J15" s="853">
        <f>'[1]NOTE 33'!J15</f>
        <v>0</v>
      </c>
    </row>
    <row r="16" spans="2:10">
      <c r="B16" s="853">
        <f>'[1]NOTE 33'!B16</f>
        <v>0</v>
      </c>
      <c r="C16" s="853">
        <f>'[1]NOTE 33'!C16</f>
        <v>0</v>
      </c>
      <c r="D16" s="853">
        <f>'[1]NOTE 33'!D16</f>
        <v>0</v>
      </c>
      <c r="E16" s="853">
        <f>'[1]NOTE 33'!E16</f>
        <v>0</v>
      </c>
      <c r="F16" s="853">
        <f>'[1]NOTE 33'!F16</f>
        <v>0</v>
      </c>
      <c r="G16" s="853">
        <f>'[1]NOTE 33'!G16</f>
        <v>0</v>
      </c>
      <c r="H16" s="853">
        <f>'[1]NOTE 33'!H16</f>
        <v>0</v>
      </c>
      <c r="I16" s="853">
        <f>'[1]NOTE 33'!I16</f>
        <v>0</v>
      </c>
      <c r="J16" s="853">
        <f>'[1]NOTE 33'!J16</f>
        <v>0</v>
      </c>
    </row>
    <row r="17" spans="2:10">
      <c r="B17" s="853">
        <f>'[1]NOTE 33'!B17</f>
        <v>0</v>
      </c>
      <c r="C17" s="853">
        <f>'[1]NOTE 33'!C17</f>
        <v>0</v>
      </c>
      <c r="D17" s="853">
        <f>'[1]NOTE 33'!D17</f>
        <v>0</v>
      </c>
      <c r="E17" s="853">
        <f>'[1]NOTE 33'!E17</f>
        <v>0</v>
      </c>
      <c r="F17" s="853">
        <f>'[1]NOTE 33'!F17</f>
        <v>0</v>
      </c>
      <c r="G17" s="853">
        <f>'[1]NOTE 33'!G17</f>
        <v>0</v>
      </c>
      <c r="H17" s="853">
        <f>'[1]NOTE 33'!H17</f>
        <v>0</v>
      </c>
      <c r="I17" s="853">
        <f>'[1]NOTE 33'!I17</f>
        <v>0</v>
      </c>
      <c r="J17" s="853">
        <f>'[1]NOTE 33'!J17</f>
        <v>0</v>
      </c>
    </row>
    <row r="18" spans="2:10">
      <c r="B18" s="853">
        <f>'[1]NOTE 33'!B18</f>
        <v>0</v>
      </c>
      <c r="C18" s="853">
        <f>'[1]NOTE 33'!C18</f>
        <v>0</v>
      </c>
      <c r="D18" s="853">
        <f>'[1]NOTE 33'!D18</f>
        <v>0</v>
      </c>
      <c r="E18" s="853">
        <f>'[1]NOTE 33'!E18</f>
        <v>0</v>
      </c>
      <c r="F18" s="853">
        <f>'[1]NOTE 33'!F18</f>
        <v>0</v>
      </c>
      <c r="G18" s="853">
        <f>'[1]NOTE 33'!G18</f>
        <v>0</v>
      </c>
      <c r="H18" s="853">
        <f>'[1]NOTE 33'!H18</f>
        <v>0</v>
      </c>
      <c r="I18" s="853">
        <f>'[1]NOTE 33'!I18</f>
        <v>0</v>
      </c>
      <c r="J18" s="853">
        <f>'[1]NOTE 33'!J18</f>
        <v>0</v>
      </c>
    </row>
    <row r="19" spans="2:10">
      <c r="B19" s="853">
        <f>'[1]NOTE 33'!B19</f>
        <v>0</v>
      </c>
      <c r="C19" s="853">
        <f>'[1]NOTE 33'!C19</f>
        <v>0</v>
      </c>
      <c r="D19" s="853">
        <f>'[1]NOTE 33'!D19</f>
        <v>0</v>
      </c>
      <c r="E19" s="853">
        <f>'[1]NOTE 33'!E19</f>
        <v>0</v>
      </c>
      <c r="F19" s="853">
        <f>'[1]NOTE 33'!F19</f>
        <v>0</v>
      </c>
      <c r="G19" s="853">
        <f>'[1]NOTE 33'!G19</f>
        <v>0</v>
      </c>
      <c r="H19" s="853">
        <f>'[1]NOTE 33'!H19</f>
        <v>0</v>
      </c>
      <c r="I19" s="853">
        <f>'[1]NOTE 33'!I19</f>
        <v>0</v>
      </c>
      <c r="J19" s="853">
        <f>'[1]NOTE 33'!J19</f>
        <v>0</v>
      </c>
    </row>
    <row r="20" spans="2:10">
      <c r="B20" s="853">
        <f>'[1]NOTE 33'!B20</f>
        <v>0</v>
      </c>
      <c r="C20" s="853">
        <f>'[1]NOTE 33'!C20</f>
        <v>0</v>
      </c>
      <c r="D20" s="853">
        <f>'[1]NOTE 33'!D20</f>
        <v>0</v>
      </c>
      <c r="E20" s="853">
        <f>'[1]NOTE 33'!E20</f>
        <v>0</v>
      </c>
      <c r="F20" s="853">
        <f>'[1]NOTE 33'!F20</f>
        <v>0</v>
      </c>
      <c r="G20" s="853">
        <f>'[1]NOTE 33'!G20</f>
        <v>0</v>
      </c>
      <c r="H20" s="853">
        <f>'[1]NOTE 33'!H20</f>
        <v>0</v>
      </c>
      <c r="I20" s="853">
        <f>'[1]NOTE 33'!I20</f>
        <v>0</v>
      </c>
      <c r="J20" s="853">
        <f>'[1]NOTE 33'!J20</f>
        <v>0</v>
      </c>
    </row>
    <row r="21" spans="2:10">
      <c r="B21" s="853">
        <f>'[1]NOTE 33'!B21</f>
        <v>0</v>
      </c>
      <c r="C21" s="853">
        <f>'[1]NOTE 33'!C21</f>
        <v>0</v>
      </c>
      <c r="D21" s="853">
        <f>'[1]NOTE 33'!D21</f>
        <v>0</v>
      </c>
      <c r="E21" s="853">
        <f>'[1]NOTE 33'!E21</f>
        <v>0</v>
      </c>
      <c r="F21" s="853">
        <f>'[1]NOTE 33'!F21</f>
        <v>0</v>
      </c>
      <c r="G21" s="853">
        <f>'[1]NOTE 33'!G21</f>
        <v>0</v>
      </c>
      <c r="H21" s="853">
        <f>'[1]NOTE 33'!H21</f>
        <v>0</v>
      </c>
      <c r="I21" s="853">
        <f>'[1]NOTE 33'!I21</f>
        <v>0</v>
      </c>
      <c r="J21" s="853">
        <f>'[1]NOTE 33'!J21</f>
        <v>0</v>
      </c>
    </row>
    <row r="22" spans="2:10">
      <c r="B22" s="853">
        <f>'[1]NOTE 33'!B22</f>
        <v>0</v>
      </c>
      <c r="C22" s="853">
        <f>'[1]NOTE 33'!C22</f>
        <v>0</v>
      </c>
      <c r="D22" s="853">
        <f>'[1]NOTE 33'!D22</f>
        <v>0</v>
      </c>
      <c r="E22" s="853">
        <f>'[1]NOTE 33'!E22</f>
        <v>0</v>
      </c>
      <c r="F22" s="853">
        <f>'[1]NOTE 33'!F22</f>
        <v>0</v>
      </c>
      <c r="G22" s="853">
        <f>'[1]NOTE 33'!G22</f>
        <v>0</v>
      </c>
      <c r="H22" s="853">
        <f>'[1]NOTE 33'!H22</f>
        <v>0</v>
      </c>
      <c r="I22" s="853">
        <f>'[1]NOTE 33'!I22</f>
        <v>0</v>
      </c>
      <c r="J22" s="853">
        <f>'[1]NOTE 33'!J22</f>
        <v>0</v>
      </c>
    </row>
    <row r="23" spans="2:10">
      <c r="B23" s="853">
        <f>'[1]NOTE 33'!B23</f>
        <v>0</v>
      </c>
      <c r="C23" s="853">
        <f>'[1]NOTE 33'!C23</f>
        <v>0</v>
      </c>
      <c r="D23" s="853">
        <f>'[1]NOTE 33'!D23</f>
        <v>0</v>
      </c>
      <c r="E23" s="853">
        <f>'[1]NOTE 33'!E23</f>
        <v>0</v>
      </c>
      <c r="F23" s="853">
        <f>'[1]NOTE 33'!F23</f>
        <v>0</v>
      </c>
      <c r="G23" s="853">
        <f>'[1]NOTE 33'!G23</f>
        <v>0</v>
      </c>
      <c r="H23" s="853">
        <f>'[1]NOTE 33'!H23</f>
        <v>0</v>
      </c>
      <c r="I23" s="853">
        <f>'[1]NOTE 33'!I23</f>
        <v>0</v>
      </c>
      <c r="J23" s="853">
        <f>'[1]NOTE 33'!J23</f>
        <v>0</v>
      </c>
    </row>
    <row r="24" spans="2:10">
      <c r="B24" s="853">
        <f>'[1]NOTE 33'!B24</f>
        <v>0</v>
      </c>
      <c r="C24" s="853">
        <f>'[1]NOTE 33'!C24</f>
        <v>0</v>
      </c>
      <c r="D24" s="853">
        <f>'[1]NOTE 33'!D24</f>
        <v>0</v>
      </c>
      <c r="E24" s="853">
        <f>'[1]NOTE 33'!E24</f>
        <v>0</v>
      </c>
      <c r="F24" s="853">
        <f>'[1]NOTE 33'!F24</f>
        <v>0</v>
      </c>
      <c r="G24" s="853">
        <f>'[1]NOTE 33'!G24</f>
        <v>0</v>
      </c>
      <c r="H24" s="853">
        <f>'[1]NOTE 33'!H24</f>
        <v>0</v>
      </c>
      <c r="I24" s="853">
        <f>'[1]NOTE 33'!I24</f>
        <v>0</v>
      </c>
      <c r="J24" s="853">
        <f>'[1]NOTE 33'!J24</f>
        <v>0</v>
      </c>
    </row>
    <row r="25" spans="2:10">
      <c r="B25" s="853">
        <f>'[1]NOTE 33'!B25</f>
        <v>0</v>
      </c>
      <c r="C25" s="853">
        <f>'[1]NOTE 33'!C25</f>
        <v>0</v>
      </c>
      <c r="D25" s="853">
        <f>'[1]NOTE 33'!D25</f>
        <v>0</v>
      </c>
      <c r="E25" s="853">
        <f>'[1]NOTE 33'!E25</f>
        <v>0</v>
      </c>
      <c r="F25" s="853">
        <f>'[1]NOTE 33'!F25</f>
        <v>0</v>
      </c>
      <c r="G25" s="853">
        <f>'[1]NOTE 33'!G25</f>
        <v>0</v>
      </c>
      <c r="H25" s="853">
        <f>'[1]NOTE 33'!H25</f>
        <v>0</v>
      </c>
      <c r="I25" s="853">
        <f>'[1]NOTE 33'!I25</f>
        <v>0</v>
      </c>
      <c r="J25" s="853">
        <f>'[1]NOTE 33'!J25</f>
        <v>0</v>
      </c>
    </row>
    <row r="26" spans="2:10">
      <c r="B26" s="853">
        <f>'[1]NOTE 33'!B26</f>
        <v>0</v>
      </c>
      <c r="C26" s="853">
        <f>'[1]NOTE 33'!C26</f>
        <v>0</v>
      </c>
      <c r="D26" s="853">
        <f>'[1]NOTE 33'!D26</f>
        <v>0</v>
      </c>
      <c r="E26" s="853">
        <f>'[1]NOTE 33'!E26</f>
        <v>0</v>
      </c>
      <c r="F26" s="853">
        <f>'[1]NOTE 33'!F26</f>
        <v>0</v>
      </c>
      <c r="G26" s="853">
        <f>'[1]NOTE 33'!G26</f>
        <v>0</v>
      </c>
      <c r="H26" s="853">
        <f>'[1]NOTE 33'!H26</f>
        <v>0</v>
      </c>
      <c r="I26" s="853">
        <f>'[1]NOTE 33'!I26</f>
        <v>0</v>
      </c>
      <c r="J26" s="853">
        <f>'[1]NOTE 33'!J26</f>
        <v>0</v>
      </c>
    </row>
    <row r="27" spans="2:10">
      <c r="B27" s="853">
        <f>'[1]NOTE 33'!B27</f>
        <v>0</v>
      </c>
      <c r="C27" s="853">
        <f>'[1]NOTE 33'!C27</f>
        <v>0</v>
      </c>
      <c r="D27" s="853">
        <f>'[1]NOTE 33'!D27</f>
        <v>0</v>
      </c>
      <c r="E27" s="853">
        <f>'[1]NOTE 33'!E27</f>
        <v>0</v>
      </c>
      <c r="F27" s="853">
        <f>'[1]NOTE 33'!F27</f>
        <v>0</v>
      </c>
      <c r="G27" s="853">
        <f>'[1]NOTE 33'!G27</f>
        <v>0</v>
      </c>
      <c r="H27" s="853">
        <f>'[1]NOTE 33'!H27</f>
        <v>0</v>
      </c>
      <c r="I27" s="853">
        <f>'[1]NOTE 33'!I27</f>
        <v>0</v>
      </c>
      <c r="J27" s="853">
        <f>'[1]NOTE 33'!J27</f>
        <v>0</v>
      </c>
    </row>
    <row r="28" spans="2:10">
      <c r="B28" s="853">
        <f>'[1]NOTE 33'!B28</f>
        <v>0</v>
      </c>
      <c r="C28" s="853">
        <f>'[1]NOTE 33'!C28</f>
        <v>0</v>
      </c>
      <c r="D28" s="853">
        <f>'[1]NOTE 33'!D28</f>
        <v>0</v>
      </c>
      <c r="E28" s="853">
        <f>'[1]NOTE 33'!E28</f>
        <v>0</v>
      </c>
      <c r="F28" s="853">
        <f>'[1]NOTE 33'!F28</f>
        <v>0</v>
      </c>
      <c r="G28" s="853">
        <f>'[1]NOTE 33'!G28</f>
        <v>0</v>
      </c>
      <c r="H28" s="853">
        <f>'[1]NOTE 33'!H28</f>
        <v>0</v>
      </c>
      <c r="I28" s="853">
        <f>'[1]NOTE 33'!I28</f>
        <v>0</v>
      </c>
      <c r="J28" s="853">
        <f>'[1]NOTE 33'!J28</f>
        <v>0</v>
      </c>
    </row>
    <row r="29" spans="2:10">
      <c r="B29" s="853">
        <f>'[1]NOTE 33'!B29</f>
        <v>0</v>
      </c>
      <c r="C29" s="853">
        <f>'[1]NOTE 33'!C29</f>
        <v>0</v>
      </c>
      <c r="D29" s="853">
        <f>'[1]NOTE 33'!D29</f>
        <v>0</v>
      </c>
      <c r="E29" s="853">
        <f>'[1]NOTE 33'!E29</f>
        <v>0</v>
      </c>
      <c r="F29" s="853">
        <f>'[1]NOTE 33'!F29</f>
        <v>0</v>
      </c>
      <c r="G29" s="853">
        <f>'[1]NOTE 33'!G29</f>
        <v>0</v>
      </c>
      <c r="H29" s="853">
        <f>'[1]NOTE 33'!H29</f>
        <v>0</v>
      </c>
      <c r="I29" s="853">
        <f>'[1]NOTE 33'!I29</f>
        <v>0</v>
      </c>
      <c r="J29" s="853">
        <f>'[1]NOTE 33'!J29</f>
        <v>0</v>
      </c>
    </row>
    <row r="30" spans="2:10">
      <c r="B30" s="853">
        <f>'[1]NOTE 33'!B30</f>
        <v>0</v>
      </c>
      <c r="C30" s="853">
        <f>'[1]NOTE 33'!C30</f>
        <v>0</v>
      </c>
      <c r="D30" s="853">
        <f>'[1]NOTE 33'!D30</f>
        <v>0</v>
      </c>
      <c r="E30" s="853">
        <f>'[1]NOTE 33'!E30</f>
        <v>0</v>
      </c>
      <c r="F30" s="853">
        <f>'[1]NOTE 33'!F30</f>
        <v>0</v>
      </c>
      <c r="G30" s="853">
        <f>'[1]NOTE 33'!G30</f>
        <v>0</v>
      </c>
      <c r="H30" s="853">
        <f>'[1]NOTE 33'!H30</f>
        <v>0</v>
      </c>
      <c r="I30" s="853">
        <f>'[1]NOTE 33'!I30</f>
        <v>0</v>
      </c>
      <c r="J30" s="853">
        <f>'[1]NOTE 33'!J30</f>
        <v>0</v>
      </c>
    </row>
    <row r="31" spans="2:10">
      <c r="B31" s="853">
        <f>'[1]NOTE 33'!B31</f>
        <v>0</v>
      </c>
      <c r="C31" s="853">
        <f>'[1]NOTE 33'!C31</f>
        <v>0</v>
      </c>
      <c r="D31" s="853">
        <f>'[1]NOTE 33'!D31</f>
        <v>0</v>
      </c>
      <c r="E31" s="853">
        <f>'[1]NOTE 33'!E31</f>
        <v>0</v>
      </c>
      <c r="F31" s="853">
        <f>'[1]NOTE 33'!F31</f>
        <v>0</v>
      </c>
      <c r="G31" s="853">
        <f>'[1]NOTE 33'!G31</f>
        <v>0</v>
      </c>
      <c r="H31" s="853">
        <f>'[1]NOTE 33'!H31</f>
        <v>0</v>
      </c>
      <c r="I31" s="853">
        <f>'[1]NOTE 33'!I31</f>
        <v>0</v>
      </c>
      <c r="J31" s="853">
        <f>'[1]NOTE 33'!J31</f>
        <v>0</v>
      </c>
    </row>
    <row r="32" spans="2:10">
      <c r="B32" s="853">
        <f>'[1]NOTE 33'!B32</f>
        <v>0</v>
      </c>
      <c r="C32" s="853">
        <f>'[1]NOTE 33'!C32</f>
        <v>0</v>
      </c>
      <c r="D32" s="853">
        <f>'[1]NOTE 33'!D32</f>
        <v>0</v>
      </c>
      <c r="E32" s="853">
        <f>'[1]NOTE 33'!E32</f>
        <v>0</v>
      </c>
      <c r="F32" s="853">
        <f>'[1]NOTE 33'!F32</f>
        <v>0</v>
      </c>
      <c r="G32" s="853">
        <f>'[1]NOTE 33'!G32</f>
        <v>0</v>
      </c>
      <c r="H32" s="853">
        <f>'[1]NOTE 33'!H32</f>
        <v>0</v>
      </c>
      <c r="I32" s="853">
        <f>'[1]NOTE 33'!I32</f>
        <v>0</v>
      </c>
      <c r="J32" s="853">
        <f>'[1]NOTE 33'!J32</f>
        <v>0</v>
      </c>
    </row>
    <row r="33" spans="2:10">
      <c r="B33" s="853">
        <f>'[1]NOTE 33'!B33</f>
        <v>0</v>
      </c>
      <c r="C33" s="853">
        <f>'[1]NOTE 33'!C33</f>
        <v>0</v>
      </c>
      <c r="D33" s="853">
        <f>'[1]NOTE 33'!D33</f>
        <v>0</v>
      </c>
      <c r="E33" s="853">
        <f>'[1]NOTE 33'!E33</f>
        <v>0</v>
      </c>
      <c r="F33" s="853">
        <f>'[1]NOTE 33'!F33</f>
        <v>0</v>
      </c>
      <c r="G33" s="853">
        <f>'[1]NOTE 33'!G33</f>
        <v>0</v>
      </c>
      <c r="H33" s="853">
        <f>'[1]NOTE 33'!H33</f>
        <v>0</v>
      </c>
      <c r="I33" s="853">
        <f>'[1]NOTE 33'!I33</f>
        <v>0</v>
      </c>
      <c r="J33" s="853">
        <f>'[1]NOTE 33'!J33</f>
        <v>0</v>
      </c>
    </row>
    <row r="34" spans="2:10">
      <c r="B34" s="853">
        <f>'[1]NOTE 33'!B34</f>
        <v>0</v>
      </c>
      <c r="C34" s="853">
        <f>'[1]NOTE 33'!C34</f>
        <v>0</v>
      </c>
      <c r="D34" s="853">
        <f>'[1]NOTE 33'!D34</f>
        <v>0</v>
      </c>
      <c r="E34" s="853">
        <f>'[1]NOTE 33'!E34</f>
        <v>0</v>
      </c>
      <c r="F34" s="853">
        <f>'[1]NOTE 33'!F34</f>
        <v>0</v>
      </c>
      <c r="G34" s="853">
        <f>'[1]NOTE 33'!G34</f>
        <v>0</v>
      </c>
      <c r="H34" s="853">
        <f>'[1]NOTE 33'!H34</f>
        <v>0</v>
      </c>
      <c r="I34" s="853">
        <f>'[1]NOTE 33'!I34</f>
        <v>0</v>
      </c>
      <c r="J34" s="853">
        <f>'[1]NOTE 33'!J34</f>
        <v>0</v>
      </c>
    </row>
    <row r="35" spans="2:10">
      <c r="B35" s="853">
        <f>'[1]NOTE 33'!B35</f>
        <v>0</v>
      </c>
      <c r="C35" s="853">
        <f>'[1]NOTE 33'!C35</f>
        <v>0</v>
      </c>
      <c r="D35" s="853">
        <f>'[1]NOTE 33'!D35</f>
        <v>0</v>
      </c>
      <c r="E35" s="853">
        <f>'[1]NOTE 33'!E35</f>
        <v>0</v>
      </c>
      <c r="F35" s="853">
        <f>'[1]NOTE 33'!F35</f>
        <v>0</v>
      </c>
      <c r="G35" s="853">
        <f>'[1]NOTE 33'!G35</f>
        <v>0</v>
      </c>
      <c r="H35" s="853">
        <f>'[1]NOTE 33'!H35</f>
        <v>0</v>
      </c>
      <c r="I35" s="853">
        <f>'[1]NOTE 33'!I35</f>
        <v>0</v>
      </c>
      <c r="J35" s="853">
        <f>'[1]NOTE 33'!J35</f>
        <v>0</v>
      </c>
    </row>
    <row r="36" spans="2:10">
      <c r="B36" s="853">
        <f>'[1]NOTE 33'!B36</f>
        <v>0</v>
      </c>
      <c r="C36" s="853">
        <f>'[1]NOTE 33'!C36</f>
        <v>0</v>
      </c>
      <c r="D36" s="853">
        <f>'[1]NOTE 33'!D36</f>
        <v>0</v>
      </c>
      <c r="E36" s="853">
        <f>'[1]NOTE 33'!E36</f>
        <v>0</v>
      </c>
      <c r="F36" s="853">
        <f>'[1]NOTE 33'!F36</f>
        <v>0</v>
      </c>
      <c r="G36" s="853">
        <f>'[1]NOTE 33'!G36</f>
        <v>0</v>
      </c>
      <c r="H36" s="853">
        <f>'[1]NOTE 33'!H36</f>
        <v>0</v>
      </c>
      <c r="I36" s="853">
        <f>'[1]NOTE 33'!I36</f>
        <v>0</v>
      </c>
      <c r="J36" s="853">
        <f>'[1]NOTE 33'!J36</f>
        <v>0</v>
      </c>
    </row>
    <row r="37" spans="2:10">
      <c r="B37" s="853" t="str">
        <f>'[1]NOTE 33'!B37</f>
        <v>NON VENTILÉS</v>
      </c>
      <c r="C37" s="853">
        <f>'[1]NOTE 33'!C37</f>
        <v>0</v>
      </c>
      <c r="D37" s="853">
        <f>'[1]NOTE 33'!D37</f>
        <v>0</v>
      </c>
      <c r="E37" s="853">
        <f>'[1]NOTE 33'!E37</f>
        <v>0</v>
      </c>
      <c r="F37" s="853">
        <f>'[1]NOTE 33'!F37</f>
        <v>0</v>
      </c>
      <c r="G37" s="853">
        <f>'[1]NOTE 33'!G37</f>
        <v>0</v>
      </c>
      <c r="H37" s="853">
        <f>'[1]NOTE 33'!H37</f>
        <v>0</v>
      </c>
      <c r="I37" s="853">
        <f>'[1]NOTE 33'!I37</f>
        <v>0</v>
      </c>
      <c r="J37" s="853">
        <f>'[1]NOTE 33'!J37</f>
        <v>0</v>
      </c>
    </row>
    <row r="38" spans="2:10">
      <c r="B38" s="853" t="str">
        <f>'[1]NOTE 33'!B38</f>
        <v>TOTAL</v>
      </c>
      <c r="C38" s="853">
        <f>'[1]NOTE 33'!C38</f>
        <v>0</v>
      </c>
      <c r="D38" s="853">
        <f>'[1]NOTE 33'!D38</f>
        <v>0</v>
      </c>
      <c r="E38" s="853">
        <f>'[1]NOTE 33'!E38</f>
        <v>0</v>
      </c>
      <c r="F38" s="853">
        <f>'[1]NOTE 33'!F38</f>
        <v>0</v>
      </c>
      <c r="G38" s="853">
        <f>'[1]NOTE 33'!G38</f>
        <v>0</v>
      </c>
      <c r="H38" s="853">
        <f>'[1]NOTE 33'!H38</f>
        <v>0</v>
      </c>
      <c r="I38" s="853">
        <f>'[1]NOTE 33'!I38</f>
        <v>0</v>
      </c>
      <c r="J38" s="853">
        <f>'[1]NOTE 33'!J38</f>
        <v>0</v>
      </c>
    </row>
  </sheetData>
  <sheetProtection insertRows="0" selectLockedCells="1"/>
  <mergeCells count="12">
    <mergeCell ref="F13:G13"/>
    <mergeCell ref="H13:I13"/>
    <mergeCell ref="B1:J1"/>
    <mergeCell ref="I2:J3"/>
    <mergeCell ref="F7:G7"/>
    <mergeCell ref="B9:J9"/>
    <mergeCell ref="B11:B14"/>
    <mergeCell ref="C11:C14"/>
    <mergeCell ref="D11:I11"/>
    <mergeCell ref="J11:J14"/>
    <mergeCell ref="D12:E13"/>
    <mergeCell ref="F12:I12"/>
  </mergeCells>
  <conditionalFormatting sqref="I6 F5 D6">
    <cfRule type="expression" dxfId="2" priority="1">
      <formula>#REF!=1</formula>
    </cfRule>
  </conditionalFormatting>
  <printOptions horizontalCentered="1"/>
  <pageMargins left="0.78740157480314965" right="0" top="0.59055118110236227" bottom="0.19685039370078741" header="0.31496062992125984" footer="0.31496062992125984"/>
  <pageSetup paperSize="9" scale="87" orientation="landscape" r:id="rId1"/>
  <headerFooter>
    <oddHeader>&amp;C&amp;"-,Gras"&amp;14Page &amp;P / &amp;N</oddHeader>
  </headerFooter>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Feuil61">
    <pageSetUpPr fitToPage="1"/>
  </sheetPr>
  <dimension ref="B1:O74"/>
  <sheetViews>
    <sheetView showZeros="0" topLeftCell="A51" zoomScale="80" zoomScaleNormal="80" zoomScaleSheetLayoutView="106" workbookViewId="0">
      <selection activeCell="B70" sqref="B70"/>
    </sheetView>
  </sheetViews>
  <sheetFormatPr baseColWidth="10" defaultColWidth="11.42578125" defaultRowHeight="15"/>
  <cols>
    <col min="1" max="1" width="13.7109375" style="2" customWidth="1"/>
    <col min="2" max="2" width="22.28515625" style="2" customWidth="1"/>
    <col min="3" max="3" width="26.140625" style="2" customWidth="1"/>
    <col min="4" max="4" width="11.42578125" style="2" customWidth="1"/>
    <col min="5" max="5" width="18.140625" style="2" customWidth="1"/>
    <col min="6" max="6" width="18.7109375" style="2" customWidth="1"/>
    <col min="7" max="7" width="21.28515625" style="2" bestFit="1" customWidth="1"/>
    <col min="8" max="8" width="12.5703125" style="923" bestFit="1" customWidth="1"/>
    <col min="9" max="9" width="15.5703125" style="220" hidden="1" customWidth="1"/>
    <col min="10" max="10" width="15" style="2" hidden="1" customWidth="1"/>
    <col min="11" max="11" width="14.5703125" style="2" hidden="1" customWidth="1"/>
    <col min="12" max="12" width="18.28515625" style="2" hidden="1" customWidth="1"/>
    <col min="13" max="13" width="15.7109375" style="2" hidden="1" customWidth="1"/>
    <col min="14" max="16" width="11.42578125" style="2"/>
    <col min="17" max="17" width="10.42578125" style="2" customWidth="1"/>
    <col min="18" max="16384" width="11.42578125" style="2"/>
  </cols>
  <sheetData>
    <row r="1" spans="2:13">
      <c r="B1" s="2129"/>
      <c r="C1" s="2129"/>
      <c r="D1" s="2129"/>
      <c r="E1" s="2129"/>
      <c r="F1" s="2129"/>
      <c r="G1" s="2129"/>
      <c r="H1" s="2129"/>
    </row>
    <row r="2" spans="2:13">
      <c r="B2" s="81"/>
      <c r="C2" s="81"/>
      <c r="D2" s="81"/>
      <c r="E2" s="81"/>
      <c r="F2" s="81"/>
      <c r="G2" s="2117" t="str">
        <f>IF([1]ACCUEIL!C1=1,"NOTE 34
NORMAL SYSTEM","NOTE 34
SYSTEME NORMAL")</f>
        <v>NOTE 34
SYSTEME NORMAL</v>
      </c>
      <c r="H2" s="2118"/>
    </row>
    <row r="3" spans="2:13">
      <c r="B3" s="81"/>
      <c r="C3" s="81"/>
      <c r="D3" s="198"/>
      <c r="E3" s="198"/>
      <c r="F3" s="81"/>
      <c r="G3" s="2119"/>
      <c r="H3" s="2120"/>
    </row>
    <row r="4" spans="2:13">
      <c r="B4" s="184" t="str">
        <f>'NOTE 33'!B4</f>
        <v>Désignation entité:</v>
      </c>
      <c r="C4" s="823" t="str">
        <f>'NOTE 33'!C4</f>
        <v/>
      </c>
      <c r="D4" s="824"/>
      <c r="E4" s="81"/>
      <c r="F4" s="849"/>
      <c r="G4" s="81"/>
      <c r="H4" s="824"/>
    </row>
    <row r="5" spans="2:13">
      <c r="B5" s="184" t="str">
        <f>'NOTE 33'!B5</f>
        <v>Sigle usuel :</v>
      </c>
      <c r="C5" s="823" t="str">
        <f>'NOTE 33'!C5</f>
        <v/>
      </c>
      <c r="D5" s="653"/>
      <c r="E5" s="858"/>
      <c r="F5" s="859"/>
      <c r="G5" s="834"/>
      <c r="H5" s="834"/>
    </row>
    <row r="6" spans="2:13">
      <c r="B6" s="184" t="str">
        <f>'NOTE 33'!B6</f>
        <v>Adresse:</v>
      </c>
      <c r="C6" s="823">
        <f>'NOTE 33'!C6</f>
        <v>0</v>
      </c>
      <c r="D6" s="81"/>
      <c r="F6" s="653"/>
      <c r="G6" s="826" t="str">
        <f>'NOTE 33'!I6</f>
        <v>BP:</v>
      </c>
      <c r="H6" s="860" t="str">
        <f>'NOTE 33'!J6</f>
        <v/>
      </c>
    </row>
    <row r="7" spans="2:13">
      <c r="B7" s="184" t="str">
        <f>'NOTE 33'!B7</f>
        <v>Numéro d'identification:</v>
      </c>
      <c r="C7" s="861" t="str">
        <f>'NOTE 33'!C7</f>
        <v/>
      </c>
      <c r="D7" s="2130" t="str">
        <f>'NOTE 33'!F7</f>
        <v xml:space="preserve">   Exercice clos le 31 - 12- </v>
      </c>
      <c r="E7" s="2130"/>
      <c r="F7" s="823">
        <f>'NOTE 33'!H7</f>
        <v>2025</v>
      </c>
      <c r="G7" s="200" t="str">
        <f>'NOTE 33'!I7</f>
        <v xml:space="preserve">    Durée (en mois):</v>
      </c>
      <c r="H7" s="772">
        <f>'NOTE 33'!J7</f>
        <v>12</v>
      </c>
    </row>
    <row r="8" spans="2:13">
      <c r="B8" s="184">
        <f>'NOTE 33'!B8</f>
        <v>0</v>
      </c>
      <c r="C8" s="862"/>
      <c r="D8" s="198"/>
      <c r="E8" s="198"/>
      <c r="F8" s="81"/>
      <c r="G8" s="81"/>
      <c r="H8" s="863"/>
    </row>
    <row r="9" spans="2:13" ht="24" customHeight="1">
      <c r="B9" s="1712" t="str">
        <f>IF([1]ACCUEIL!B1=1,"NOTE 34 ACTIVITY ANALYSIS","NOTE 34 ANALYSE D'ACTIVITÉ")</f>
        <v>NOTE 34 ANALYSE D'ACTIVITÉ</v>
      </c>
      <c r="C9" s="1712"/>
      <c r="D9" s="1712"/>
      <c r="E9" s="1712"/>
      <c r="F9" s="1712"/>
      <c r="G9" s="1712"/>
      <c r="H9" s="1712"/>
    </row>
    <row r="10" spans="2:13">
      <c r="B10" s="2142" t="str">
        <f>IF([1]ACCUEIL!B1=1,"IN THOUSANDS OF FRANCS","EN MILLIER DE FRANCS")</f>
        <v>EN MILLIER DE FRANCS</v>
      </c>
      <c r="C10" s="2142"/>
      <c r="D10" s="2143"/>
      <c r="E10" s="864"/>
      <c r="F10" s="865" t="str">
        <f>IF([1]ACCUEIL!B1=1,"Year N","Année N ")</f>
        <v xml:space="preserve">Année N </v>
      </c>
      <c r="G10" s="866" t="str">
        <f>IF([1]ACCUEIL!B1=1,"Year N-1","Année N-1")</f>
        <v>Année N-1</v>
      </c>
      <c r="H10" s="867" t="str">
        <f>IF([1]ACCUEIL!B1=1,"% Change","Variation en %")</f>
        <v>Variation en %</v>
      </c>
    </row>
    <row r="11" spans="2:13">
      <c r="B11" s="868" t="str">
        <f>IF([1]ACCUEIL!B1=1,"INTERMEDIATE MANAGEMENT REBATE","SOLDES INTERMÉDIAIRES DE GESTION")</f>
        <v>SOLDES INTERMÉDIAIRES DE GESTION</v>
      </c>
      <c r="C11" s="869"/>
      <c r="D11" s="869"/>
      <c r="E11" s="870"/>
      <c r="F11" s="871"/>
      <c r="G11" s="872"/>
      <c r="H11" s="873"/>
    </row>
    <row r="12" spans="2:13">
      <c r="B12" s="874" t="str">
        <f>IF([1]ACCUEIL!B1=1,"BUSINESS FIGURES","CHIFFRES D'AFFAIRES ")</f>
        <v xml:space="preserve">CHIFFRES D'AFFAIRES </v>
      </c>
      <c r="C12" s="875"/>
      <c r="D12" s="875"/>
      <c r="E12" s="871"/>
      <c r="F12" s="876">
        <f>'COMPTE DE RESULTAT'!I37/1000</f>
        <v>0</v>
      </c>
      <c r="G12" s="876">
        <f>'COMPTE DE RESULTAT'!J37/1000</f>
        <v>0</v>
      </c>
      <c r="H12" s="877">
        <f>IF(J12=0,0,M12)</f>
        <v>0</v>
      </c>
      <c r="J12" s="878">
        <f>F12-G12</f>
        <v>0</v>
      </c>
      <c r="K12" s="554">
        <f>IF(G12=0,1,IF(G12&lt;0,(F12-G12)/-G12,(F12-G12)/G12))</f>
        <v>1</v>
      </c>
      <c r="L12" s="628">
        <f>IF(J12=F12,IF(J12&lt;0,-1,0))</f>
        <v>0</v>
      </c>
      <c r="M12" s="2">
        <f>IF(L12=0,1,IF(L12=FALSE,K12,-1))</f>
        <v>1</v>
      </c>
    </row>
    <row r="13" spans="2:13">
      <c r="B13" s="874" t="str">
        <f>IF([1]ACCUEIL!B1=1,"COMMERCIAL MARGIN","MARGE COMMERCIALE")</f>
        <v>MARGE COMMERCIALE</v>
      </c>
      <c r="C13" s="875"/>
      <c r="D13" s="875"/>
      <c r="E13" s="871"/>
      <c r="F13" s="876">
        <f>'COMPTE DE RESULTAT'!I25/1000</f>
        <v>0</v>
      </c>
      <c r="G13" s="876">
        <f>'COMPTE DE RESULTAT'!J25/1000</f>
        <v>0</v>
      </c>
      <c r="H13" s="877">
        <f t="shared" ref="H13:H25" si="0">IF(J13=0,0,M13)</f>
        <v>0</v>
      </c>
      <c r="J13" s="878">
        <f t="shared" ref="J13:J65" si="1">F13-G13</f>
        <v>0</v>
      </c>
      <c r="K13" s="554">
        <f t="shared" ref="K13:K65" si="2">IF(G13=0,1,IF(G13&lt;0,(F13-G13)/-G13,(F13-G13)/G13))</f>
        <v>1</v>
      </c>
      <c r="L13" s="628">
        <f t="shared" ref="L13:L65" si="3">IF(J13=F13,IF(J13&lt;0,-1,0))</f>
        <v>0</v>
      </c>
      <c r="M13" s="2">
        <f t="shared" ref="M13:M65" si="4">IF(L13=0,1,IF(L13=FALSE,K13,-1))</f>
        <v>1</v>
      </c>
    </row>
    <row r="14" spans="2:13">
      <c r="B14" s="874" t="str">
        <f>IF([1]ACCUEIL!B1=1,"VALUE ADDED","VALEUR AJOUTEE")</f>
        <v>VALEUR AJOUTEE</v>
      </c>
      <c r="C14" s="875"/>
      <c r="D14" s="875"/>
      <c r="E14" s="871"/>
      <c r="F14" s="876">
        <f>'COMPTE DE RESULTAT'!I79/1000</f>
        <v>0</v>
      </c>
      <c r="G14" s="876">
        <f ca="1">'COMPTE DE RESULTAT'!J79/1000</f>
        <v>0</v>
      </c>
      <c r="H14" s="877">
        <f t="shared" ca="1" si="0"/>
        <v>0</v>
      </c>
      <c r="J14" s="878">
        <f t="shared" ca="1" si="1"/>
        <v>0</v>
      </c>
      <c r="K14" s="554">
        <f t="shared" ca="1" si="2"/>
        <v>1</v>
      </c>
      <c r="L14" s="628">
        <f t="shared" ca="1" si="3"/>
        <v>0</v>
      </c>
      <c r="M14" s="2">
        <f t="shared" ca="1" si="4"/>
        <v>1</v>
      </c>
    </row>
    <row r="15" spans="2:13">
      <c r="B15" s="874" t="str">
        <f>IF([1]ACCUEIL!B1=1,"GROSS OPERATING SURPLUS (EBITDA)","EXCEDENT BRUT D'EXPLOITATION (EBE)")</f>
        <v>EXCEDENT BRUT D'EXPLOITATION (EBE)</v>
      </c>
      <c r="C15" s="875"/>
      <c r="D15" s="875"/>
      <c r="E15" s="871"/>
      <c r="F15" s="876">
        <f>'COMPTE DE RESULTAT'!I85/1000</f>
        <v>0</v>
      </c>
      <c r="G15" s="876">
        <f ca="1">'COMPTE DE RESULTAT'!J85/1000</f>
        <v>0</v>
      </c>
      <c r="H15" s="877">
        <f t="shared" ca="1" si="0"/>
        <v>0</v>
      </c>
      <c r="J15" s="878">
        <f t="shared" ca="1" si="1"/>
        <v>0</v>
      </c>
      <c r="K15" s="554">
        <f t="shared" ca="1" si="2"/>
        <v>1</v>
      </c>
      <c r="L15" s="628">
        <f t="shared" ca="1" si="3"/>
        <v>0</v>
      </c>
      <c r="M15" s="2">
        <f t="shared" ca="1" si="4"/>
        <v>1</v>
      </c>
    </row>
    <row r="16" spans="2:13">
      <c r="B16" s="874" t="str">
        <f>IF([1]ACCUEIL!B1=1,"OPERATING RESULT","RESULTAT D'EXPLOITATION ")</f>
        <v xml:space="preserve">RESULTAT D'EXPLOITATION </v>
      </c>
      <c r="C16" s="875"/>
      <c r="D16" s="875"/>
      <c r="E16" s="871"/>
      <c r="F16" s="876">
        <f>'COMPTE DE RESULTAT'!I94/1000</f>
        <v>0</v>
      </c>
      <c r="G16" s="876">
        <f ca="1">'COMPTE DE RESULTAT'!J94/1000</f>
        <v>0</v>
      </c>
      <c r="H16" s="877">
        <f t="shared" ca="1" si="0"/>
        <v>0</v>
      </c>
      <c r="J16" s="878">
        <f t="shared" ca="1" si="1"/>
        <v>0</v>
      </c>
      <c r="K16" s="554">
        <f t="shared" ca="1" si="2"/>
        <v>1</v>
      </c>
      <c r="L16" s="628">
        <f t="shared" ca="1" si="3"/>
        <v>0</v>
      </c>
      <c r="M16" s="2">
        <f t="shared" ca="1" si="4"/>
        <v>1</v>
      </c>
    </row>
    <row r="17" spans="2:14">
      <c r="B17" s="874" t="str">
        <f>IF([1]ACCUEIL!B1=1,"RESULT FINANCIAL","RÉSULTAT FINANCIER")</f>
        <v>RÉSULTAT FINANCIER</v>
      </c>
      <c r="C17" s="875"/>
      <c r="D17" s="875"/>
      <c r="E17" s="871"/>
      <c r="F17" s="876">
        <f>'COMPTE DE RESULTAT'!I113/1000</f>
        <v>0</v>
      </c>
      <c r="G17" s="876">
        <f>'COMPTE DE RESULTAT'!J113/1000</f>
        <v>0</v>
      </c>
      <c r="H17" s="877">
        <f t="shared" si="0"/>
        <v>0</v>
      </c>
      <c r="J17" s="878">
        <f t="shared" si="1"/>
        <v>0</v>
      </c>
      <c r="K17" s="554">
        <f t="shared" si="2"/>
        <v>1</v>
      </c>
      <c r="L17" s="628">
        <f t="shared" si="3"/>
        <v>0</v>
      </c>
      <c r="M17" s="2">
        <f t="shared" si="4"/>
        <v>1</v>
      </c>
    </row>
    <row r="18" spans="2:14">
      <c r="B18" s="874" t="str">
        <f>IF([1]ACCUEIL!B1=1,"RESULT OF ORDINARY ACTIVITIES","RÉSULTAT DES ACTIVITÉS ORDINAIRES")</f>
        <v>RÉSULTAT DES ACTIVITÉS ORDINAIRES</v>
      </c>
      <c r="C18" s="875"/>
      <c r="D18" s="875"/>
      <c r="E18" s="871"/>
      <c r="F18" s="876">
        <f>'COMPTE DE RESULTAT'!I116/1000</f>
        <v>0</v>
      </c>
      <c r="G18" s="876">
        <f ca="1">'COMPTE DE RESULTAT'!J116/1000</f>
        <v>0</v>
      </c>
      <c r="H18" s="877">
        <f t="shared" ca="1" si="0"/>
        <v>0</v>
      </c>
      <c r="J18" s="878">
        <f t="shared" ca="1" si="1"/>
        <v>0</v>
      </c>
      <c r="K18" s="554">
        <f t="shared" ca="1" si="2"/>
        <v>1</v>
      </c>
      <c r="L18" s="628">
        <f t="shared" ca="1" si="3"/>
        <v>0</v>
      </c>
      <c r="M18" s="2">
        <f t="shared" ca="1" si="4"/>
        <v>1</v>
      </c>
    </row>
    <row r="19" spans="2:14">
      <c r="B19" s="874" t="str">
        <f>IF([1]ACCUEIL!B1=1,"RESULT EXCEPT ORDINARY ACTIVITIES","RÉSULTAT HORS ACTIVITÉS ORDINAIRES")</f>
        <v>RÉSULTAT HORS ACTIVITÉS ORDINAIRES</v>
      </c>
      <c r="C19" s="875"/>
      <c r="D19" s="875"/>
      <c r="E19" s="871"/>
      <c r="F19" s="876">
        <f ca="1">'COMPTE DE RESULTAT'!I131/1000</f>
        <v>0</v>
      </c>
      <c r="G19" s="876">
        <f>'COMPTE DE RESULTAT'!J131/1000</f>
        <v>0</v>
      </c>
      <c r="H19" s="877">
        <f t="shared" ca="1" si="0"/>
        <v>0</v>
      </c>
      <c r="J19" s="878">
        <f t="shared" ca="1" si="1"/>
        <v>0</v>
      </c>
      <c r="K19" s="554">
        <f t="shared" si="2"/>
        <v>1</v>
      </c>
      <c r="L19" s="628">
        <f t="shared" ca="1" si="3"/>
        <v>0</v>
      </c>
      <c r="M19" s="2">
        <f t="shared" ca="1" si="4"/>
        <v>1</v>
      </c>
    </row>
    <row r="20" spans="2:14">
      <c r="B20" s="874" t="str">
        <f>IF([1]ACCUEIL!B1=1,"NET RESULT","RÉSULTAT NET")</f>
        <v>RÉSULTAT NET</v>
      </c>
      <c r="C20" s="875"/>
      <c r="D20" s="875"/>
      <c r="E20" s="871"/>
      <c r="F20" s="876">
        <f ca="1">'COMPTE DE RESULTAT'!I140/1000</f>
        <v>0</v>
      </c>
      <c r="G20" s="876">
        <f ca="1">'COMPTE DE RESULTAT'!J140/1000</f>
        <v>0</v>
      </c>
      <c r="H20" s="879">
        <f t="shared" ca="1" si="0"/>
        <v>0</v>
      </c>
      <c r="J20" s="878">
        <f t="shared" ca="1" si="1"/>
        <v>0</v>
      </c>
      <c r="K20" s="554">
        <f t="shared" ca="1" si="2"/>
        <v>1</v>
      </c>
      <c r="L20" s="628">
        <f t="shared" ca="1" si="3"/>
        <v>0</v>
      </c>
      <c r="M20" s="2">
        <f t="shared" ca="1" si="4"/>
        <v>1</v>
      </c>
    </row>
    <row r="21" spans="2:14">
      <c r="B21" s="880" t="str">
        <f>IF([1]ACCUEIL!B1=1,"DETERMINATION OF SELF-FINANCING CAPACITY","DÉTERMINATION DE LA CAPACITÉ D'AUTOFINANCEMENT")</f>
        <v>DÉTERMINATION DE LA CAPACITÉ D'AUTOFINANCEMENT</v>
      </c>
      <c r="C21" s="881"/>
      <c r="D21" s="881"/>
      <c r="E21" s="881"/>
      <c r="F21" s="882"/>
      <c r="G21" s="882"/>
      <c r="H21" s="883">
        <f t="shared" si="0"/>
        <v>0</v>
      </c>
      <c r="J21" s="878">
        <f t="shared" si="1"/>
        <v>0</v>
      </c>
      <c r="K21" s="554">
        <f t="shared" si="2"/>
        <v>1</v>
      </c>
      <c r="L21" s="628">
        <f t="shared" si="3"/>
        <v>0</v>
      </c>
      <c r="M21" s="2">
        <f t="shared" si="4"/>
        <v>1</v>
      </c>
      <c r="N21" s="13"/>
    </row>
    <row r="22" spans="2:14">
      <c r="B22" s="884" t="str">
        <f>IF([1]ACCUEIL!B1=1,"Gross operating surplus (EBITDA)","Excédent brut d'exploitation (EBE)")</f>
        <v>Excédent brut d'exploitation (EBE)</v>
      </c>
      <c r="C22" s="885"/>
      <c r="D22" s="885"/>
      <c r="E22" s="886"/>
      <c r="F22" s="887">
        <f>'COMPTE DE RESULTAT'!I85/1000</f>
        <v>0</v>
      </c>
      <c r="G22" s="887">
        <f ca="1">'COMPTE DE RESULTAT'!J85/1000</f>
        <v>0</v>
      </c>
      <c r="H22" s="888"/>
      <c r="J22" s="878">
        <f t="shared" ca="1" si="1"/>
        <v>0</v>
      </c>
      <c r="K22" s="554">
        <f t="shared" ca="1" si="2"/>
        <v>1</v>
      </c>
      <c r="L22" s="628">
        <f t="shared" ca="1" si="3"/>
        <v>0</v>
      </c>
      <c r="M22" s="2">
        <f t="shared" ca="1" si="4"/>
        <v>1</v>
      </c>
    </row>
    <row r="23" spans="2:14">
      <c r="B23" s="874" t="str">
        <f>IF([1]ACCUEIL!B1=1,"   + Book values ​​of current disposals of fixed assets (account 654)","   + Valeurs comptables des cessions courantes d'immobilisations (compte 654)")</f>
        <v xml:space="preserve">   + Valeurs comptables des cessions courantes d'immobilisations (compte 654)</v>
      </c>
      <c r="C23" s="875"/>
      <c r="D23" s="875"/>
      <c r="E23" s="871"/>
      <c r="F23" s="876">
        <f>'[1]CLASSE 6'!I321/1000</f>
        <v>0</v>
      </c>
      <c r="G23" s="876">
        <f>'[1]CLASSE 6'!E321/1000</f>
        <v>0</v>
      </c>
      <c r="H23" s="888"/>
      <c r="J23" s="878">
        <f t="shared" si="1"/>
        <v>0</v>
      </c>
      <c r="K23" s="554">
        <f t="shared" si="2"/>
        <v>1</v>
      </c>
      <c r="L23" s="628">
        <f t="shared" si="3"/>
        <v>0</v>
      </c>
      <c r="M23" s="2">
        <f t="shared" si="4"/>
        <v>1</v>
      </c>
    </row>
    <row r="24" spans="2:14">
      <c r="B24" s="872" t="str">
        <f>IF([1]ACCUEIL!B1=1,"   - Proceeds from current disposals of fixed assets (account 754)","   - Produits des cessions courantes d'immobilisations (compte 754)")</f>
        <v xml:space="preserve">   - Produits des cessions courantes d'immobilisations (compte 754)</v>
      </c>
      <c r="C24" s="874"/>
      <c r="D24" s="875"/>
      <c r="E24" s="871"/>
      <c r="F24" s="846">
        <f>-'[1]CLASSE 7'!J159/1000</f>
        <v>0</v>
      </c>
      <c r="G24" s="846">
        <f>-'[1]CLASSE 7'!F159/1000</f>
        <v>0</v>
      </c>
      <c r="H24" s="888"/>
      <c r="J24" s="878">
        <f t="shared" si="1"/>
        <v>0</v>
      </c>
      <c r="K24" s="554">
        <f t="shared" si="2"/>
        <v>1</v>
      </c>
      <c r="L24" s="628">
        <f t="shared" si="3"/>
        <v>0</v>
      </c>
      <c r="M24" s="2">
        <f t="shared" si="4"/>
        <v>1</v>
      </c>
    </row>
    <row r="25" spans="2:14">
      <c r="B25" s="880" t="str">
        <f>IF([1]ACCUEIL!B1=1,"OPERATING SELF-FINANCING CAPACITY","CAPACITÉ D'AUTOFINANCEMENT D'EXPLOITATION")</f>
        <v>CAPACITÉ D'AUTOFINANCEMENT D'EXPLOITATION</v>
      </c>
      <c r="C25" s="881"/>
      <c r="D25" s="881"/>
      <c r="E25" s="881"/>
      <c r="F25" s="882">
        <f>SUM(F22:F24)</f>
        <v>0</v>
      </c>
      <c r="G25" s="882">
        <f ca="1">SUM(G22:G24)</f>
        <v>0</v>
      </c>
      <c r="H25" s="883">
        <f t="shared" ca="1" si="0"/>
        <v>0</v>
      </c>
      <c r="J25" s="878">
        <f t="shared" ca="1" si="1"/>
        <v>0</v>
      </c>
      <c r="K25" s="554">
        <f t="shared" ca="1" si="2"/>
        <v>1</v>
      </c>
      <c r="L25" s="628">
        <f t="shared" ca="1" si="3"/>
        <v>0</v>
      </c>
      <c r="M25" s="2">
        <f t="shared" ca="1" si="4"/>
        <v>1</v>
      </c>
    </row>
    <row r="26" spans="2:14">
      <c r="B26" s="874" t="str">
        <f>IF([1]ACCUEIL!B1=1," + Financial income"," + Revenus financiers")</f>
        <v xml:space="preserve"> + Revenus financiers</v>
      </c>
      <c r="C26" s="875"/>
      <c r="D26" s="875"/>
      <c r="E26" s="871"/>
      <c r="F26" s="876">
        <f>('COMPTE DE RESULTAT'!I98-'[1]CLASSE 7'!J199)/1000</f>
        <v>0</v>
      </c>
      <c r="G26" s="876">
        <f>('COMPTE DE RESULTAT'!J98-'[1]CLASSE 7'!F199)/1000</f>
        <v>0</v>
      </c>
      <c r="H26" s="888"/>
      <c r="J26" s="878">
        <f t="shared" si="1"/>
        <v>0</v>
      </c>
      <c r="K26" s="554">
        <f t="shared" si="2"/>
        <v>1</v>
      </c>
      <c r="L26" s="628">
        <f t="shared" si="3"/>
        <v>0</v>
      </c>
      <c r="M26" s="2">
        <f t="shared" si="4"/>
        <v>1</v>
      </c>
      <c r="N26" s="256"/>
    </row>
    <row r="27" spans="2:14">
      <c r="B27" s="874" t="str">
        <f>IF([1]ACCUEIL!B1=1," + Financial exchange gains"," + Gains de change financiers")</f>
        <v xml:space="preserve"> + Gains de change financiers</v>
      </c>
      <c r="C27" s="875"/>
      <c r="D27" s="875"/>
      <c r="E27" s="871"/>
      <c r="F27" s="876">
        <f>'[1]CLASSE 7'!J199/1000</f>
        <v>0</v>
      </c>
      <c r="G27" s="876">
        <f>'[1]CLASSE 7'!F199/1000</f>
        <v>0</v>
      </c>
      <c r="H27" s="889"/>
      <c r="J27" s="878">
        <f t="shared" si="1"/>
        <v>0</v>
      </c>
      <c r="K27" s="554">
        <f t="shared" si="2"/>
        <v>1</v>
      </c>
      <c r="L27" s="628">
        <f t="shared" si="3"/>
        <v>0</v>
      </c>
      <c r="M27" s="2">
        <f t="shared" si="4"/>
        <v>1</v>
      </c>
    </row>
    <row r="28" spans="2:14">
      <c r="B28" s="874" t="str">
        <f>IF([1]ACCUEIL!B1=1," + Transfers of financial charges"," + Transferts de charges financières")</f>
        <v xml:space="preserve"> + Transferts de charges financières</v>
      </c>
      <c r="C28" s="875"/>
      <c r="D28" s="875"/>
      <c r="E28" s="871"/>
      <c r="F28" s="871">
        <f>'COMPTE DE RESULTAT'!I104/1000</f>
        <v>0</v>
      </c>
      <c r="G28" s="871">
        <f>'COMPTE DE RESULTAT'!J104/1000</f>
        <v>0</v>
      </c>
      <c r="H28" s="890"/>
      <c r="J28" s="878">
        <f t="shared" si="1"/>
        <v>0</v>
      </c>
      <c r="K28" s="554">
        <f t="shared" si="2"/>
        <v>1</v>
      </c>
      <c r="L28" s="628">
        <f t="shared" si="3"/>
        <v>0</v>
      </c>
      <c r="M28" s="2">
        <f t="shared" si="4"/>
        <v>1</v>
      </c>
    </row>
    <row r="29" spans="2:14">
      <c r="B29" s="874" t="str">
        <f>IF([1]ACCUEIL!B1=1," + Products EOA"," + Produits HAO")</f>
        <v xml:space="preserve"> + Produits HAO</v>
      </c>
      <c r="C29" s="875"/>
      <c r="D29" s="875"/>
      <c r="E29" s="871"/>
      <c r="F29" s="871">
        <f>(SUM('[1]CLASSE 8'!J18:J25)+SUM('[1]CLASSE 8'!J39:J42))/1000</f>
        <v>0</v>
      </c>
      <c r="G29" s="871">
        <f>(SUM('[1]CLASSE 8'!F18:F25)+SUM('[1]CLASSE 8'!F39:F42))/1000</f>
        <v>0</v>
      </c>
      <c r="H29" s="890"/>
      <c r="J29" s="878">
        <f t="shared" si="1"/>
        <v>0</v>
      </c>
      <c r="K29" s="554">
        <f t="shared" si="2"/>
        <v>1</v>
      </c>
      <c r="L29" s="628">
        <f t="shared" si="3"/>
        <v>0</v>
      </c>
      <c r="M29" s="2">
        <f t="shared" si="4"/>
        <v>1</v>
      </c>
    </row>
    <row r="30" spans="2:14">
      <c r="B30" s="874" t="str">
        <f>IF([1]ACCUEIL!B1=1," + Transfer of charges EOA "," + Transferts de charges HAO")</f>
        <v xml:space="preserve"> + Transferts de charges HAO</v>
      </c>
      <c r="C30" s="875"/>
      <c r="D30" s="875"/>
      <c r="E30" s="871"/>
      <c r="F30" s="871">
        <f>'[1]CLASSE 8'!J24</f>
        <v>0</v>
      </c>
      <c r="G30" s="871">
        <f>'[1]CLASSE 8'!F24</f>
        <v>0</v>
      </c>
      <c r="H30" s="890"/>
      <c r="J30" s="878">
        <f t="shared" si="1"/>
        <v>0</v>
      </c>
      <c r="K30" s="554">
        <f t="shared" si="2"/>
        <v>1</v>
      </c>
      <c r="L30" s="628">
        <f t="shared" si="3"/>
        <v>0</v>
      </c>
      <c r="M30" s="2">
        <f t="shared" si="4"/>
        <v>1</v>
      </c>
    </row>
    <row r="31" spans="2:14">
      <c r="B31" s="874" t="str">
        <f>IF([1]ACCUEIL!B1=1," - Financial expenses"," - Frais financiers")</f>
        <v xml:space="preserve"> - Frais financiers</v>
      </c>
      <c r="C31" s="875"/>
      <c r="D31" s="875"/>
      <c r="E31" s="871"/>
      <c r="F31" s="876">
        <f>(-('[1]CLASSE 6'!I437+'[1]CLASSE 6'!I447+'[1]CLASSE 6'!I448+'[1]CLASSE 6'!I462+'[1]CLASSE 6'!I463+'[1]CLASSE 6'!I470+'[1]CLASSE 6'!I478+'[1]CLASSE 6'!I486))/1000</f>
        <v>0</v>
      </c>
      <c r="G31" s="876">
        <f>(-('[1]CLASSE 6'!E437+'[1]CLASSE 6'!E447+'[1]CLASSE 6'!E448+'[1]CLASSE 6'!E462+'[1]CLASSE 6'!E463+'[1]CLASSE 6'!E470+'[1]CLASSE 6'!E478+'[1]CLASSE 6'!E486))/1000</f>
        <v>0</v>
      </c>
      <c r="H31" s="890"/>
      <c r="J31" s="878">
        <f t="shared" si="1"/>
        <v>0</v>
      </c>
      <c r="K31" s="554">
        <f t="shared" si="2"/>
        <v>1</v>
      </c>
      <c r="L31" s="628">
        <f t="shared" si="3"/>
        <v>0</v>
      </c>
      <c r="M31" s="2">
        <f t="shared" si="4"/>
        <v>1</v>
      </c>
    </row>
    <row r="32" spans="2:14">
      <c r="B32" s="874" t="str">
        <f>IF([1]ACCUEIL!B1=1," - Financial exchange losses"," - Pertes de change financières")</f>
        <v xml:space="preserve"> - Pertes de change financières</v>
      </c>
      <c r="C32" s="875"/>
      <c r="D32" s="875"/>
      <c r="E32" s="871"/>
      <c r="F32" s="876">
        <f>-'[1]CLASSE 6'!I464/1000</f>
        <v>0</v>
      </c>
      <c r="G32" s="876">
        <f>-'[1]CLASSE 6'!E464/1000</f>
        <v>0</v>
      </c>
      <c r="H32" s="890"/>
      <c r="J32" s="878">
        <f t="shared" si="1"/>
        <v>0</v>
      </c>
      <c r="K32" s="554">
        <f t="shared" si="2"/>
        <v>1</v>
      </c>
      <c r="L32" s="628">
        <f t="shared" si="3"/>
        <v>0</v>
      </c>
      <c r="M32" s="2">
        <f t="shared" si="4"/>
        <v>1</v>
      </c>
    </row>
    <row r="33" spans="2:14">
      <c r="B33" s="874" t="str">
        <f>IF([1]ACCUEIL!B1=1," - Charges EOA","  - Charges HAO")</f>
        <v xml:space="preserve">  - Charges HAO</v>
      </c>
      <c r="C33" s="875"/>
      <c r="D33" s="875"/>
      <c r="E33" s="871"/>
      <c r="F33" s="871">
        <f>SUM('[1]CLASSE 8'!I11:I17)/1000</f>
        <v>0</v>
      </c>
      <c r="G33" s="871">
        <f>SUM('[1]CLASSE 8'!E11:E17)/1000</f>
        <v>0</v>
      </c>
      <c r="H33" s="890"/>
      <c r="J33" s="878">
        <f t="shared" si="1"/>
        <v>0</v>
      </c>
      <c r="K33" s="554">
        <f t="shared" si="2"/>
        <v>1</v>
      </c>
      <c r="L33" s="628">
        <f t="shared" si="3"/>
        <v>0</v>
      </c>
      <c r="M33" s="2">
        <f t="shared" si="4"/>
        <v>1</v>
      </c>
    </row>
    <row r="34" spans="2:14">
      <c r="B34" s="874" t="str">
        <f>IF([1]ACCUEIL!B1=1," - Participations"," - Participations")</f>
        <v xml:space="preserve"> - Participations</v>
      </c>
      <c r="C34" s="875"/>
      <c r="D34" s="875"/>
      <c r="E34" s="871"/>
      <c r="F34" s="876">
        <f>'COMPTE DE RESULTAT'!I134/1000</f>
        <v>0</v>
      </c>
      <c r="G34" s="876">
        <f>'COMPTE DE RESULTAT'!J134/1000</f>
        <v>0</v>
      </c>
      <c r="H34" s="890"/>
      <c r="J34" s="878">
        <f t="shared" si="1"/>
        <v>0</v>
      </c>
      <c r="K34" s="554">
        <f t="shared" si="2"/>
        <v>1</v>
      </c>
      <c r="L34" s="628">
        <f t="shared" si="3"/>
        <v>0</v>
      </c>
      <c r="M34" s="2">
        <f t="shared" si="4"/>
        <v>1</v>
      </c>
    </row>
    <row r="35" spans="2:14">
      <c r="B35" s="874" t="str">
        <f>IF([1]ACCUEIL!B1=1," - Income taxes"," - Impôts sur les résultats")</f>
        <v xml:space="preserve"> - Impôts sur les résultats</v>
      </c>
      <c r="C35" s="875"/>
      <c r="D35" s="875"/>
      <c r="E35" s="871"/>
      <c r="F35" s="876">
        <f>'COMPTE DE RESULTAT'!I137/1000</f>
        <v>0</v>
      </c>
      <c r="G35" s="876">
        <f>'COMPTE DE RESULTAT'!J137/1000</f>
        <v>0</v>
      </c>
      <c r="H35" s="890"/>
      <c r="J35" s="878">
        <f t="shared" si="1"/>
        <v>0</v>
      </c>
      <c r="K35" s="554">
        <f t="shared" si="2"/>
        <v>1</v>
      </c>
      <c r="L35" s="628">
        <f t="shared" si="3"/>
        <v>0</v>
      </c>
      <c r="M35" s="2">
        <f t="shared" si="4"/>
        <v>1</v>
      </c>
    </row>
    <row r="36" spans="2:14">
      <c r="B36" s="880" t="str">
        <f>IF([1]ACCUEIL!B1=1,"= GLOBAL SELF-FINANCING CAPACITY (GSFC)"," = CAPACITE D'AUTOFINANCEMENT GLOBAL (CAFG)")</f>
        <v xml:space="preserve"> = CAPACITE D'AUTOFINANCEMENT GLOBAL (CAFG)</v>
      </c>
      <c r="C36" s="881"/>
      <c r="D36" s="881"/>
      <c r="E36" s="881"/>
      <c r="F36" s="882">
        <f>SUM(F25:F35)</f>
        <v>0</v>
      </c>
      <c r="G36" s="882">
        <f ca="1">SUM(G25:G35)</f>
        <v>0</v>
      </c>
      <c r="H36" s="883">
        <f t="shared" ref="H36:H41" ca="1" si="5">IF(J36=0,0,M36)</f>
        <v>0</v>
      </c>
      <c r="J36" s="878">
        <f t="shared" ca="1" si="1"/>
        <v>0</v>
      </c>
      <c r="K36" s="554">
        <f t="shared" ca="1" si="2"/>
        <v>1</v>
      </c>
      <c r="L36" s="628">
        <f t="shared" ca="1" si="3"/>
        <v>0</v>
      </c>
      <c r="M36" s="2">
        <f t="shared" ca="1" si="4"/>
        <v>1</v>
      </c>
    </row>
    <row r="37" spans="2:14">
      <c r="B37" s="874" t="str">
        <f>IF([1]ACCUEIL!B1=1," - Distribution of dividends made during the financial year"," - Distribution de dividendes opérés durant l'exercice")</f>
        <v xml:space="preserve"> - Distribution de dividendes opérés durant l'exercice</v>
      </c>
      <c r="C37" s="875"/>
      <c r="D37" s="875"/>
      <c r="E37" s="871"/>
      <c r="F37" s="876">
        <f>-'[1]CLASSE 4'!G327/1000</f>
        <v>0</v>
      </c>
      <c r="G37" s="891">
        <f>-'[1]BALANCE REGROUPE'!G1273/1000</f>
        <v>0</v>
      </c>
      <c r="H37" s="892">
        <f t="shared" si="5"/>
        <v>0</v>
      </c>
      <c r="J37" s="878">
        <f t="shared" si="1"/>
        <v>0</v>
      </c>
      <c r="K37" s="554">
        <f t="shared" si="2"/>
        <v>1</v>
      </c>
      <c r="L37" s="628">
        <f t="shared" si="3"/>
        <v>0</v>
      </c>
      <c r="M37" s="2">
        <f t="shared" si="4"/>
        <v>1</v>
      </c>
    </row>
    <row r="38" spans="2:14">
      <c r="B38" s="893" t="str">
        <f>IF([1]ACCUEIL!B1=1,"= SELF-FINANCING"," = AUTOFINANCEMENT")</f>
        <v xml:space="preserve"> = AUTOFINANCEMENT</v>
      </c>
      <c r="C38" s="894"/>
      <c r="D38" s="894"/>
      <c r="E38" s="894"/>
      <c r="F38" s="895">
        <f>F36-F37</f>
        <v>0</v>
      </c>
      <c r="G38" s="895">
        <f ca="1">G36-G37</f>
        <v>0</v>
      </c>
      <c r="H38" s="896">
        <f t="shared" ca="1" si="5"/>
        <v>0</v>
      </c>
      <c r="J38" s="878">
        <f t="shared" ca="1" si="1"/>
        <v>0</v>
      </c>
      <c r="K38" s="554">
        <f t="shared" ca="1" si="2"/>
        <v>1</v>
      </c>
      <c r="L38" s="628">
        <f t="shared" ca="1" si="3"/>
        <v>0</v>
      </c>
      <c r="M38" s="2">
        <f t="shared" ca="1" si="4"/>
        <v>1</v>
      </c>
      <c r="N38" s="13"/>
    </row>
    <row r="39" spans="2:14">
      <c r="B39" s="897"/>
      <c r="C39" s="898"/>
      <c r="D39" s="898" t="str">
        <f>IF([1]ACCUEIL!B1=1,"PROFITABILITY ANALYSIS","ANALYSE DE LA RENTABILITÉ")</f>
        <v>ANALYSE DE LA RENTABILITÉ</v>
      </c>
      <c r="E39" s="899"/>
      <c r="F39" s="900"/>
      <c r="G39" s="901"/>
      <c r="H39" s="902">
        <f t="shared" si="5"/>
        <v>0</v>
      </c>
      <c r="J39" s="878">
        <f t="shared" si="1"/>
        <v>0</v>
      </c>
      <c r="K39" s="554">
        <f t="shared" si="2"/>
        <v>1</v>
      </c>
      <c r="L39" s="628">
        <f t="shared" si="3"/>
        <v>0</v>
      </c>
      <c r="M39" s="2">
        <f t="shared" si="4"/>
        <v>1</v>
      </c>
    </row>
    <row r="40" spans="2:14">
      <c r="B40" s="874" t="str">
        <f>IF([1]ACCUEIL!B1=1,"Economic profitability = Operating profit (u) / Equity + financial debts","Rentabilité économique =Résultat d'exploitation (u)/Capitaux propres + dettes financières")</f>
        <v>Rentabilité économique =Résultat d'exploitation (u)/Capitaux propres + dettes financières</v>
      </c>
      <c r="C40" s="875"/>
      <c r="D40" s="875"/>
      <c r="E40" s="871"/>
      <c r="F40" s="903">
        <f ca="1">IF(PASSIF!I29&lt;&gt;0,'COMPTE DE RESULTAT'!I94/PASSIF!I29,0)</f>
        <v>0</v>
      </c>
      <c r="G40" s="903">
        <f ca="1">IF(PASSIF!J29&lt;&gt;0,'COMPTE DE RESULTAT'!J94/PASSIF!J29,0)</f>
        <v>0</v>
      </c>
      <c r="H40" s="904">
        <f ca="1">IF(J40=0,0,M40)</f>
        <v>0</v>
      </c>
      <c r="J40" s="554">
        <f t="shared" ca="1" si="1"/>
        <v>0</v>
      </c>
      <c r="K40" s="554">
        <f t="shared" ca="1" si="2"/>
        <v>1</v>
      </c>
      <c r="L40" s="628">
        <f t="shared" ca="1" si="3"/>
        <v>0</v>
      </c>
      <c r="M40" s="2">
        <f t="shared" ca="1" si="4"/>
        <v>1</v>
      </c>
    </row>
    <row r="41" spans="2:14">
      <c r="B41" s="874" t="str">
        <f>IF([1]ACCUEIL!B1=1,"Financial profitability = Net income / Equity","Rentabilité financière = Résultat net/Capitaux propres")</f>
        <v>Rentabilité financière = Résultat net/Capitaux propres</v>
      </c>
      <c r="C41" s="875"/>
      <c r="D41" s="875"/>
      <c r="E41" s="871"/>
      <c r="F41" s="903">
        <f ca="1">IF(PASSIF!I24&lt;&gt;0,'COMPTE DE RESULTAT'!I140/PASSIF!I24,0)</f>
        <v>0</v>
      </c>
      <c r="G41" s="903">
        <f ca="1">IF(PASSIF!J24&lt;&gt;0,'COMPTE DE RESULTAT'!J140/PASSIF!J24,0)</f>
        <v>0</v>
      </c>
      <c r="H41" s="904">
        <f t="shared" ca="1" si="5"/>
        <v>0</v>
      </c>
      <c r="J41" s="554">
        <f t="shared" ca="1" si="1"/>
        <v>0</v>
      </c>
      <c r="K41" s="554">
        <f t="shared" ca="1" si="2"/>
        <v>1</v>
      </c>
      <c r="L41" s="628">
        <f t="shared" ca="1" si="3"/>
        <v>0</v>
      </c>
      <c r="M41" s="2">
        <f t="shared" ca="1" si="4"/>
        <v>1</v>
      </c>
    </row>
    <row r="42" spans="2:14">
      <c r="B42" s="2144" t="str">
        <f>IF([1]ACCUEIL!B1=1,"FINANCIAL STRUCTURE ANALYSIS","ANALYSE DE LA STRUCTURE FINANCIÈRE")</f>
        <v>ANALYSE DE LA STRUCTURE FINANCIÈRE</v>
      </c>
      <c r="C42" s="2145"/>
      <c r="D42" s="2145"/>
      <c r="E42" s="2146"/>
      <c r="F42" s="900"/>
      <c r="G42" s="901"/>
      <c r="H42" s="902"/>
      <c r="J42" s="878">
        <f t="shared" si="1"/>
        <v>0</v>
      </c>
      <c r="K42" s="554">
        <f t="shared" si="2"/>
        <v>1</v>
      </c>
      <c r="L42" s="628">
        <f t="shared" si="3"/>
        <v>0</v>
      </c>
      <c r="M42" s="2">
        <f t="shared" si="4"/>
        <v>1</v>
      </c>
    </row>
    <row r="43" spans="2:14">
      <c r="B43" s="874" t="str">
        <f>IF([1]ACCUEIL!B1=1,"  + Equity and similar resources","  + Capitaux propres et ressources assimilées")</f>
        <v xml:space="preserve">  + Capitaux propres et ressources assimilées</v>
      </c>
      <c r="C43" s="875"/>
      <c r="D43" s="875"/>
      <c r="E43" s="871"/>
      <c r="F43" s="876">
        <f ca="1">PASSIF!I24/1000</f>
        <v>0</v>
      </c>
      <c r="G43" s="876">
        <f ca="1">PASSIF!J24/1000</f>
        <v>0</v>
      </c>
      <c r="H43" s="892">
        <f ca="1">IF(J43=0,0,M43)</f>
        <v>0</v>
      </c>
      <c r="J43" s="878">
        <f t="shared" ca="1" si="1"/>
        <v>0</v>
      </c>
      <c r="K43" s="554">
        <f t="shared" ca="1" si="2"/>
        <v>1</v>
      </c>
      <c r="L43" s="628">
        <f t="shared" ca="1" si="3"/>
        <v>0</v>
      </c>
      <c r="M43" s="2">
        <f t="shared" ca="1" si="4"/>
        <v>1</v>
      </c>
    </row>
    <row r="44" spans="2:14">
      <c r="B44" s="874" t="str">
        <f>IF([1]ACCUEIL!B1=1,"  + Financial debts and other assimilated resources (b)","  + Dettes financières et autres ressources assimilées (b)")</f>
        <v xml:space="preserve">  + Dettes financières et autres ressources assimilées (b)</v>
      </c>
      <c r="C44" s="875"/>
      <c r="D44" s="875"/>
      <c r="E44" s="871"/>
      <c r="F44" s="871">
        <f>(PASSIF!I28+'[1]VENTI DES ECARTS DE CONV'!G6)/1000</f>
        <v>0</v>
      </c>
      <c r="G44" s="871">
        <f>(PASSIF!J28+'[1]VENTI DES ECARTS DE CONV'!G18)/1000</f>
        <v>0</v>
      </c>
      <c r="H44" s="892">
        <f t="shared" ref="H44:H65" si="6">IF(J44=0,0,M44)</f>
        <v>0</v>
      </c>
      <c r="J44" s="878">
        <f t="shared" si="1"/>
        <v>0</v>
      </c>
      <c r="K44" s="554">
        <f t="shared" si="2"/>
        <v>1</v>
      </c>
      <c r="L44" s="628">
        <f t="shared" si="3"/>
        <v>0</v>
      </c>
      <c r="M44" s="2">
        <f t="shared" si="4"/>
        <v>1</v>
      </c>
    </row>
    <row r="45" spans="2:14">
      <c r="B45" s="868" t="str">
        <f>IF([1]ACCUEIL!B1=1,"  = Stable resources","  = Ressources stables ")</f>
        <v xml:space="preserve">  = Ressources stables </v>
      </c>
      <c r="C45" s="875"/>
      <c r="D45" s="869"/>
      <c r="E45" s="870"/>
      <c r="F45" s="905">
        <f ca="1">F43+F44</f>
        <v>0</v>
      </c>
      <c r="G45" s="905">
        <f ca="1">G43+G44</f>
        <v>0</v>
      </c>
      <c r="H45" s="892">
        <f t="shared" ca="1" si="6"/>
        <v>0</v>
      </c>
      <c r="J45" s="878">
        <f t="shared" ca="1" si="1"/>
        <v>0</v>
      </c>
      <c r="K45" s="554">
        <f t="shared" ca="1" si="2"/>
        <v>1</v>
      </c>
      <c r="L45" s="628">
        <f t="shared" ca="1" si="3"/>
        <v>0</v>
      </c>
      <c r="M45" s="2">
        <f t="shared" ca="1" si="4"/>
        <v>1</v>
      </c>
    </row>
    <row r="46" spans="2:14">
      <c r="B46" s="874" t="str">
        <f>IF([1]ACCUEIL!B1=1,"  - Fixed assets (b)","  - Actif immobilisé (b)")</f>
        <v xml:space="preserve">  - Actif immobilisé (b)</v>
      </c>
      <c r="C46" s="875"/>
      <c r="D46" s="875"/>
      <c r="E46" s="871"/>
      <c r="F46" s="876">
        <f>-(ACTIF!J31+'[1]VENTI DES ECARTS DE CONV'!E6)/1000</f>
        <v>0</v>
      </c>
      <c r="G46" s="876">
        <f>-(ACTIF!K31+'[1]VENTI DES ECARTS DE CONV'!E18)/1000</f>
        <v>0</v>
      </c>
      <c r="H46" s="892">
        <f t="shared" si="6"/>
        <v>0</v>
      </c>
      <c r="J46" s="878">
        <f t="shared" si="1"/>
        <v>0</v>
      </c>
      <c r="K46" s="554">
        <f t="shared" si="2"/>
        <v>1</v>
      </c>
      <c r="L46" s="628">
        <f t="shared" si="3"/>
        <v>0</v>
      </c>
      <c r="M46" s="2">
        <f t="shared" si="4"/>
        <v>1</v>
      </c>
    </row>
    <row r="47" spans="2:14">
      <c r="B47" s="893" t="str">
        <f>IF([1]ACCUEIL!B1=1,"= FUNDS OF ROULEMENT"," = FONDS DE ROULEMENT ")</f>
        <v xml:space="preserve"> = FONDS DE ROULEMENT </v>
      </c>
      <c r="C47" s="894"/>
      <c r="D47" s="894"/>
      <c r="E47" s="894"/>
      <c r="F47" s="895">
        <f ca="1">SUM(F45:F46)</f>
        <v>0</v>
      </c>
      <c r="G47" s="895">
        <f ca="1">SUM(G45:G46)</f>
        <v>0</v>
      </c>
      <c r="H47" s="896">
        <f t="shared" ca="1" si="6"/>
        <v>0</v>
      </c>
      <c r="J47" s="878">
        <f t="shared" ca="1" si="1"/>
        <v>0</v>
      </c>
      <c r="K47" s="554">
        <f t="shared" ca="1" si="2"/>
        <v>1</v>
      </c>
      <c r="L47" s="628">
        <f t="shared" ca="1" si="3"/>
        <v>0</v>
      </c>
      <c r="M47" s="2">
        <f t="shared" ca="1" si="4"/>
        <v>1</v>
      </c>
    </row>
    <row r="48" spans="2:14">
      <c r="B48" s="874" t="str">
        <f>IF([1]ACCUEIL!B1=1,"  + Current operating assets (b)"," + Actif circulant d'exploitation(b)")</f>
        <v xml:space="preserve"> + Actif circulant d'exploitation(b)</v>
      </c>
      <c r="C48" s="875"/>
      <c r="D48" s="875"/>
      <c r="E48" s="871"/>
      <c r="F48" s="876">
        <f>(ACTIF!J38-ACTIF!J32+'[1]VENTI DES ECARTS DE CONV'!D4+'[1]VENTI DES ECARTS DE CONV'!D5)/1000</f>
        <v>0</v>
      </c>
      <c r="G48" s="876">
        <f>(ACTIF!K38-ACTIF!K32+'[1]VENTI DES ECARTS DE CONV'!D16+'[1]VENTI DES ECARTS DE CONV'!D17)/1000</f>
        <v>0</v>
      </c>
      <c r="H48" s="892">
        <f t="shared" si="6"/>
        <v>0</v>
      </c>
      <c r="J48" s="878">
        <f t="shared" si="1"/>
        <v>0</v>
      </c>
      <c r="K48" s="554">
        <f t="shared" si="2"/>
        <v>1</v>
      </c>
      <c r="L48" s="628">
        <f t="shared" si="3"/>
        <v>0</v>
      </c>
      <c r="M48" s="2">
        <f t="shared" si="4"/>
        <v>1</v>
      </c>
    </row>
    <row r="49" spans="2:14">
      <c r="B49" s="874" t="str">
        <f>IF([1]ACCUEIL!B1=1,"  - Current operating liabilities (b)"," - Passif circulant d'exploitation (b)")</f>
        <v xml:space="preserve"> - Passif circulant d'exploitation (b)</v>
      </c>
      <c r="C49" s="875"/>
      <c r="D49" s="875"/>
      <c r="E49" s="871"/>
      <c r="F49" s="876">
        <f>(PASSIF!I36-PASSIF!I30+'[1]VENTI DES ECARTS DE CONV'!F6)/1000</f>
        <v>0</v>
      </c>
      <c r="G49" s="876">
        <f>(PASSIF!J36-PASSIF!J30+'[1]VENTI DES ECARTS DE CONV'!F18)/1000</f>
        <v>0</v>
      </c>
      <c r="H49" s="892">
        <f t="shared" si="6"/>
        <v>0</v>
      </c>
      <c r="J49" s="878">
        <f t="shared" si="1"/>
        <v>0</v>
      </c>
      <c r="K49" s="554">
        <f t="shared" si="2"/>
        <v>1</v>
      </c>
      <c r="L49" s="628">
        <f t="shared" si="3"/>
        <v>0</v>
      </c>
      <c r="M49" s="2">
        <f t="shared" si="4"/>
        <v>1</v>
      </c>
    </row>
    <row r="50" spans="2:14">
      <c r="B50" s="868" t="str">
        <f>IF([1]ACCUEIL!B1=1,"= NEED FOR OPERATING FINANCING (2)"," = BESOIN DE FINANCEMENT D'EXPLOITATION (2)")</f>
        <v xml:space="preserve"> = BESOIN DE FINANCEMENT D'EXPLOITATION (2)</v>
      </c>
      <c r="C50" s="869"/>
      <c r="D50" s="869"/>
      <c r="E50" s="870"/>
      <c r="F50" s="905">
        <f>F48-F49</f>
        <v>0</v>
      </c>
      <c r="G50" s="905">
        <f>G48-G49</f>
        <v>0</v>
      </c>
      <c r="H50" s="892">
        <f t="shared" si="6"/>
        <v>0</v>
      </c>
      <c r="J50" s="878">
        <f t="shared" si="1"/>
        <v>0</v>
      </c>
      <c r="K50" s="554">
        <f t="shared" si="2"/>
        <v>1</v>
      </c>
      <c r="L50" s="628">
        <f t="shared" si="3"/>
        <v>0</v>
      </c>
      <c r="M50" s="2">
        <f t="shared" si="4"/>
        <v>1</v>
      </c>
    </row>
    <row r="51" spans="2:14">
      <c r="B51" s="874" t="str">
        <f>IF([1]ACCUEIL!B1=1,"  + Current assets EOA"," + Actif circulant HAO")</f>
        <v xml:space="preserve"> + Actif circulant HAO</v>
      </c>
      <c r="C51" s="875"/>
      <c r="D51" s="875"/>
      <c r="E51" s="871"/>
      <c r="F51" s="876">
        <f>ACTIF!J32/1000</f>
        <v>0</v>
      </c>
      <c r="G51" s="876">
        <f>ACTIF!K32/1000</f>
        <v>0</v>
      </c>
      <c r="H51" s="892">
        <f t="shared" si="6"/>
        <v>0</v>
      </c>
      <c r="J51" s="878">
        <f t="shared" si="1"/>
        <v>0</v>
      </c>
      <c r="K51" s="554">
        <f t="shared" si="2"/>
        <v>1</v>
      </c>
      <c r="L51" s="628">
        <f t="shared" si="3"/>
        <v>0</v>
      </c>
      <c r="M51" s="2">
        <f t="shared" si="4"/>
        <v>1</v>
      </c>
    </row>
    <row r="52" spans="2:14">
      <c r="B52" s="874" t="str">
        <f>IF([1]ACCUEIL!B1=1,"  - Current liabilities EOA"," - Passif circulant HAO")</f>
        <v xml:space="preserve"> - Passif circulant HAO</v>
      </c>
      <c r="C52" s="875"/>
      <c r="D52" s="875"/>
      <c r="E52" s="871"/>
      <c r="F52" s="876">
        <f>PASSIF!I30/1000</f>
        <v>0</v>
      </c>
      <c r="G52" s="876">
        <f>PASSIF!J30/1000</f>
        <v>0</v>
      </c>
      <c r="H52" s="892">
        <f t="shared" si="6"/>
        <v>0</v>
      </c>
      <c r="J52" s="878">
        <f t="shared" si="1"/>
        <v>0</v>
      </c>
      <c r="K52" s="554">
        <f t="shared" si="2"/>
        <v>1</v>
      </c>
      <c r="L52" s="628">
        <f t="shared" si="3"/>
        <v>0</v>
      </c>
      <c r="M52" s="2">
        <f t="shared" si="4"/>
        <v>1</v>
      </c>
    </row>
    <row r="53" spans="2:14">
      <c r="B53" s="868" t="str">
        <f>IF([1]ACCUEIL!B1=1,"= FUNDING NEED EOA"," = BESOIN DE FINANCEMENT  HAO (3)")</f>
        <v xml:space="preserve"> = BESOIN DE FINANCEMENT  HAO (3)</v>
      </c>
      <c r="C53" s="869"/>
      <c r="D53" s="869"/>
      <c r="E53" s="869"/>
      <c r="F53" s="906">
        <f>F51-F52</f>
        <v>0</v>
      </c>
      <c r="G53" s="906">
        <f>G51-G52</f>
        <v>0</v>
      </c>
      <c r="H53" s="892"/>
      <c r="J53" s="878">
        <f t="shared" si="1"/>
        <v>0</v>
      </c>
      <c r="K53" s="554">
        <f t="shared" si="2"/>
        <v>1</v>
      </c>
      <c r="L53" s="628">
        <f t="shared" si="3"/>
        <v>0</v>
      </c>
      <c r="M53" s="2">
        <f t="shared" si="4"/>
        <v>1</v>
      </c>
    </row>
    <row r="54" spans="2:14">
      <c r="B54" s="893" t="str">
        <f>IF([1]ACCUEIL!B1=1,"GLOBAL FINANCING NEED (4) = (2) + (3)","BESOIN DE FINANCEMENT GLOBAL (4) = (2) + (3)")</f>
        <v>BESOIN DE FINANCEMENT GLOBAL (4) = (2) + (3)</v>
      </c>
      <c r="C54" s="894"/>
      <c r="D54" s="894"/>
      <c r="E54" s="894"/>
      <c r="F54" s="895">
        <f>F50+F51-F52</f>
        <v>0</v>
      </c>
      <c r="G54" s="895">
        <f>G50+G51-G52</f>
        <v>0</v>
      </c>
      <c r="H54" s="896">
        <f t="shared" si="6"/>
        <v>0</v>
      </c>
      <c r="J54" s="878">
        <f t="shared" si="1"/>
        <v>0</v>
      </c>
      <c r="K54" s="554">
        <f t="shared" si="2"/>
        <v>1</v>
      </c>
      <c r="L54" s="628">
        <f t="shared" si="3"/>
        <v>0</v>
      </c>
      <c r="M54" s="2">
        <f t="shared" si="4"/>
        <v>1</v>
      </c>
      <c r="N54" s="256"/>
    </row>
    <row r="55" spans="2:14">
      <c r="B55" s="893" t="str">
        <f>IF([1]ACCUEIL!B1=1,"NET CASH (5) = (1) - (4)","TRESORERIE NETTE  (5)  = (1) - (4)")</f>
        <v>TRESORERIE NETTE  (5)  = (1) - (4)</v>
      </c>
      <c r="C55" s="894"/>
      <c r="D55" s="894"/>
      <c r="E55" s="894"/>
      <c r="F55" s="895">
        <f ca="1">F47-F54</f>
        <v>0</v>
      </c>
      <c r="G55" s="895">
        <f ca="1">G47-G54</f>
        <v>0</v>
      </c>
      <c r="H55" s="896">
        <f t="shared" ca="1" si="6"/>
        <v>0</v>
      </c>
      <c r="J55" s="878">
        <f t="shared" ca="1" si="1"/>
        <v>0</v>
      </c>
      <c r="K55" s="554">
        <f t="shared" ca="1" si="2"/>
        <v>1</v>
      </c>
      <c r="L55" s="628">
        <f t="shared" ca="1" si="3"/>
        <v>0</v>
      </c>
      <c r="M55" s="2">
        <f t="shared" ca="1" si="4"/>
        <v>1</v>
      </c>
      <c r="N55" s="256"/>
    </row>
    <row r="56" spans="2:14">
      <c r="B56" s="868" t="str">
        <f>IF([1]ACCUEIL!B1=1,"CONTROL: NET CASH = (ACTIVE CASH) - (PASSIVE CASH)","CONTRÔLE : TRESORERIE NETTE= (TRESORERIE ACTIF)-(TRESORERIE PASSIF)")</f>
        <v>CONTRÔLE : TRESORERIE NETTE= (TRESORERIE ACTIF)-(TRESORERIE PASSIF)</v>
      </c>
      <c r="C56" s="869"/>
      <c r="D56" s="869"/>
      <c r="E56" s="870"/>
      <c r="F56" s="905">
        <f>(ACTIF!J42-PASSIF!I39)/1000</f>
        <v>0</v>
      </c>
      <c r="G56" s="905">
        <f>(ACTIF!K42-PASSIF!J39)/1000</f>
        <v>0</v>
      </c>
      <c r="H56" s="892">
        <f t="shared" si="6"/>
        <v>0</v>
      </c>
      <c r="J56" s="878">
        <f t="shared" si="1"/>
        <v>0</v>
      </c>
      <c r="K56" s="554">
        <f t="shared" si="2"/>
        <v>1</v>
      </c>
      <c r="L56" s="628">
        <f t="shared" si="3"/>
        <v>0</v>
      </c>
      <c r="M56" s="2">
        <f t="shared" si="4"/>
        <v>1</v>
      </c>
    </row>
    <row r="57" spans="2:14">
      <c r="B57" s="2140" t="str">
        <f>IF([1]ACCUEIL!B1=1,"ANALYSIS OF CHANGE IN CASH","ANALYSE DE LA VARIATION DE LA TRÉSORERIE")</f>
        <v>ANALYSE DE LA VARIATION DE LA TRÉSORERIE</v>
      </c>
      <c r="C57" s="2141"/>
      <c r="D57" s="2141"/>
      <c r="E57" s="2141"/>
      <c r="F57" s="907"/>
      <c r="G57" s="907"/>
      <c r="H57" s="883">
        <f t="shared" si="6"/>
        <v>0</v>
      </c>
      <c r="J57" s="878">
        <f t="shared" si="1"/>
        <v>0</v>
      </c>
      <c r="K57" s="554">
        <f t="shared" si="2"/>
        <v>1</v>
      </c>
      <c r="L57" s="628">
        <f t="shared" si="3"/>
        <v>0</v>
      </c>
      <c r="M57" s="2">
        <f t="shared" si="4"/>
        <v>1</v>
      </c>
    </row>
    <row r="58" spans="2:14">
      <c r="B58" s="874" t="str">
        <f>IF([1]ACCUEIL!B1=1," + Cash flow from operating activities"," + Flux de trésorerie des activités opérationnelles")</f>
        <v xml:space="preserve"> + Flux de trésorerie des activités opérationnelles</v>
      </c>
      <c r="C58" s="875"/>
      <c r="D58" s="875"/>
      <c r="E58" s="871"/>
      <c r="F58" s="876">
        <f ca="1">'TABLEAU DE FLUX DE TRESORERIE'!H38/1000</f>
        <v>0</v>
      </c>
      <c r="G58" s="876">
        <f ca="1">'TABLEAU DE FLUX DE TRESORERIE'!I38/1000</f>
        <v>0</v>
      </c>
      <c r="H58" s="892">
        <f t="shared" ca="1" si="6"/>
        <v>0</v>
      </c>
      <c r="J58" s="878">
        <f t="shared" ca="1" si="1"/>
        <v>0</v>
      </c>
      <c r="K58" s="554">
        <f t="shared" ca="1" si="2"/>
        <v>1</v>
      </c>
      <c r="L58" s="628">
        <f t="shared" ca="1" si="3"/>
        <v>0</v>
      </c>
      <c r="M58" s="2">
        <f t="shared" ca="1" si="4"/>
        <v>1</v>
      </c>
    </row>
    <row r="59" spans="2:14">
      <c r="B59" s="874" t="str">
        <f>IF([1]ACCUEIL!B1=1," - Cash flow from investing activities"," - Flux de trésorerie des activités d'investissement")</f>
        <v xml:space="preserve"> - Flux de trésorerie des activités d'investissement</v>
      </c>
      <c r="C59" s="875"/>
      <c r="D59" s="875"/>
      <c r="E59" s="871"/>
      <c r="F59" s="876">
        <f ca="1">'TABLEAU DE FLUX DE TRESORERIE'!H59/1000</f>
        <v>0</v>
      </c>
      <c r="G59" s="876">
        <f>'TABLEAU DE FLUX DE TRESORERIE'!I59/1000</f>
        <v>0</v>
      </c>
      <c r="H59" s="892">
        <f t="shared" ca="1" si="6"/>
        <v>0</v>
      </c>
      <c r="J59" s="878">
        <f t="shared" ca="1" si="1"/>
        <v>0</v>
      </c>
      <c r="K59" s="554">
        <f t="shared" si="2"/>
        <v>1</v>
      </c>
      <c r="L59" s="628">
        <f t="shared" ca="1" si="3"/>
        <v>0</v>
      </c>
      <c r="M59" s="2">
        <f t="shared" ca="1" si="4"/>
        <v>1</v>
      </c>
    </row>
    <row r="60" spans="2:14">
      <c r="B60" s="874" t="str">
        <f>IF([1]ACCUEIL!B1=1," + Cash flow from financing activities"," + Flux de trésorerie des activités de financement")</f>
        <v xml:space="preserve"> + Flux de trésorerie des activités de financement</v>
      </c>
      <c r="C60" s="875"/>
      <c r="D60" s="875"/>
      <c r="E60" s="871"/>
      <c r="F60" s="876">
        <f>'TABLEAU DE FLUX DE TRESORERIE'!H95/1000</f>
        <v>0</v>
      </c>
      <c r="G60" s="876">
        <f>'TABLEAU DE FLUX DE TRESORERIE'!I95/1000</f>
        <v>0</v>
      </c>
      <c r="H60" s="892">
        <f t="shared" si="6"/>
        <v>0</v>
      </c>
      <c r="J60" s="878">
        <f t="shared" si="1"/>
        <v>0</v>
      </c>
      <c r="K60" s="554">
        <f t="shared" si="2"/>
        <v>1</v>
      </c>
      <c r="L60" s="628">
        <f t="shared" si="3"/>
        <v>0</v>
      </c>
      <c r="M60" s="2">
        <f t="shared" si="4"/>
        <v>1</v>
      </c>
    </row>
    <row r="61" spans="2:14">
      <c r="B61" s="893" t="str">
        <f>IF([1]ACCUEIL!B1=1,"= CHANGE IN NET CASH FOR THE PERIOD"," = VARIATION DE LA TRESORERIE NETTE DE LA PERIODE")</f>
        <v xml:space="preserve"> = VARIATION DE LA TRESORERIE NETTE DE LA PERIODE</v>
      </c>
      <c r="C61" s="894"/>
      <c r="D61" s="894"/>
      <c r="E61" s="908"/>
      <c r="F61" s="909">
        <f ca="1">SUM(F58:F60)</f>
        <v>0</v>
      </c>
      <c r="G61" s="909">
        <f ca="1">SUM(G58:G60)</f>
        <v>0</v>
      </c>
      <c r="H61" s="896">
        <f t="shared" ca="1" si="6"/>
        <v>0</v>
      </c>
      <c r="J61" s="878">
        <f t="shared" ca="1" si="1"/>
        <v>0</v>
      </c>
      <c r="K61" s="554">
        <f t="shared" ca="1" si="2"/>
        <v>1</v>
      </c>
      <c r="L61" s="628">
        <f t="shared" ca="1" si="3"/>
        <v>0</v>
      </c>
      <c r="M61" s="2">
        <f t="shared" ca="1" si="4"/>
        <v>1</v>
      </c>
    </row>
    <row r="62" spans="2:14">
      <c r="B62" s="910" t="str">
        <f>IF([1]ACCUEIL!B1=1,"= ANALYSIS OF THE CHANGE IN NET FINANCIAL DEBT"," = ANALYSE DE LA VARIATION DE L'ENDETTEMENT FINANCIER NET")</f>
        <v xml:space="preserve"> = ANALYSE DE LA VARIATION DE L'ENDETTEMENT FINANCIER NET</v>
      </c>
      <c r="C62" s="911"/>
      <c r="D62" s="912"/>
      <c r="E62" s="913"/>
      <c r="F62" s="914"/>
      <c r="G62" s="915"/>
      <c r="H62" s="883">
        <f t="shared" si="6"/>
        <v>0</v>
      </c>
      <c r="J62" s="878">
        <f t="shared" si="1"/>
        <v>0</v>
      </c>
      <c r="K62" s="554">
        <f t="shared" si="2"/>
        <v>1</v>
      </c>
      <c r="L62" s="628">
        <f t="shared" si="3"/>
        <v>0</v>
      </c>
      <c r="M62" s="2">
        <f t="shared" si="4"/>
        <v>1</v>
      </c>
    </row>
    <row r="63" spans="2:14">
      <c r="B63" s="874" t="str">
        <f>IF([1]ACCUEIL!B1=1,"Gross financial debt (Financial debts + Cash - liabilities)","Endettement financier brut (Dettes financières + Trésorerie -passif)")</f>
        <v>Endettement financier brut (Dettes financières + Trésorerie -passif)</v>
      </c>
      <c r="C63" s="875"/>
      <c r="D63" s="875"/>
      <c r="E63" s="871"/>
      <c r="F63" s="876">
        <f>(PASSIF!I28-PASSIF!I27+PASSIF!I39)/1000</f>
        <v>0</v>
      </c>
      <c r="G63" s="876">
        <f>(PASSIF!J28-PASSIF!J27+PASSIF!J39)/1000</f>
        <v>0</v>
      </c>
      <c r="H63" s="892">
        <f t="shared" si="6"/>
        <v>0</v>
      </c>
      <c r="J63" s="878">
        <f t="shared" si="1"/>
        <v>0</v>
      </c>
      <c r="K63" s="554">
        <f t="shared" si="2"/>
        <v>1</v>
      </c>
      <c r="L63" s="628">
        <f t="shared" si="3"/>
        <v>0</v>
      </c>
      <c r="M63" s="2">
        <f t="shared" si="4"/>
        <v>1</v>
      </c>
    </row>
    <row r="64" spans="2:14">
      <c r="B64" s="874" t="str">
        <f>IF([1]ACCUEIL!B1=1," - Cash assets"," - Trésorerie  - actif")</f>
        <v xml:space="preserve"> - Trésorerie  - actif</v>
      </c>
      <c r="C64" s="875"/>
      <c r="D64" s="875"/>
      <c r="E64" s="871"/>
      <c r="F64" s="876">
        <f>ACTIF!J42/1000</f>
        <v>0</v>
      </c>
      <c r="G64" s="876">
        <f>ACTIF!K42/1000</f>
        <v>0</v>
      </c>
      <c r="H64" s="892">
        <f t="shared" si="6"/>
        <v>0</v>
      </c>
      <c r="J64" s="878">
        <f t="shared" si="1"/>
        <v>0</v>
      </c>
      <c r="K64" s="554">
        <f t="shared" si="2"/>
        <v>1</v>
      </c>
      <c r="L64" s="628">
        <f t="shared" si="3"/>
        <v>0</v>
      </c>
      <c r="M64" s="2">
        <f t="shared" si="4"/>
        <v>1</v>
      </c>
    </row>
    <row r="65" spans="2:15">
      <c r="B65" s="916" t="str">
        <f>IF([1]ACCUEIL!B1=1,"= NET FINANCIAL DEBT"," = ENDETTEMENT FINANCIER NET")</f>
        <v xml:space="preserve"> = ENDETTEMENT FINANCIER NET</v>
      </c>
      <c r="C65" s="917"/>
      <c r="D65" s="917"/>
      <c r="E65" s="918"/>
      <c r="F65" s="919">
        <f>F63-F64</f>
        <v>0</v>
      </c>
      <c r="G65" s="919">
        <f>G63-G64</f>
        <v>0</v>
      </c>
      <c r="H65" s="920">
        <f t="shared" si="6"/>
        <v>0</v>
      </c>
      <c r="J65" s="878">
        <f t="shared" si="1"/>
        <v>0</v>
      </c>
      <c r="K65" s="554">
        <f t="shared" si="2"/>
        <v>1</v>
      </c>
      <c r="L65" s="628">
        <f t="shared" si="3"/>
        <v>0</v>
      </c>
      <c r="M65" s="2">
        <f t="shared" si="4"/>
        <v>1</v>
      </c>
      <c r="O65" s="220"/>
    </row>
    <row r="66" spans="2:15">
      <c r="B66" s="274"/>
      <c r="C66" s="274"/>
      <c r="D66" s="274"/>
      <c r="E66" s="274"/>
      <c r="F66" s="274"/>
      <c r="G66" s="274"/>
      <c r="H66" s="921"/>
    </row>
    <row r="67" spans="2:15">
      <c r="B67" s="744" t="str">
        <f>IF([1]ACCUEIL!B1=1," (a)   Operating profit after theoretical tax on profit."," (a)    Résultat d'exploitation après impôts théorique sur le bénéfice.")</f>
        <v xml:space="preserve"> (a)    Résultat d'exploitation après impôts théorique sur le bénéfice.</v>
      </c>
      <c r="C67" s="274"/>
      <c r="D67" s="274"/>
      <c r="E67" s="274"/>
      <c r="F67" s="274"/>
      <c r="G67" s="274"/>
      <c r="H67" s="921"/>
      <c r="K67" s="220"/>
    </row>
    <row r="68" spans="2:15">
      <c r="B68" s="744" t="str">
        <f>IF([1]ACCUEIL!B1=1," (b)   Currency translation differences must be eliminated in order to reduce the receivables and debts concerned to their initial value."," (b)    Les écarts de conversion doivent être éliminés afin de ramener les créances et les dettes concernées à leur valeur initiale.")</f>
        <v xml:space="preserve"> (b)    Les écarts de conversion doivent être éliminés afin de ramener les créances et les dettes concernées à leur valeur initiale.</v>
      </c>
      <c r="C68" s="274"/>
      <c r="D68" s="274"/>
      <c r="E68" s="274"/>
      <c r="F68" s="274"/>
      <c r="G68" s="274"/>
      <c r="H68" s="921"/>
    </row>
    <row r="69" spans="2:15">
      <c r="B69" s="922" t="str">
        <f>IF([1]ACCUEIL!B1=1,"Financial debts * = Miscellaneous financial loans and debts + acquisition lease debts.","Dettes financières* = Emprunts et dettes financières diverses + dettes de location acquisition.")</f>
        <v>Dettes financières* = Emprunts et dettes financières diverses + dettes de location acquisition.</v>
      </c>
      <c r="C69" s="274"/>
      <c r="D69" s="274"/>
      <c r="E69" s="274"/>
      <c r="F69" s="274"/>
      <c r="G69" s="274"/>
      <c r="H69" s="921"/>
    </row>
    <row r="70" spans="2:15">
      <c r="B70" s="274"/>
      <c r="C70" s="274"/>
      <c r="D70" s="274"/>
      <c r="E70" s="274"/>
      <c r="F70" s="274"/>
      <c r="G70" s="274"/>
      <c r="H70" s="921"/>
    </row>
    <row r="71" spans="2:15">
      <c r="B71" s="274"/>
      <c r="C71" s="274"/>
      <c r="D71" s="274"/>
      <c r="E71" s="274"/>
      <c r="F71" s="274"/>
      <c r="G71" s="274"/>
      <c r="H71" s="921"/>
    </row>
    <row r="72" spans="2:15">
      <c r="B72" s="274"/>
      <c r="C72" s="274"/>
      <c r="D72" s="274"/>
      <c r="E72" s="274"/>
      <c r="F72" s="274"/>
      <c r="G72" s="274"/>
      <c r="H72" s="921"/>
    </row>
    <row r="73" spans="2:15">
      <c r="B73" s="274"/>
      <c r="C73" s="274"/>
      <c r="D73" s="274"/>
      <c r="E73" s="274"/>
      <c r="F73" s="274"/>
      <c r="G73" s="274"/>
      <c r="H73" s="921"/>
    </row>
    <row r="74" spans="2:15">
      <c r="B74" s="274"/>
      <c r="C74" s="274"/>
      <c r="D74" s="274"/>
      <c r="E74" s="274"/>
      <c r="F74" s="274"/>
      <c r="G74" s="274"/>
      <c r="H74" s="921"/>
    </row>
  </sheetData>
  <sheetProtection selectLockedCells="1" selectUnlockedCells="1"/>
  <mergeCells count="7">
    <mergeCell ref="B57:E57"/>
    <mergeCell ref="B1:H1"/>
    <mergeCell ref="G2:H3"/>
    <mergeCell ref="D7:E7"/>
    <mergeCell ref="B9:H9"/>
    <mergeCell ref="B10:D10"/>
    <mergeCell ref="B42:E42"/>
  </mergeCells>
  <conditionalFormatting sqref="G5:H5 E5 G6:G7">
    <cfRule type="expression" dxfId="1" priority="1">
      <formula>#REF!=1</formula>
    </cfRule>
  </conditionalFormatting>
  <printOptions horizontalCentered="1"/>
  <pageMargins left="0.78740157480314965" right="0" top="0.59055118110236227" bottom="0.19685039370078741" header="0.31496062992125984" footer="0.31496062992125984"/>
  <pageSetup paperSize="9" scale="71" orientation="portrait" r:id="rId1"/>
  <headerFooter>
    <oddHeader>&amp;C&amp;"-,Gras"&amp;14Page &amp;P / &amp;N</oddHeader>
  </headerFooter>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Feuil62">
    <pageSetUpPr fitToPage="1"/>
  </sheetPr>
  <dimension ref="B1:H58"/>
  <sheetViews>
    <sheetView showZeros="0" topLeftCell="A28" zoomScaleNormal="100" zoomScaleSheetLayoutView="100" workbookViewId="0">
      <selection activeCell="O44" sqref="O44"/>
    </sheetView>
  </sheetViews>
  <sheetFormatPr baseColWidth="10" defaultColWidth="11.42578125" defaultRowHeight="15"/>
  <cols>
    <col min="1" max="1" width="59.42578125" style="2" customWidth="1"/>
    <col min="2" max="2" width="22.7109375" style="2" customWidth="1"/>
    <col min="3" max="3" width="16.140625" style="2" customWidth="1"/>
    <col min="4" max="4" width="23.85546875" style="2" customWidth="1"/>
    <col min="5" max="5" width="15.7109375" style="2" customWidth="1"/>
    <col min="6" max="6" width="20" style="2" bestFit="1" customWidth="1"/>
    <col min="7" max="7" width="7.42578125" style="2" customWidth="1"/>
    <col min="8" max="16384" width="11.42578125" style="2"/>
  </cols>
  <sheetData>
    <row r="1" spans="2:8">
      <c r="B1" s="2129"/>
      <c r="C1" s="2129"/>
      <c r="D1" s="2129"/>
      <c r="E1" s="2129"/>
      <c r="F1" s="2129"/>
      <c r="G1" s="2129"/>
    </row>
    <row r="2" spans="2:8">
      <c r="B2" s="81"/>
      <c r="C2" s="81"/>
      <c r="D2" s="81"/>
      <c r="E2" s="81"/>
      <c r="F2" s="2117" t="str">
        <f>IF([1]ACCUEIL!B1=1,"NOTE 35
NORMAL SYSTEM","NOTE 35
SYSTEME NORMAL")</f>
        <v>NOTE 35
SYSTEME NORMAL</v>
      </c>
      <c r="G2" s="2118"/>
    </row>
    <row r="3" spans="2:8">
      <c r="B3" s="34"/>
      <c r="C3" s="34"/>
      <c r="D3" s="34"/>
      <c r="E3" s="34"/>
      <c r="F3" s="2119"/>
      <c r="G3" s="2120"/>
    </row>
    <row r="4" spans="2:8" ht="23.25" customHeight="1">
      <c r="B4" s="184" t="str">
        <f>'NOTE 33'!B4</f>
        <v>Désignation entité:</v>
      </c>
      <c r="C4" s="745" t="str">
        <f>'NOTE 34'!C4</f>
        <v/>
      </c>
      <c r="D4" s="849"/>
      <c r="E4" s="849"/>
      <c r="F4" s="849"/>
      <c r="G4" s="849"/>
    </row>
    <row r="5" spans="2:8" ht="24.75" customHeight="1">
      <c r="B5" s="184" t="str">
        <f>'NOTE 33'!B5</f>
        <v>Sigle usuel :</v>
      </c>
      <c r="C5" s="746" t="str">
        <f>'NOTE 34'!C5</f>
        <v/>
      </c>
      <c r="D5" s="653"/>
      <c r="F5" s="858"/>
      <c r="G5" s="834"/>
      <c r="H5" s="519"/>
    </row>
    <row r="6" spans="2:8" ht="26.25" customHeight="1">
      <c r="B6" s="184" t="str">
        <f>'NOTE 33'!B6</f>
        <v>Adresse:</v>
      </c>
      <c r="C6" s="745">
        <f>'NOTE 34'!C6</f>
        <v>0</v>
      </c>
      <c r="D6" s="824"/>
      <c r="E6" s="653"/>
      <c r="F6" s="826" t="str">
        <f>'NOTE 33'!I6</f>
        <v>BP:</v>
      </c>
      <c r="G6" s="745" t="str">
        <f>'NOTE 34'!H6</f>
        <v/>
      </c>
    </row>
    <row r="7" spans="2:8" ht="18" customHeight="1">
      <c r="C7" s="34"/>
      <c r="D7" s="34"/>
      <c r="E7" s="34"/>
      <c r="F7" s="34"/>
      <c r="G7" s="34"/>
    </row>
    <row r="8" spans="2:8" ht="16.5" customHeight="1">
      <c r="B8" s="184" t="str">
        <f>'NOTE 33'!B7</f>
        <v>Numéro d'identification:</v>
      </c>
      <c r="C8" s="745" t="str">
        <f>'NOTE 34'!C7</f>
        <v/>
      </c>
      <c r="D8" s="182" t="str">
        <f>'NOTE 33'!F7</f>
        <v xml:space="preserve">   Exercice clos le 31 - 12- </v>
      </c>
      <c r="E8" s="745">
        <f>'NOTE 34'!F7</f>
        <v>2025</v>
      </c>
      <c r="F8" s="182" t="str">
        <f>'NOTE 34'!G7</f>
        <v xml:space="preserve">    Durée (en mois):</v>
      </c>
      <c r="G8" s="745">
        <f>'NOTE 34'!H7</f>
        <v>12</v>
      </c>
    </row>
    <row r="9" spans="2:8" ht="21" customHeight="1">
      <c r="B9" s="184"/>
      <c r="C9" s="184"/>
      <c r="D9" s="184"/>
      <c r="E9" s="34"/>
      <c r="F9" s="34"/>
      <c r="G9" s="34"/>
    </row>
    <row r="10" spans="2:8">
      <c r="B10" s="2147" t="str">
        <f>IF([1]ACCUEIL!B1=1,"NOTE 35 Mandatory note for entities with more than 250 employees","NOTE 35 Note obligatoire pour les entités ayant un effectif de plus de 250 salariés")</f>
        <v>NOTE 35 Note obligatoire pour les entités ayant un effectif de plus de 250 salariés</v>
      </c>
      <c r="C10" s="2147"/>
      <c r="D10" s="2147"/>
      <c r="E10" s="2147"/>
      <c r="F10" s="2147"/>
      <c r="G10" s="2147"/>
    </row>
    <row r="11" spans="2:8">
      <c r="B11" s="81"/>
      <c r="C11" s="81"/>
      <c r="D11" s="198"/>
      <c r="E11" s="81"/>
      <c r="F11" s="81"/>
      <c r="G11" s="81"/>
    </row>
    <row r="12" spans="2:8">
      <c r="B12" s="1926" t="str">
        <f>IF([1]ACCUEIL!B1=1,"List of social, environmental and societal information to provide","Liste des informations sociales, environnementales et sociétales à fournir")</f>
        <v>Liste des informations sociales, environnementales et sociétales à fournir</v>
      </c>
      <c r="C12" s="1927"/>
      <c r="D12" s="1927"/>
      <c r="E12" s="1927"/>
      <c r="F12" s="1927"/>
      <c r="G12" s="1928"/>
    </row>
    <row r="13" spans="2:8">
      <c r="B13" s="2143" t="str">
        <f>IF([1]ACCUEIL!B1=1,"SOCIAL INFORMATION","INFORMATIONS SOCIALES")</f>
        <v>INFORMATIONS SOCIALES</v>
      </c>
      <c r="C13" s="2148"/>
      <c r="D13" s="2148"/>
      <c r="E13" s="2148"/>
      <c r="F13" s="2148"/>
      <c r="G13" s="2149"/>
    </row>
    <row r="14" spans="2:8">
      <c r="B14" s="924" t="str">
        <f>IF([1]ACCUEIL!B1=1,"Employment:","Emploi:")</f>
        <v>Emploi:</v>
      </c>
      <c r="C14" s="925"/>
      <c r="D14" s="926"/>
      <c r="E14" s="926"/>
      <c r="F14" s="926"/>
      <c r="G14" s="728"/>
    </row>
    <row r="15" spans="2:8">
      <c r="B15" s="927" t="str">
        <f>IF([1]ACCUEIL!B1=1,"The total workforce and the distribution of employees by sex, age and geographic area:",".L'effectif total et la répartition des salariés par sexe, âge et zone géographique:")</f>
        <v>.L'effectif total et la répartition des salariés par sexe, âge et zone géographique:</v>
      </c>
      <c r="C15" s="928"/>
      <c r="D15" s="929"/>
      <c r="E15" s="929"/>
      <c r="F15" s="929"/>
      <c r="G15" s="930"/>
    </row>
    <row r="16" spans="2:8">
      <c r="B16" s="927" t="str">
        <f>IF([1]ACCUEIL!B1=1,".Hires and dismissals:",".Les embauches et les licenciements:")</f>
        <v>.Les embauches et les licenciements:</v>
      </c>
      <c r="C16" s="928"/>
      <c r="D16" s="929"/>
      <c r="E16" s="929"/>
      <c r="F16" s="929"/>
      <c r="G16" s="930"/>
    </row>
    <row r="17" spans="2:7">
      <c r="B17" s="931" t="str">
        <f>IF([1]ACCUEIL!B1=1,"Remuneration and its development.",".Les rémunérations et leur évolution.")</f>
        <v>.Les rémunérations et leur évolution.</v>
      </c>
      <c r="C17" s="932"/>
      <c r="D17" s="933"/>
      <c r="E17" s="933"/>
      <c r="F17" s="933"/>
      <c r="G17" s="934"/>
    </row>
    <row r="18" spans="2:7">
      <c r="B18" s="924" t="str">
        <f>IF([1]ACCUEIL!B1=1,"Social relations:","Relations sociales:")</f>
        <v>Relations sociales:</v>
      </c>
      <c r="C18" s="925"/>
      <c r="D18" s="926"/>
      <c r="E18" s="926"/>
      <c r="F18" s="926"/>
      <c r="G18" s="728"/>
    </row>
    <row r="19" spans="2:7">
      <c r="B19" s="927" t="str">
        <f>IF([1]ACCUEIL!B1=1,".The organization of social dialogue;",".L'organisation du dialogue social;")</f>
        <v>.L'organisation du dialogue social;</v>
      </c>
      <c r="C19" s="928"/>
      <c r="D19" s="929"/>
      <c r="E19" s="929"/>
      <c r="F19" s="929"/>
      <c r="G19" s="930"/>
    </row>
    <row r="20" spans="2:7">
      <c r="B20" s="931" t="str">
        <f>IF([1]ACCUEIL!B1=1,".The balance sheet of collective agreements.",".Le bilan des accords collectifs.")</f>
        <v>.Le bilan des accords collectifs.</v>
      </c>
      <c r="C20" s="932"/>
      <c r="D20" s="933"/>
      <c r="E20" s="933"/>
      <c r="F20" s="933"/>
      <c r="G20" s="934"/>
    </row>
    <row r="21" spans="2:7">
      <c r="B21" s="924" t="str">
        <f>IF([1]ACCUEIL!B1=1,"Health and security :","Santé et sécurité :")</f>
        <v>Santé et sécurité :</v>
      </c>
      <c r="C21" s="925"/>
      <c r="D21" s="926"/>
      <c r="E21" s="926"/>
      <c r="F21" s="926"/>
      <c r="G21" s="728"/>
    </row>
    <row r="22" spans="2:7">
      <c r="B22" s="927" t="str">
        <f>IF([1]ACCUEIL!B1=1,".Health and safety conditions at work;",".Les conditions de santé et de sécurité au travail;")</f>
        <v>.Les conditions de santé et de sécurité au travail;</v>
      </c>
      <c r="C22" s="928"/>
      <c r="D22" s="929"/>
      <c r="E22" s="929"/>
      <c r="F22" s="929"/>
      <c r="G22" s="930"/>
    </row>
    <row r="23" spans="2:7">
      <c r="B23" s="927" t="str">
        <f>IF([1]ACCUEIL!B1=1,".A review of the agreements signed with the trade union organizations or the representatives of the staff on the way of health and safety ",".Le bilan des accords signés avec les organisations syndicales ou les représentants du personnel en marche de santé et de sécurité ")</f>
        <v xml:space="preserve">.Le bilan des accords signés avec les organisations syndicales ou les représentants du personnel en marche de santé et de sécurité </v>
      </c>
      <c r="C23" s="928"/>
      <c r="D23" s="929"/>
      <c r="E23" s="929"/>
      <c r="F23" s="929"/>
      <c r="G23" s="930"/>
    </row>
    <row r="24" spans="2:7">
      <c r="B24" s="931" t="str">
        <f>IF([1]ACCUEIL!B1=1,"at work.","au travail.")</f>
        <v>au travail.</v>
      </c>
      <c r="C24" s="932"/>
      <c r="D24" s="933"/>
      <c r="E24" s="933"/>
      <c r="F24" s="933"/>
      <c r="G24" s="934"/>
    </row>
    <row r="25" spans="2:7">
      <c r="B25" s="924" t="str">
        <f>IF([1]ACCUEIL!B1=1,"Training:","Formation:")</f>
        <v>Formation:</v>
      </c>
      <c r="C25" s="925"/>
      <c r="D25" s="926"/>
      <c r="E25" s="926"/>
      <c r="F25" s="926"/>
      <c r="G25" s="728"/>
    </row>
    <row r="26" spans="2:7">
      <c r="B26" s="927" t="str">
        <f>IF([1]ACCUEIL!B1=1,".The policies implemented in terms of training:",".Les politiques mises en œuvre en matière de formation:")</f>
        <v>.Les politiques mises en œuvre en matière de formation:</v>
      </c>
      <c r="C26" s="928"/>
      <c r="D26" s="929"/>
      <c r="E26" s="929"/>
      <c r="F26" s="929"/>
      <c r="G26" s="930"/>
    </row>
    <row r="27" spans="2:7">
      <c r="B27" s="927" t="str">
        <f>IF([1]ACCUEIL!B1=1,".The total number of training hours.",".Le nombre total d'heures de formation.")</f>
        <v>.Le nombre total d'heures de formation.</v>
      </c>
      <c r="C27" s="928"/>
      <c r="D27" s="929"/>
      <c r="E27" s="929"/>
      <c r="F27" s="929"/>
      <c r="G27" s="930"/>
    </row>
    <row r="28" spans="2:7">
      <c r="B28" s="935" t="str">
        <f>IF([1]ACCUEIL!B1=1,"Equal treatment:","Egalité de traitement:")</f>
        <v>Egalité de traitement:</v>
      </c>
      <c r="C28" s="936"/>
      <c r="D28" s="937"/>
      <c r="E28" s="937"/>
      <c r="F28" s="937"/>
      <c r="G28" s="934"/>
    </row>
    <row r="29" spans="2:7">
      <c r="B29" s="938" t="str">
        <f>IF([1]ACCUEIL!B1=1,".Measures taken in favor of equality between women and men;",".Les mesures prises en faveur de l'égalité entre les femmes et les hommes;")</f>
        <v>.Les mesures prises en faveur de l'égalité entre les femmes et les hommes;</v>
      </c>
      <c r="C29" s="939"/>
      <c r="D29" s="940"/>
      <c r="E29" s="940"/>
      <c r="F29" s="940"/>
      <c r="G29" s="728"/>
    </row>
    <row r="30" spans="2:7">
      <c r="B30" s="931" t="str">
        <f>IF([1]ACCUEIL!B1=1,".Measures taken in favor of the employment and integration of disabled people;",".Les mesures prises en faveur de l'emploi et de l'insertion des personnes handicapées;")</f>
        <v>.Les mesures prises en faveur de l'emploi et de l'insertion des personnes handicapées;</v>
      </c>
      <c r="C30" s="932"/>
      <c r="D30" s="933"/>
      <c r="E30" s="933"/>
      <c r="F30" s="933"/>
      <c r="G30" s="934"/>
    </row>
    <row r="31" spans="2:7">
      <c r="B31" s="941" t="str">
        <f>IF([1]ACCUEIL!B1=1,"ENVIRONMENTAL INFORMATION","INFORMATIONS ENVIRONNEMENTALES")</f>
        <v>INFORMATIONS ENVIRONNEMENTALES</v>
      </c>
      <c r="C31" s="942"/>
      <c r="D31" s="943"/>
      <c r="E31" s="943"/>
      <c r="F31" s="943"/>
      <c r="G31" s="724"/>
    </row>
    <row r="32" spans="2:7">
      <c r="B32" s="924" t="str">
        <f>IF([1]ACCUEIL!B1=1,"General environmental policies:","Politiques générale en matière environnementale:")</f>
        <v>Politiques générale en matière environnementale:</v>
      </c>
      <c r="C32" s="925"/>
      <c r="D32" s="926"/>
      <c r="E32" s="926"/>
      <c r="F32" s="926"/>
      <c r="G32" s="728"/>
    </row>
    <row r="33" spans="2:7">
      <c r="B33" s="927" t="str">
        <f>IF([1]ACCUEIL!B1=1,".The organization of the company to take into account environmental issues and, where applicable, environmental assessment",".L'organisation de la société pour prendre en compte les questions environnementales et, le cas échéant, les démarches ")</f>
        <v xml:space="preserve">.L'organisation de la société pour prendre en compte les questions environnementales et, le cas échéant, les démarches </v>
      </c>
      <c r="C33" s="928"/>
      <c r="D33" s="929"/>
      <c r="E33" s="929"/>
      <c r="F33" s="929"/>
      <c r="G33" s="930"/>
    </row>
    <row r="34" spans="2:7">
      <c r="B34" s="927" t="str">
        <f>IF([1]ACCUEIL!B1=1,"or certification procedures;","d'évaluation ou de certification en matière d'environnement;")</f>
        <v>d'évaluation ou de certification en matière d'environnement;</v>
      </c>
      <c r="C34" s="928"/>
      <c r="D34" s="929"/>
      <c r="E34" s="929"/>
      <c r="F34" s="929"/>
      <c r="G34" s="930"/>
    </row>
    <row r="35" spans="2:7">
      <c r="B35" s="927" t="str">
        <f>IF([1]ACCUEIL!B1=1,".Employee training and information actions in the area of ​​environmental protection;",".Les actions de formation et d'information des salariés menées en matière de protection de l'environnement;")</f>
        <v>.Les actions de formation et d'information des salariés menées en matière de protection de l'environnement;</v>
      </c>
      <c r="C35" s="928"/>
      <c r="D35" s="929"/>
      <c r="E35" s="929"/>
      <c r="F35" s="929"/>
      <c r="G35" s="930"/>
    </row>
    <row r="36" spans="2:7">
      <c r="B36" s="931" t="str">
        <f>IF([1]ACCUEIL!B1=1,".The resources devoted to the prevention of environmental risks and pollution.",".Les moyens consacrés à la prévention des risques environnementaux et des pollutions.")</f>
        <v>.Les moyens consacrés à la prévention des risques environnementaux et des pollutions.</v>
      </c>
      <c r="C36" s="932"/>
      <c r="D36" s="933"/>
      <c r="E36" s="933"/>
      <c r="F36" s="933"/>
      <c r="G36" s="934"/>
    </row>
    <row r="37" spans="2:7">
      <c r="B37" s="924" t="str">
        <f>IF([1]ACCUEIL!B1=1,"Pollution and waste management:","Pollution et gestion des déchets:")</f>
        <v>Pollution et gestion des déchets:</v>
      </c>
      <c r="C37" s="925"/>
      <c r="D37" s="926"/>
      <c r="E37" s="926"/>
      <c r="F37" s="926"/>
      <c r="G37" s="728"/>
    </row>
    <row r="38" spans="2:7">
      <c r="B38" s="927" t="str">
        <f>IF([1]ACCUEIL!B1=1,".Prevention, reduction or distribution measures of releases to air, water, and soil seriously affecting the environment:",".Les mesures de prévention, réduction ou de répartition de rejets dans l'air, l'eau, et le sol affectant gravement l'environnement:")</f>
        <v>.Les mesures de prévention, réduction ou de répartition de rejets dans l'air, l'eau, et le sol affectant gravement l'environnement:</v>
      </c>
      <c r="C38" s="928"/>
      <c r="D38" s="929"/>
      <c r="E38" s="929"/>
      <c r="F38" s="929"/>
      <c r="G38" s="930"/>
    </row>
    <row r="39" spans="2:7">
      <c r="B39" s="927" t="str">
        <f>IF([1]ACCUEIL!B1=1,".Prevention, recycling and waste disposal measures;",".Les mesures de prévention, de recyclage et d'élimination des déchets;")</f>
        <v>.Les mesures de prévention, de recyclage et d'élimination des déchets;</v>
      </c>
      <c r="C39" s="928"/>
      <c r="D39" s="929"/>
      <c r="E39" s="929"/>
      <c r="F39" s="929"/>
      <c r="G39" s="930"/>
    </row>
    <row r="40" spans="2:7">
      <c r="B40" s="931" t="str">
        <f>IF([1]ACCUEIL!B1=1,". Taking into account noise pollution and any other form of pollution specific to an activity.",".La prise en compte des nuisances sonores et de toute autre forme de pollution spécifique à une activité.")</f>
        <v>.La prise en compte des nuisances sonores et de toute autre forme de pollution spécifique à une activité.</v>
      </c>
      <c r="C40" s="932"/>
      <c r="D40" s="933"/>
      <c r="E40" s="933"/>
      <c r="F40" s="933"/>
      <c r="G40" s="934"/>
    </row>
    <row r="41" spans="2:7">
      <c r="B41" s="924" t="str">
        <f>IF([1]ACCUEIL!B1=1,"Sustainable use of resources:","Utilisation durable des ressources:")</f>
        <v>Utilisation durable des ressources:</v>
      </c>
      <c r="C41" s="925"/>
      <c r="D41" s="926"/>
      <c r="E41" s="926"/>
      <c r="F41" s="926"/>
      <c r="G41" s="728"/>
    </row>
    <row r="42" spans="2:7">
      <c r="B42" s="927" t="str">
        <f>IF([1]ACCUEIL!B1=1,".Water consumption and water supply according to local constraints;",".La consommation d'eau et l'approvisionnement en eau en fonction des contraintes locales;")</f>
        <v>.La consommation d'eau et l'approvisionnement en eau en fonction des contraintes locales;</v>
      </c>
      <c r="C42" s="928"/>
      <c r="D42" s="929"/>
      <c r="E42" s="929"/>
      <c r="F42" s="929"/>
      <c r="G42" s="930"/>
    </row>
    <row r="43" spans="2:7">
      <c r="B43" s="927" t="str">
        <f>IF([1]ACCUEIL!B1=1,".The consumption of raw materials and the measures taken to improve efficiency in their use;",".La consommation de matières premières et les mesures prises pour améliorer l'efficacité dans leur utilisation;")</f>
        <v>.La consommation de matières premières et les mesures prises pour améliorer l'efficacité dans leur utilisation;</v>
      </c>
      <c r="C43" s="928"/>
      <c r="D43" s="929"/>
      <c r="E43" s="929"/>
      <c r="F43" s="929"/>
      <c r="G43" s="930"/>
    </row>
    <row r="44" spans="2:7">
      <c r="B44" s="927" t="str">
        <f>IF([1]ACCUEIL!B1=1,".Energy consumption, measures taken to improve energy efficiency and the use of renewable energies.",".La consommation d'énergie, les mesures prises pour améliorer l'efficacité énergétique et le recours aux énergies renouvelables.")</f>
        <v>.La consommation d'énergie, les mesures prises pour améliorer l'efficacité énergétique et le recours aux énergies renouvelables.</v>
      </c>
      <c r="C44" s="928"/>
      <c r="D44" s="929"/>
      <c r="E44" s="929"/>
      <c r="F44" s="929"/>
      <c r="G44" s="930"/>
    </row>
    <row r="45" spans="2:7">
      <c r="B45" s="924" t="str">
        <f>IF([1]ACCUEIL!B1=1,"Climate change:","Changement climatiques:")</f>
        <v>Changement climatiques:</v>
      </c>
      <c r="C45" s="925"/>
      <c r="D45" s="926"/>
      <c r="E45" s="926"/>
      <c r="F45" s="926"/>
      <c r="G45" s="728"/>
    </row>
    <row r="46" spans="2:7">
      <c r="B46" s="927" t="str">
        <f>IF([1]ACCUEIL!B1=1,"Greenhouse gas emissions.",".Les rejets de gaz à effet de serre.")</f>
        <v>.Les rejets de gaz à effet de serre.</v>
      </c>
      <c r="C46" s="928"/>
      <c r="D46" s="929"/>
      <c r="E46" s="929"/>
      <c r="F46" s="929"/>
      <c r="G46" s="930"/>
    </row>
    <row r="47" spans="2:7">
      <c r="B47" s="935" t="str">
        <f>IF([1]ACCUEIL!B1=1,"Protection of biodiversity:","Protection de la biodiversité:")</f>
        <v>Protection de la biodiversité:</v>
      </c>
      <c r="C47" s="936"/>
      <c r="D47" s="937"/>
      <c r="E47" s="937"/>
      <c r="F47" s="937"/>
      <c r="G47" s="934"/>
    </row>
    <row r="48" spans="2:7">
      <c r="B48" s="944" t="str">
        <f>IF([1]ACCUEIL!B1=1,".The measures taken to preserve or develop biodiversity.",".Les mesures prises pour préserver ou développer la biodiversité.")</f>
        <v>.Les mesures prises pour préserver ou développer la biodiversité.</v>
      </c>
      <c r="C48" s="945"/>
      <c r="D48" s="946"/>
      <c r="E48" s="946"/>
      <c r="F48" s="946"/>
      <c r="G48" s="724"/>
    </row>
    <row r="49" spans="2:7">
      <c r="B49" s="941" t="str">
        <f>IF([1]ACCUEIL!B1=1,"INFORMATION RELATING TO SOCIETAL COMMITMENTS IN FAVOR OF SUSTAINABLE DEVELOPMENT","INFORMATIONS RELATIVES AUX ENGAGEMENTS SOCIETAUX EN FAVEUR DU DÉVELOPPEMENT DURABLE")</f>
        <v>INFORMATIONS RELATIVES AUX ENGAGEMENTS SOCIETAUX EN FAVEUR DU DÉVELOPPEMENT DURABLE</v>
      </c>
      <c r="C49" s="942"/>
      <c r="D49" s="943"/>
      <c r="E49" s="943"/>
      <c r="F49" s="943"/>
      <c r="G49" s="724"/>
    </row>
    <row r="50" spans="2:7">
      <c r="B50" s="924" t="str">
        <f>IF([1]ACCUEIL!B1=1,"Territorial, economic and social impact of the company's activity:","Impact territorial,économique et social de l'activité de la société:")</f>
        <v>Impact territorial,économique et social de l'activité de la société:</v>
      </c>
      <c r="C50" s="925"/>
      <c r="D50" s="926"/>
      <c r="E50" s="926"/>
      <c r="F50" s="926"/>
      <c r="G50" s="728"/>
    </row>
    <row r="51" spans="2:7">
      <c r="B51" s="927" t="str">
        <f>IF([1]ACCUEIL!B1=1,".In matters of employment and regional development;",".En matière d'emploi et de développement régional;")</f>
        <v>.En matière d'emploi et de développement régional;</v>
      </c>
      <c r="C51" s="928"/>
      <c r="D51" s="929"/>
      <c r="E51" s="929"/>
      <c r="F51" s="929"/>
      <c r="G51" s="930"/>
    </row>
    <row r="52" spans="2:7">
      <c r="B52" s="931" t="str">
        <f>IF([1]ACCUEIL!B1=1,". On neighboring or local populations.",".Sur les populations riveraines ou locales.")</f>
        <v>.Sur les populations riveraines ou locales.</v>
      </c>
      <c r="C52" s="932"/>
      <c r="D52" s="933"/>
      <c r="E52" s="933"/>
      <c r="F52" s="933"/>
      <c r="G52" s="934"/>
    </row>
    <row r="53" spans="2:7">
      <c r="B53" s="924" t="str">
        <f>IF([1]ACCUEIL!B1=1,"Relations maintained with people or organizations interested in the company's activity (integration associations, educational ","Relations entretenues avec les personnes ou les organisations intéressées par l'activité de la société (associations d'insertion,")</f>
        <v>Relations entretenues avec les personnes ou les organisations intéressées par l'activité de la société (associations d'insertion,</v>
      </c>
      <c r="C53" s="925"/>
      <c r="D53" s="926"/>
      <c r="E53" s="926"/>
      <c r="F53" s="926"/>
      <c r="G53" s="728"/>
    </row>
    <row r="54" spans="2:7">
      <c r="B54" s="947" t="str">
        <f>IF([1]ACCUEIL!B1=1,"establishments, etc.):","établissements d'enseignement…):")</f>
        <v>établissements d'enseignement…):</v>
      </c>
      <c r="C54" s="948"/>
      <c r="D54" s="949"/>
      <c r="E54" s="949"/>
      <c r="F54" s="949"/>
      <c r="G54" s="930"/>
    </row>
    <row r="55" spans="2:7">
      <c r="B55" s="927" t="str">
        <f>IF([1]ACCUEIL!B1=1,".The conditions for dialogue with these people or organizations;",".Les conditions du dialogue avec ces personnes ou organisations;")</f>
        <v>.Les conditions du dialogue avec ces personnes ou organisations;</v>
      </c>
      <c r="C55" s="928"/>
      <c r="D55" s="929"/>
      <c r="E55" s="929"/>
      <c r="F55" s="929"/>
      <c r="G55" s="930"/>
    </row>
    <row r="56" spans="2:7">
      <c r="B56" s="931" t="str">
        <f>IF([1]ACCUEIL!B1=1,".The actions of partnership or disbeliever.",".Les actions de partenariat ou de mécréant.")</f>
        <v>.Les actions de partenariat ou de mécréant.</v>
      </c>
      <c r="C56" s="932"/>
      <c r="D56" s="933"/>
      <c r="E56" s="933"/>
      <c r="F56" s="933"/>
      <c r="G56" s="934"/>
    </row>
    <row r="57" spans="2:7">
      <c r="B57" s="924" t="str">
        <f>IF([1]ACCUEIL!B1=1,"Subcontracting and suppliers:","Sous-traitance et fournisseurs:")</f>
        <v>Sous-traitance et fournisseurs:</v>
      </c>
      <c r="C57" s="925"/>
      <c r="D57" s="926"/>
      <c r="E57" s="926"/>
      <c r="F57" s="926"/>
      <c r="G57" s="728"/>
    </row>
    <row r="58" spans="2:7">
      <c r="B58" s="931" t="str">
        <f>IF([1]ACCUEIL!B1=1,".The inclusion in social and environmental issues in the purchasing policy.",".La prise en compte dans la politique d'achat des enjeux sociaux et environnementaux.")</f>
        <v>.La prise en compte dans la politique d'achat des enjeux sociaux et environnementaux.</v>
      </c>
      <c r="C58" s="932"/>
      <c r="D58" s="933"/>
      <c r="E58" s="933"/>
      <c r="F58" s="933"/>
      <c r="G58" s="934"/>
    </row>
  </sheetData>
  <sheetProtection selectLockedCells="1" selectUnlockedCells="1"/>
  <mergeCells count="5">
    <mergeCell ref="B1:G1"/>
    <mergeCell ref="F2:G3"/>
    <mergeCell ref="B10:G10"/>
    <mergeCell ref="B12:G12"/>
    <mergeCell ref="B13:G13"/>
  </mergeCells>
  <conditionalFormatting sqref="F6 F5:H5">
    <cfRule type="expression" dxfId="0" priority="1">
      <formula>#REF!=1</formula>
    </cfRule>
  </conditionalFormatting>
  <printOptions horizontalCentered="1"/>
  <pageMargins left="0.78740157480314965" right="0" top="0.59055118110236227" bottom="0" header="0.31496062992125984" footer="0.31496062992125984"/>
  <pageSetup paperSize="9" scale="86" orientation="portrait" r:id="rId1"/>
  <headerFooter>
    <oddHeader>&amp;C&amp;"-,Gras"&amp;14Page &amp;P / &amp;N</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1]!NOTES">
                <anchor moveWithCells="1" sizeWithCells="1">
                  <from>
                    <xdr:col>7</xdr:col>
                    <xdr:colOff>76200</xdr:colOff>
                    <xdr:row>2</xdr:row>
                    <xdr:rowOff>0</xdr:rowOff>
                  </from>
                  <to>
                    <xdr:col>8</xdr:col>
                    <xdr:colOff>704850</xdr:colOff>
                    <xdr:row>3</xdr:row>
                    <xdr:rowOff>85725</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Feuil63">
    <pageSetUpPr fitToPage="1"/>
  </sheetPr>
  <dimension ref="B2:K43"/>
  <sheetViews>
    <sheetView showGridLines="0" showRowColHeaders="0" topLeftCell="A28" zoomScale="88" zoomScaleNormal="100" zoomScaleSheetLayoutView="100" workbookViewId="0">
      <selection activeCell="O44" sqref="O44"/>
    </sheetView>
  </sheetViews>
  <sheetFormatPr baseColWidth="10" defaultColWidth="11.42578125" defaultRowHeight="15"/>
  <cols>
    <col min="1" max="1" width="58.28515625" style="2" customWidth="1"/>
    <col min="2" max="2" width="37.28515625" style="2" bestFit="1" customWidth="1"/>
    <col min="3" max="4" width="11.42578125" style="2"/>
    <col min="5" max="6" width="6.7109375" style="2" customWidth="1"/>
    <col min="7" max="7" width="32.42578125" style="2" bestFit="1" customWidth="1"/>
    <col min="8" max="9" width="11.42578125" style="2"/>
    <col min="10" max="10" width="6.5703125" style="2" customWidth="1"/>
    <col min="11" max="11" width="6.85546875" style="2" customWidth="1"/>
    <col min="12" max="16384" width="11.42578125" style="2"/>
  </cols>
  <sheetData>
    <row r="2" spans="2:11" ht="21" customHeight="1">
      <c r="B2" s="1419" t="str">
        <f>IF([1]ACCUEIL!B1=1,"NOTE 36: TABLE OF CODES","NOTE 36 : TABLE DES CODES")</f>
        <v>NOTE 36 : TABLE DES CODES</v>
      </c>
      <c r="C2" s="1419"/>
      <c r="D2" s="1419"/>
      <c r="E2" s="1419"/>
      <c r="F2" s="1419"/>
      <c r="G2" s="1419"/>
      <c r="H2" s="1419"/>
      <c r="I2" s="1419"/>
      <c r="J2" s="1419"/>
      <c r="K2" s="1419"/>
    </row>
    <row r="3" spans="2:11">
      <c r="B3" s="472"/>
      <c r="C3" s="472"/>
      <c r="D3" s="472"/>
      <c r="E3" s="472"/>
      <c r="F3" s="472"/>
      <c r="G3" s="472"/>
      <c r="H3" s="472"/>
      <c r="I3" s="472"/>
      <c r="J3" s="472"/>
      <c r="K3" s="472"/>
    </row>
    <row r="4" spans="2:11" ht="19.5" customHeight="1">
      <c r="B4" s="2150" t="str">
        <f>IF([1]ACCUEIL!B1=1,"1-Legal form code (1)","1-Code forme juridique (1)")</f>
        <v>1-Code forme juridique (1)</v>
      </c>
      <c r="C4" s="2151"/>
      <c r="D4" s="2151"/>
      <c r="E4" s="2151"/>
      <c r="F4" s="2152"/>
      <c r="G4" s="2150" t="str">
        <f>IF([1]ACCUEIL!B1=1,"3-Country code of the registered office","3-Code pays du siège social")</f>
        <v>3-Code pays du siège social</v>
      </c>
      <c r="H4" s="2151"/>
      <c r="I4" s="2152"/>
      <c r="J4" s="472"/>
      <c r="K4" s="472"/>
    </row>
    <row r="5" spans="2:11" ht="21" customHeight="1">
      <c r="B5" s="472"/>
      <c r="C5" s="472"/>
      <c r="D5" s="472"/>
      <c r="E5" s="472"/>
      <c r="F5" s="472"/>
      <c r="G5" s="472"/>
      <c r="H5" s="472"/>
      <c r="I5" s="472"/>
      <c r="J5" s="472"/>
      <c r="K5" s="472"/>
    </row>
    <row r="6" spans="2:11" ht="21" customHeight="1">
      <c r="B6" s="472"/>
      <c r="C6" s="472"/>
      <c r="D6" s="472"/>
      <c r="E6" s="472"/>
      <c r="F6" s="472"/>
      <c r="G6" s="472"/>
      <c r="H6" s="472"/>
      <c r="I6" s="472"/>
      <c r="J6" s="472"/>
      <c r="K6" s="472"/>
    </row>
    <row r="7" spans="2:11" ht="21" customHeight="1">
      <c r="B7" s="472" t="str">
        <f>IF([1]ACCUEIL!B1=1,"Anonimous society (AS) with participation","Société Anonyme (SA) à participation")</f>
        <v>Société Anonyme (SA) à participation</v>
      </c>
      <c r="C7" s="472"/>
      <c r="D7" s="472"/>
      <c r="E7" s="472"/>
      <c r="F7" s="472"/>
      <c r="G7" s="472" t="str">
        <f>IF([1]ACCUEIL!B1=1,"OHADA countries (2)","Pays OHADA (2)")</f>
        <v>Pays OHADA (2)</v>
      </c>
      <c r="H7" s="472"/>
      <c r="I7" s="472"/>
      <c r="J7" s="472"/>
      <c r="K7" s="472"/>
    </row>
    <row r="8" spans="2:11" ht="21" customHeight="1">
      <c r="B8" s="950" t="str">
        <f>IF([1]ACCUEIL!B1=1,"Public","Publique")</f>
        <v>Publique</v>
      </c>
      <c r="C8" s="472"/>
      <c r="D8" s="472"/>
      <c r="E8" s="590">
        <v>0</v>
      </c>
      <c r="F8" s="590">
        <v>0</v>
      </c>
      <c r="G8" s="472"/>
      <c r="H8" s="472"/>
      <c r="I8" s="472"/>
      <c r="J8" s="472"/>
      <c r="K8" s="472"/>
    </row>
    <row r="9" spans="2:11" ht="21" customHeight="1">
      <c r="B9" s="472"/>
      <c r="C9" s="472"/>
      <c r="D9" s="472"/>
      <c r="E9" s="590"/>
      <c r="F9" s="590"/>
      <c r="G9" s="950" t="str">
        <f>IF([1]ACCUEIL!B1=1,"Other African countries","Autres pays africains")</f>
        <v>Autres pays africains</v>
      </c>
      <c r="H9" s="472"/>
      <c r="I9" s="472"/>
      <c r="J9" s="590">
        <v>2</v>
      </c>
      <c r="K9" s="590">
        <v>1</v>
      </c>
    </row>
    <row r="10" spans="2:11" ht="21" customHeight="1">
      <c r="B10" s="950" t="str">
        <f>IF([1]ACCUEIL!B1=1,"Anonimous society (AS)","Société Anonyme (SA)")</f>
        <v>Société Anonyme (SA)</v>
      </c>
      <c r="C10" s="472"/>
      <c r="D10" s="472"/>
      <c r="E10" s="590">
        <v>0</v>
      </c>
      <c r="F10" s="590">
        <v>1</v>
      </c>
      <c r="G10" s="472"/>
      <c r="H10" s="472"/>
      <c r="I10" s="472"/>
      <c r="J10" s="590"/>
      <c r="K10" s="590"/>
    </row>
    <row r="11" spans="2:11" ht="21" customHeight="1">
      <c r="B11" s="472"/>
      <c r="C11" s="472"/>
      <c r="D11" s="472"/>
      <c r="E11" s="590"/>
      <c r="F11" s="590"/>
      <c r="G11" s="950" t="s">
        <v>305</v>
      </c>
      <c r="H11" s="472"/>
      <c r="I11" s="472"/>
      <c r="J11" s="590">
        <v>2</v>
      </c>
      <c r="K11" s="590">
        <v>3</v>
      </c>
    </row>
    <row r="12" spans="2:11" ht="21" customHeight="1">
      <c r="B12" s="950" t="str">
        <f>IF([1]ACCUEIL!B1=1,"Limited Liability Company (LLC)","Société à Responsabilité Limitée (SARL)")</f>
        <v>Société à Responsabilité Limitée (SARL)</v>
      </c>
      <c r="C12" s="472"/>
      <c r="D12" s="472"/>
      <c r="E12" s="590">
        <v>0</v>
      </c>
      <c r="F12" s="590">
        <v>2</v>
      </c>
      <c r="G12" s="472"/>
      <c r="H12" s="472"/>
      <c r="I12" s="472"/>
      <c r="J12" s="590"/>
      <c r="K12" s="590"/>
    </row>
    <row r="13" spans="2:11" ht="21" customHeight="1">
      <c r="B13" s="472"/>
      <c r="C13" s="472"/>
      <c r="D13" s="472"/>
      <c r="E13" s="590"/>
      <c r="F13" s="590"/>
      <c r="G13" s="950" t="str">
        <f>IF([1]ACCUEIL!B1=1,"Other European Union countries ","Autres pays de l'union Européenne")</f>
        <v>Autres pays de l'union Européenne</v>
      </c>
      <c r="H13" s="472"/>
      <c r="I13" s="472"/>
      <c r="J13" s="590">
        <v>3</v>
      </c>
      <c r="K13" s="590">
        <v>9</v>
      </c>
    </row>
    <row r="14" spans="2:11" ht="21" customHeight="1">
      <c r="B14" s="950" t="str">
        <f>IF([1]ACCUEIL!B1=1,"Simple Limited Partnership (SLP)","Société en commandite simple (SCS)")</f>
        <v>Société en commandite simple (SCS)</v>
      </c>
      <c r="C14" s="472"/>
      <c r="D14" s="472"/>
      <c r="E14" s="590">
        <v>0</v>
      </c>
      <c r="F14" s="590">
        <v>3</v>
      </c>
      <c r="G14" s="472"/>
      <c r="H14" s="472"/>
      <c r="I14" s="472"/>
      <c r="J14" s="590"/>
      <c r="K14" s="590"/>
    </row>
    <row r="15" spans="2:11" ht="21" customHeight="1">
      <c r="B15" s="472"/>
      <c r="C15" s="472"/>
      <c r="D15" s="472"/>
      <c r="E15" s="590"/>
      <c r="F15" s="590"/>
      <c r="G15" s="950" t="s">
        <v>306</v>
      </c>
      <c r="H15" s="472"/>
      <c r="I15" s="472"/>
      <c r="J15" s="590">
        <v>4</v>
      </c>
      <c r="K15" s="590">
        <v>0</v>
      </c>
    </row>
    <row r="16" spans="2:11" ht="21" customHeight="1">
      <c r="B16" s="950" t="str">
        <f>IF([1]ACCUEIL!B1=1,"Company in Collective Name (CCN)","Société en Nom Collectif (SNC)")</f>
        <v>Société en Nom Collectif (SNC)</v>
      </c>
      <c r="C16" s="472"/>
      <c r="D16" s="472"/>
      <c r="E16" s="590">
        <v>0</v>
      </c>
      <c r="F16" s="590">
        <v>4</v>
      </c>
      <c r="G16" s="472"/>
      <c r="H16" s="472"/>
      <c r="I16" s="472"/>
      <c r="J16" s="590"/>
      <c r="K16" s="590"/>
    </row>
    <row r="17" spans="2:11" ht="21" customHeight="1">
      <c r="B17" s="472"/>
      <c r="C17" s="472"/>
      <c r="D17" s="472"/>
      <c r="E17" s="590"/>
      <c r="F17" s="590"/>
      <c r="G17" s="950" t="s">
        <v>307</v>
      </c>
      <c r="H17" s="472"/>
      <c r="I17" s="472"/>
      <c r="J17" s="590">
        <v>4</v>
      </c>
      <c r="K17" s="590">
        <v>1</v>
      </c>
    </row>
    <row r="18" spans="2:11" ht="21" customHeight="1">
      <c r="B18" s="950" t="str">
        <f>IF([1]ACCUEIL!B1=1,"Participation society (PS)","Société en participation (SP)")</f>
        <v>Société en participation (SP)</v>
      </c>
      <c r="C18" s="472"/>
      <c r="D18" s="472"/>
      <c r="E18" s="590">
        <v>0</v>
      </c>
      <c r="F18" s="590">
        <v>5</v>
      </c>
      <c r="G18" s="472"/>
      <c r="H18" s="472"/>
      <c r="I18" s="472"/>
      <c r="J18" s="590"/>
      <c r="K18" s="590"/>
    </row>
    <row r="19" spans="2:11" ht="21" customHeight="1">
      <c r="B19" s="472"/>
      <c r="C19" s="472"/>
      <c r="D19" s="472"/>
      <c r="E19" s="590"/>
      <c r="F19" s="590"/>
      <c r="G19" s="950" t="str">
        <f>IF([1]ACCUEIL!B1=1,"Other American countries","Autres pays américains")</f>
        <v>Autres pays américains</v>
      </c>
      <c r="H19" s="472"/>
      <c r="I19" s="472"/>
      <c r="J19" s="590">
        <v>4</v>
      </c>
      <c r="K19" s="590">
        <v>9</v>
      </c>
    </row>
    <row r="20" spans="2:11" ht="21" customHeight="1">
      <c r="B20" s="950" t="str">
        <f>IF([1]ACCUEIL!B1=1,"Economic Interest Group (EIG)","Groupement d'intérêt Economique (GIE)")</f>
        <v>Groupement d'intérêt Economique (GIE)</v>
      </c>
      <c r="C20" s="472"/>
      <c r="D20" s="472"/>
      <c r="E20" s="590">
        <v>0</v>
      </c>
      <c r="F20" s="590">
        <v>6</v>
      </c>
      <c r="G20" s="472"/>
      <c r="H20" s="472"/>
      <c r="I20" s="472"/>
      <c r="J20" s="590"/>
      <c r="K20" s="590"/>
    </row>
    <row r="21" spans="2:11" ht="21" customHeight="1">
      <c r="B21" s="472"/>
      <c r="C21" s="472"/>
      <c r="D21" s="472"/>
      <c r="E21" s="590"/>
      <c r="F21" s="590"/>
      <c r="G21" s="567" t="str">
        <f>IF([1]ACCUEIL!B1=1,"Asian countries","Pays asiatiques")</f>
        <v>Pays asiatiques</v>
      </c>
      <c r="H21" s="583"/>
      <c r="I21" s="472"/>
      <c r="J21" s="590">
        <v>5</v>
      </c>
      <c r="K21" s="590">
        <v>0</v>
      </c>
    </row>
    <row r="22" spans="2:11" ht="21" customHeight="1">
      <c r="B22" s="950" t="s">
        <v>308</v>
      </c>
      <c r="C22" s="472"/>
      <c r="D22" s="472"/>
      <c r="E22" s="590">
        <v>0</v>
      </c>
      <c r="F22" s="590">
        <v>7</v>
      </c>
      <c r="G22" s="472"/>
      <c r="H22" s="472"/>
      <c r="I22" s="472"/>
      <c r="J22" s="590"/>
      <c r="K22" s="590"/>
    </row>
    <row r="23" spans="2:11" ht="21" customHeight="1">
      <c r="B23" s="472"/>
      <c r="C23" s="472"/>
      <c r="D23" s="472"/>
      <c r="E23" s="590"/>
      <c r="F23" s="590"/>
      <c r="G23" s="567" t="str">
        <f>IF([1]ACCUEIL!B1=1,"Other countries","Autres pays")</f>
        <v>Autres pays</v>
      </c>
      <c r="H23" s="583"/>
      <c r="I23" s="472"/>
      <c r="J23" s="590">
        <v>9</v>
      </c>
      <c r="K23" s="590">
        <v>9</v>
      </c>
    </row>
    <row r="24" spans="2:11" ht="21" customHeight="1">
      <c r="B24" s="950" t="str">
        <f>IF([1]ACCUEIL!B1=1,"Simplified Joint Stock Company (SJSC)","Société par Actions Simplifiée (SAS)")</f>
        <v>Société par Actions Simplifiée (SAS)</v>
      </c>
      <c r="C24" s="472"/>
      <c r="D24" s="472"/>
      <c r="E24" s="590">
        <v>0</v>
      </c>
      <c r="F24" s="590">
        <v>8</v>
      </c>
      <c r="G24" s="472"/>
      <c r="H24" s="472"/>
      <c r="I24" s="472"/>
      <c r="J24" s="590"/>
      <c r="K24" s="590"/>
    </row>
    <row r="25" spans="2:11" ht="21" customHeight="1">
      <c r="B25" s="472"/>
      <c r="C25" s="472"/>
      <c r="D25" s="472"/>
      <c r="E25" s="590"/>
      <c r="F25" s="590"/>
      <c r="G25" s="472"/>
      <c r="H25" s="472"/>
      <c r="I25" s="472"/>
      <c r="J25" s="590"/>
      <c r="K25" s="590"/>
    </row>
    <row r="26" spans="2:11" ht="21" customHeight="1">
      <c r="B26" s="950" t="str">
        <f>IF([1]ACCUEIL!B1=1,"Other legal form (to be specified)","Autre forme juridique (à préciser)")</f>
        <v>Autre forme juridique (à préciser)</v>
      </c>
      <c r="C26" s="472"/>
      <c r="D26" s="472"/>
      <c r="E26" s="590">
        <v>0</v>
      </c>
      <c r="F26" s="590">
        <v>9</v>
      </c>
      <c r="G26" s="472"/>
      <c r="H26" s="472"/>
      <c r="I26" s="472"/>
      <c r="J26" s="472"/>
      <c r="K26" s="472"/>
    </row>
    <row r="27" spans="2:11" ht="21" customHeight="1">
      <c r="B27" s="472"/>
      <c r="C27" s="472"/>
      <c r="D27" s="472"/>
      <c r="E27" s="590"/>
      <c r="F27" s="590"/>
      <c r="G27" s="472"/>
      <c r="H27" s="472"/>
      <c r="I27" s="472"/>
      <c r="J27" s="472"/>
      <c r="K27" s="472"/>
    </row>
    <row r="28" spans="2:11" ht="21" customHeight="1">
      <c r="B28" s="2150" t="str">
        <f>IF([1]ACCUEIL!B1=1,"2-Tax system code","2-Code régime fiscal")</f>
        <v>2-Code régime fiscal</v>
      </c>
      <c r="C28" s="2151"/>
      <c r="D28" s="2152"/>
      <c r="E28" s="590"/>
      <c r="F28" s="590"/>
      <c r="G28" s="472"/>
      <c r="H28" s="472"/>
      <c r="I28" s="472"/>
      <c r="J28" s="472"/>
      <c r="K28" s="472"/>
    </row>
    <row r="29" spans="2:11" ht="21" customHeight="1">
      <c r="B29" s="472"/>
      <c r="C29" s="472"/>
      <c r="D29" s="472"/>
      <c r="E29" s="590"/>
      <c r="F29" s="590"/>
      <c r="G29" s="472"/>
      <c r="H29" s="472"/>
      <c r="I29" s="472"/>
      <c r="J29" s="472"/>
      <c r="K29" s="472"/>
    </row>
    <row r="30" spans="2:11" ht="21" customHeight="1">
      <c r="B30" s="950" t="str">
        <f>IF([1]ACCUEIL!B1=1,"Actual normal","Réel normal")</f>
        <v>Réel normal</v>
      </c>
      <c r="C30" s="472"/>
      <c r="D30" s="472"/>
      <c r="E30" s="590"/>
      <c r="F30" s="590">
        <v>1</v>
      </c>
      <c r="G30" s="472"/>
      <c r="H30" s="472"/>
      <c r="I30" s="472"/>
      <c r="J30" s="472"/>
      <c r="K30" s="472"/>
    </row>
    <row r="31" spans="2:11" ht="21" customHeight="1">
      <c r="B31" s="472"/>
      <c r="C31" s="472"/>
      <c r="D31" s="472"/>
      <c r="E31" s="590"/>
      <c r="F31" s="590"/>
      <c r="G31" s="472"/>
      <c r="H31" s="472"/>
      <c r="I31" s="472"/>
      <c r="J31" s="472"/>
      <c r="K31" s="472"/>
    </row>
    <row r="32" spans="2:11" ht="21" customHeight="1">
      <c r="B32" s="950" t="str">
        <f>IF([1]ACCUEIL!B1=1,"Simplified real","Réel simplifié")</f>
        <v>Réel simplifié</v>
      </c>
      <c r="C32" s="472"/>
      <c r="D32" s="472"/>
      <c r="E32" s="590"/>
      <c r="F32" s="590">
        <v>2</v>
      </c>
      <c r="G32" s="472"/>
      <c r="H32" s="472"/>
      <c r="I32" s="472"/>
      <c r="J32" s="472"/>
      <c r="K32" s="472"/>
    </row>
    <row r="33" spans="2:11" ht="21" customHeight="1">
      <c r="B33" s="472"/>
      <c r="C33" s="472"/>
      <c r="D33" s="472"/>
      <c r="E33" s="590"/>
      <c r="F33" s="590"/>
      <c r="G33" s="472"/>
      <c r="H33" s="472"/>
      <c r="I33" s="472"/>
      <c r="J33" s="472"/>
      <c r="K33" s="472"/>
    </row>
    <row r="34" spans="2:11" ht="21" customHeight="1">
      <c r="B34" s="950" t="str">
        <f>IF([1]ACCUEIL!B1=1,"Synthetic","Synthétique")</f>
        <v>Synthétique</v>
      </c>
      <c r="C34" s="472"/>
      <c r="D34" s="472"/>
      <c r="E34" s="590"/>
      <c r="F34" s="590">
        <v>3</v>
      </c>
      <c r="G34" s="472"/>
      <c r="H34" s="472"/>
      <c r="I34" s="472"/>
      <c r="J34" s="472"/>
      <c r="K34" s="472"/>
    </row>
    <row r="35" spans="2:11" ht="21" customHeight="1">
      <c r="B35" s="472"/>
      <c r="C35" s="472"/>
      <c r="D35" s="472"/>
      <c r="E35" s="590"/>
      <c r="F35" s="590"/>
      <c r="G35" s="472"/>
      <c r="H35" s="472"/>
      <c r="I35" s="472"/>
      <c r="J35" s="472"/>
      <c r="K35" s="472"/>
    </row>
    <row r="36" spans="2:11" ht="21" customHeight="1">
      <c r="B36" s="950" t="str">
        <f>IF([1]ACCUEIL!B1=1,"Flat rate","Forfait")</f>
        <v>Forfait</v>
      </c>
      <c r="C36" s="472"/>
      <c r="D36" s="472"/>
      <c r="E36" s="590"/>
      <c r="F36" s="590">
        <v>4</v>
      </c>
      <c r="G36" s="472"/>
      <c r="H36" s="472"/>
      <c r="I36" s="472"/>
      <c r="J36" s="472"/>
      <c r="K36" s="472"/>
    </row>
    <row r="37" spans="2:11" ht="21" customHeight="1">
      <c r="B37" s="472"/>
      <c r="C37" s="472"/>
      <c r="D37" s="472"/>
      <c r="E37" s="590"/>
      <c r="F37" s="590"/>
      <c r="G37" s="472"/>
      <c r="H37" s="472"/>
      <c r="I37" s="472"/>
      <c r="J37" s="472"/>
      <c r="K37" s="472"/>
    </row>
    <row r="38" spans="2:11" ht="21" customHeight="1">
      <c r="B38" s="472"/>
      <c r="C38" s="472"/>
      <c r="D38" s="472"/>
      <c r="E38" s="590"/>
      <c r="F38" s="590"/>
      <c r="G38" s="472"/>
      <c r="H38" s="472"/>
      <c r="I38" s="472"/>
      <c r="J38" s="472"/>
      <c r="K38" s="472"/>
    </row>
    <row r="39" spans="2:11">
      <c r="B39" s="81"/>
      <c r="C39" s="81"/>
      <c r="D39" s="81"/>
      <c r="E39" s="81"/>
      <c r="F39" s="81"/>
      <c r="G39" s="81"/>
      <c r="H39" s="81"/>
      <c r="I39" s="81"/>
      <c r="J39" s="81"/>
      <c r="K39" s="81"/>
    </row>
    <row r="40" spans="2:11">
      <c r="B40" s="81" t="str">
        <f>IF([1]ACCUEIL!B1=1,"(1) Replace 0 by 1 if the entity has priority approval","(1) Remplacer 0 par 1 si l'entité bénéficie d'un agrément prioritaire")</f>
        <v>(1) Remplacer 0 par 1 si l'entité bénéficie d'un agrément prioritaire</v>
      </c>
      <c r="C40" s="81"/>
      <c r="D40" s="81"/>
      <c r="E40" s="81"/>
      <c r="F40" s="81"/>
      <c r="G40" s="81"/>
      <c r="H40" s="81"/>
      <c r="I40" s="81"/>
      <c r="J40" s="81"/>
      <c r="K40" s="81"/>
    </row>
    <row r="41" spans="2:11">
      <c r="B41" s="81" t="str">
        <f>IF([1]ACCUEIL!B1=1,"(2) Benin = 01; Burkina = 02; Ivory Coast = 03; Guinea Bissau = 04; Mali = 05; Niger = 06; Senegal = 07;","(2) Bénin = 01 ; Burkina = 02 ; Cote D'ivoire = 03 ; Guinée Bissau = 04 ; Mali = 05 ; Niger = 06 ; Sénégal = 07 ; ")</f>
        <v xml:space="preserve">(2) Bénin = 01 ; Burkina = 02 ; Cote D'ivoire = 03 ; Guinée Bissau = 04 ; Mali = 05 ; Niger = 06 ; Sénégal = 07 ; </v>
      </c>
      <c r="C41" s="81"/>
      <c r="D41" s="81"/>
      <c r="E41" s="81"/>
      <c r="F41" s="81"/>
      <c r="G41" s="81"/>
      <c r="H41" s="81"/>
      <c r="I41" s="81"/>
      <c r="J41" s="81"/>
      <c r="K41" s="81"/>
    </row>
    <row r="42" spans="2:11">
      <c r="B42" s="81" t="str">
        <f>IF([1]ACCUEIL!B1=1,"Togo = 08; Cameron = 09; Congo = 10; Gabon = 11; Central African Republic = 12; Chad = 13;","Togo = 08 ; Cameron = 09 ; Congo = 10 ; Gabon = 11 ;  République Centrafricaine = 12 ; Tchad = 13 ; ")</f>
        <v xml:space="preserve">Togo = 08 ; Cameron = 09 ; Congo = 10 ; Gabon = 11 ;  République Centrafricaine = 12 ; Tchad = 13 ; </v>
      </c>
      <c r="C42" s="81"/>
      <c r="D42" s="81"/>
      <c r="E42" s="81"/>
      <c r="F42" s="81"/>
      <c r="G42" s="81"/>
      <c r="H42" s="81"/>
      <c r="I42" s="81"/>
      <c r="J42" s="81"/>
      <c r="K42" s="81"/>
    </row>
    <row r="43" spans="2:11">
      <c r="B43" s="81" t="str">
        <f>IF([1]ACCUEIL!B1=1,"Comoros = 14; Guinea = 15; Equatorial Guinea = 16; Congo DRC = 17","Comores = 14 ; Guinée = 15 ; Guinée Equatoriale = 16  ; Congo RDC = 17 ")</f>
        <v xml:space="preserve">Comores = 14 ; Guinée = 15 ; Guinée Equatoriale = 16  ; Congo RDC = 17 </v>
      </c>
      <c r="C43" s="81"/>
      <c r="D43" s="81"/>
      <c r="E43" s="81"/>
      <c r="F43" s="81"/>
      <c r="G43" s="81"/>
      <c r="H43" s="81"/>
      <c r="I43" s="81"/>
      <c r="J43" s="81"/>
      <c r="K43" s="81"/>
    </row>
  </sheetData>
  <sheetProtection selectLockedCells="1" selectUnlockedCells="1"/>
  <mergeCells count="4">
    <mergeCell ref="B2:K2"/>
    <mergeCell ref="B4:F4"/>
    <mergeCell ref="G4:I4"/>
    <mergeCell ref="B28:D28"/>
  </mergeCells>
  <printOptions horizontalCentered="1"/>
  <pageMargins left="0.78740157480314965" right="0" top="0.59055118110236227" bottom="0.19685039370078741" header="0.31496062992125984" footer="3.9370078740157481"/>
  <pageSetup paperSize="9" scale="65" orientation="portrait" r:id="rId1"/>
  <headerFooter>
    <oddHeader>&amp;C&amp;"-,Gras"&amp;14Page &amp;P / &amp;N</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62465" r:id="rId4" name="Button 1">
              <controlPr defaultSize="0" print="0" autoFill="0" autoPict="0" macro="[1]!NOTES">
                <anchor moveWithCells="1" sizeWithCells="1">
                  <from>
                    <xdr:col>11</xdr:col>
                    <xdr:colOff>66675</xdr:colOff>
                    <xdr:row>1</xdr:row>
                    <xdr:rowOff>28575</xdr:rowOff>
                  </from>
                  <to>
                    <xdr:col>12</xdr:col>
                    <xdr:colOff>695325</xdr:colOff>
                    <xdr:row>3</xdr:row>
                    <xdr:rowOff>28575</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Feuil66">
    <pageSetUpPr fitToPage="1"/>
  </sheetPr>
  <dimension ref="C3:F84"/>
  <sheetViews>
    <sheetView showGridLines="0" showRowColHeaders="0" topLeftCell="B1" zoomScaleNormal="100" zoomScaleSheetLayoutView="98" workbookViewId="0">
      <selection activeCell="O44" sqref="O44"/>
    </sheetView>
  </sheetViews>
  <sheetFormatPr baseColWidth="10" defaultColWidth="11.42578125" defaultRowHeight="15"/>
  <cols>
    <col min="1" max="1" width="61" style="2" customWidth="1"/>
    <col min="2" max="2" width="11.42578125" style="2"/>
    <col min="3" max="3" width="66.85546875" style="2" customWidth="1"/>
    <col min="4" max="4" width="7.85546875" style="2" customWidth="1"/>
    <col min="5" max="5" width="62.7109375" style="2" customWidth="1"/>
    <col min="6" max="16384" width="11.42578125" style="2"/>
  </cols>
  <sheetData>
    <row r="3" spans="3:5">
      <c r="C3" s="951" t="str">
        <f>IF([1]ACCUEIL!B1=1,"Food agriculture","Agriculture vivrière")</f>
        <v>Agriculture vivrière</v>
      </c>
      <c r="D3" s="434"/>
      <c r="E3" s="951" t="str">
        <f>IF([1]ACCUEIL!B1=1,"Rubber and plastics industry","Industrie du caoutchouc et des plastiques")</f>
        <v>Industrie du caoutchouc et des plastiques</v>
      </c>
    </row>
    <row r="4" spans="3:5">
      <c r="C4" s="434" t="str">
        <f>IF([1]ACCUEIL!B1=1,"001 001 Cereal culture","001 001 Culture céréalière")</f>
        <v>001 001 Culture céréalière</v>
      </c>
      <c r="D4" s="434"/>
      <c r="E4" s="434" t="str">
        <f>IF([1]ACCUEIL!B1=1,"022 001 manufacturing natural rubber","022 001 fabrication du caoutchouc naturel")</f>
        <v>022 001 fabrication du caoutchouc naturel</v>
      </c>
    </row>
    <row r="5" spans="3:5">
      <c r="C5" s="434" t="str">
        <f>IF([1]ACCUEIL!B1=1,"001 002 Tubers and plantains culture","001 002 Cultures de tubercules et plantains")</f>
        <v>001 002 Cultures de tubercules et plantains</v>
      </c>
      <c r="D5" s="434"/>
      <c r="E5" s="434" t="str">
        <f>IF([1]ACCUEIL!B1=1,"022 002 rubber industry","022 002 industrie du caoutchouc")</f>
        <v>022 002 industrie du caoutchouc</v>
      </c>
    </row>
    <row r="6" spans="3:5">
      <c r="C6" s="434" t="str">
        <f>IF([1]ACCUEIL!B1=1,"001 003 Vegetables culture","001 003 Culture de légumes")</f>
        <v>001 003 Culture de légumes</v>
      </c>
      <c r="D6" s="434"/>
      <c r="E6" s="434" t="str">
        <f>IF([1]ACCUEIL!B1=1,"022 003 plastic manufacturing","022 003 fabrication de matière plastique")</f>
        <v>022 003 fabrication de matière plastique</v>
      </c>
    </row>
    <row r="7" spans="3:5" ht="25.5">
      <c r="C7" s="434" t="str">
        <f>IF([1]ACCUEIL!B1=1,"001 004 Condiment growing","001 004 Culture de condiments")</f>
        <v>001 004 Culture de condiments</v>
      </c>
      <c r="D7" s="434"/>
      <c r="E7" s="952" t="str">
        <f>IF([1]ACCUEIL!B1=1,"Manufacture of other non-metallic mineral products and building materials","Fabrication d'autres produits minéraux non métalliques et des matériaux de constructions")</f>
        <v>Fabrication d'autres produits minéraux non métalliques et des matériaux de constructions</v>
      </c>
    </row>
    <row r="8" spans="3:5">
      <c r="C8" s="434" t="str">
        <f>IF([1]ACCUEIL!B1=1,"001 005 Fruit cultivation","001 005 Culture de fruits")</f>
        <v>001 005 Culture de fruits</v>
      </c>
      <c r="D8" s="434"/>
      <c r="E8" s="434" t="str">
        <f>IF([1]ACCUEIL!B1=1,"023 001 glass industry","023 001 industrie du verre")</f>
        <v>023 001 industrie du verre</v>
      </c>
    </row>
    <row r="9" spans="3:5">
      <c r="C9" s="434" t="str">
        <f>IF([1]ACCUEIL!B1=1,"001 006 culture of other products food crops","001 006 Culture d'autres produits de l'agriculture vivrière")</f>
        <v>001 006 Culture d'autres produits de l'agriculture vivrière</v>
      </c>
      <c r="D9" s="434"/>
      <c r="E9" s="434" t="str">
        <f>IF([1]ACCUEIL!B1=1,"023 002 manufacturing mineral products for construction","023 002 fabrication de produits minéraux pour la construction")</f>
        <v>023 002 fabrication de produits minéraux pour la construction</v>
      </c>
    </row>
    <row r="10" spans="3:5">
      <c r="C10" s="951" t="str">
        <f>IF([1]ACCUEIL!B1=1,"Industrial and export agriculture","Agriculture industrielle et d'exportation")</f>
        <v>Agriculture industrielle et d'exportation</v>
      </c>
      <c r="D10" s="434"/>
      <c r="E10" s="434" t="str">
        <f>IF([1]ACCUEIL!B1=1,"023 003 manufacturing of other non-metallic products","023 003 fabrication d'autres produits non métalliques")</f>
        <v>023 003 fabrication d'autres produits non métalliques</v>
      </c>
    </row>
    <row r="11" spans="3:5">
      <c r="C11" s="953" t="str">
        <f>IF([1]ACCUEIL!B1=1,"002 001 cultivation of sugar cane","002 001 culture de canne à sucre")</f>
        <v>002 001 culture de canne à sucre</v>
      </c>
      <c r="D11" s="434"/>
      <c r="E11" s="951" t="str">
        <f>IF([1]ACCUEIL!B1=1,"Metallurgy and metalworking","Métallurgie et travail des métaux")</f>
        <v>Métallurgie et travail des métaux</v>
      </c>
    </row>
    <row r="12" spans="3:5">
      <c r="C12" s="434" t="str">
        <f>IF([1]ACCUEIL!B1=1,"002 002 oil peanut culture","002 002 culture d'arachide d'huilerie")</f>
        <v>002 002 culture d'arachide d'huilerie</v>
      </c>
      <c r="D12" s="434"/>
      <c r="E12" s="434" t="str">
        <f>IF([1]ACCUEIL!B1=1,"024 001 metallurgy","024 001 métallurgie")</f>
        <v>024 001 métallurgie</v>
      </c>
    </row>
    <row r="13" spans="3:5">
      <c r="C13" s="434" t="str">
        <f>IF([1]ACCUEIL!B1=1,"002 003 cultivation of groundnuts in the mouth","002 003 culture d'arachide de bouche")</f>
        <v>002 003 culture d'arachide de bouche</v>
      </c>
      <c r="D13" s="434"/>
      <c r="E13" s="434" t="str">
        <f>IF([1]ACCUEIL!B1=1,"024 002 metal working","024 002 travail des métaux")</f>
        <v>024 002 travail des métaux</v>
      </c>
    </row>
    <row r="14" spans="3:5">
      <c r="C14" s="434" t="str">
        <f>IF([1]ACCUEIL!B1=1,"002 004 tobacco growing","002 004 culture de tabac")</f>
        <v>002 004 culture de tabac</v>
      </c>
      <c r="D14" s="434"/>
      <c r="E14" s="951" t="str">
        <f>IF([1]ACCUEIL!B1=1,"Manufacture of electrical machinery, equipment and devices","Fabrication des machines, d'équipements et d'appareils électrique")</f>
        <v>Fabrication des machines, d'équipements et d'appareils électrique</v>
      </c>
    </row>
    <row r="15" spans="3:5">
      <c r="C15" s="434" t="str">
        <f>IF([1]ACCUEIL!B1=1,"002 005 cotton crop","002 005 culture coton")</f>
        <v>002 005 culture coton</v>
      </c>
      <c r="D15" s="434"/>
      <c r="E15" s="434" t="str">
        <f>IF([1]ACCUEIL!B1=1,"025 001 machinery and equipment manufacturing","025 001 fabrication de machines et d'équipement")</f>
        <v>025 001 fabrication de machines et d'équipement</v>
      </c>
    </row>
    <row r="16" spans="3:5">
      <c r="C16" s="434" t="str">
        <f>IF([1]ACCUEIL!B1=1,"002 006 Culture du blé","002 006 culture de blé")</f>
        <v>002 006 culture de blé</v>
      </c>
      <c r="D16" s="434"/>
      <c r="E16" s="434" t="str">
        <f>IF([1]ACCUEIL!B1=1,"025 002 office machine manufacturing","025 002 fabrication de machines de bureaux")</f>
        <v>025 002 fabrication de machines de bureaux</v>
      </c>
    </row>
    <row r="17" spans="3:6">
      <c r="C17" s="434" t="str">
        <f>IF([1]ACCUEIL!B1=1,"002 007 cocoa growing","002 007 culture de cacao")</f>
        <v>002 007 culture de cacao</v>
      </c>
      <c r="D17" s="434"/>
      <c r="E17" s="434" t="str">
        <f>IF([1]ACCUEIL!B1=1,"025 003 electrical appliance manufacturing","025 003 fabrication d'appareil électrique")</f>
        <v>025 003 fabrication d'appareil électrique</v>
      </c>
    </row>
    <row r="18" spans="3:6" ht="25.5">
      <c r="C18" s="434" t="str">
        <f>IF([1]ACCUEIL!B1=1,"002 008 coffee culture","002 008 culture de café")</f>
        <v>002 008 culture de café</v>
      </c>
      <c r="D18" s="434"/>
      <c r="E18" s="952" t="str">
        <f>IF([1]ACCUEIL!B1=1,"Manufacturing of audiovisual and communication equipment and apparatus:","Fabrication d'équipement et appareil audiovisuels et de la communication:")</f>
        <v>Fabrication d'équipement et appareil audiovisuels et de la communication:</v>
      </c>
    </row>
    <row r="19" spans="3:6">
      <c r="C19" s="434" t="str">
        <f>IF([1]ACCUEIL!B1=1,"002 009 export banana growing","002 009 culture de banane d'exportation ")</f>
        <v xml:space="preserve">002 009 culture de banane d'exportation </v>
      </c>
      <c r="D19" s="434"/>
      <c r="E19" s="951" t="str">
        <f>IF([1]ACCUEIL!B1=1,"Manufacture of medical instruments, optics and watches","Fabrication d'instruments médicaux, d'optiques et d'horlogerie")</f>
        <v>Fabrication d'instruments médicaux, d'optiques et d'horlogerie</v>
      </c>
    </row>
    <row r="20" spans="3:6" ht="25.5">
      <c r="C20" s="434" t="str">
        <f>IF([1]ACCUEIL!B1=1,"002 010 pineapple export cultivation 002 011 other industrial crops","002 010 culture d'ananas d'exportation 002 011  autres cultures industrielles")</f>
        <v>002 010 culture d'ananas d'exportation 002 011  autres cultures industrielles</v>
      </c>
      <c r="D20" s="434"/>
      <c r="E20" s="954" t="str">
        <f>IF([1]ACCUEIL!B1=1,"026 001 manufacturing of audiovisual and communication equipment and devices","026 001 fabrication d'équipements et appareils audiovisuels et de communication")</f>
        <v>026 001 fabrication d'équipements et appareils audiovisuels et de communication</v>
      </c>
    </row>
    <row r="21" spans="3:6">
      <c r="C21" s="951" t="str">
        <f>IF([1]ACCUEIL!B1=1,"Breeding and hunting","Élevage et chasse ")</f>
        <v xml:space="preserve">Élevage et chasse </v>
      </c>
      <c r="D21" s="434"/>
      <c r="E21" s="434" t="str">
        <f>IF([1]ACCUEIL!B1=1,"026 002 manufacture of medical instruments, optics and timepieces","026 002 fabrication d'instruments médicaux, d'optiques et d'horlogerie")</f>
        <v>026 002 fabrication d'instruments médicaux, d'optiques et d'horlogerie</v>
      </c>
    </row>
    <row r="22" spans="3:6">
      <c r="C22" s="434" t="str">
        <f>IF([1]ACCUEIL!B1=1,"003 001 cattle breeding","003 001 élevage bovin")</f>
        <v>003 001 élevage bovin</v>
      </c>
      <c r="D22" s="434"/>
      <c r="E22" s="951" t="str">
        <f>IF([1]ACCUEIL!B1=1,"Transport equipment manufacturing","Fabrication de matériels de transports")</f>
        <v>Fabrication de matériels de transports</v>
      </c>
    </row>
    <row r="23" spans="3:6">
      <c r="C23" s="434" t="str">
        <f>IF([1]ACCUEIL!B1=1,"003 002 equine goat sheep farming","003 002 élevage ovin caprin équin")</f>
        <v>003 002 élevage ovin caprin équin</v>
      </c>
      <c r="D23" s="434"/>
      <c r="E23" s="434" t="str">
        <f>IF([1]ACCUEIL!B1=1,"027 001 manufacturing of road vehicles","027 001 fabrication de véhicules routiers")</f>
        <v>027 001 fabrication de véhicules routiers</v>
      </c>
    </row>
    <row r="24" spans="3:6">
      <c r="C24" s="434" t="str">
        <f>IF([1]ACCUEIL!B1=1,"003 003 poultry farming","003 003 élevage de volailles")</f>
        <v>003 003 élevage de volailles</v>
      </c>
      <c r="D24" s="434"/>
      <c r="E24" s="434" t="str">
        <f>IF([1]ACCUEIL!B1=1,"027 002 manufacture of other transport equipment","027 002 fabrication d'autres matériels de transport")</f>
        <v>027 002 fabrication d'autres matériels de transport</v>
      </c>
    </row>
    <row r="25" spans="3:6">
      <c r="C25" s="434" t="str">
        <f>IF([1]ACCUEIL!B1=1,"003 004 other farms","003 004 autres élevages ")</f>
        <v xml:space="preserve">003 004 autres élevages </v>
      </c>
      <c r="D25" s="434"/>
      <c r="E25" s="951" t="str">
        <f>IF([1]ACCUEIL!B1=1,"Various industries","Industries diverses")</f>
        <v>Industries diverses</v>
      </c>
    </row>
    <row r="26" spans="3:6">
      <c r="C26" s="434" t="str">
        <f>IF([1]ACCUEIL!B1=1,"003 005 hunting","003 005 chasse")</f>
        <v>003 005 chasse</v>
      </c>
      <c r="D26" s="434"/>
      <c r="E26" s="434" t="str">
        <f>IF([1]ACCUEIL!B1=1,"028 001 furniture manufacturing","028 001 fabrication de meubles ")</f>
        <v xml:space="preserve">028 001 fabrication de meubles </v>
      </c>
    </row>
    <row r="27" spans="3:6">
      <c r="C27" s="434" t="str">
        <f>IF([1]ACCUEIL!B1=1,"Forestry exploitation forest","sylviculture exploitation forestière")</f>
        <v>sylviculture exploitation forestière</v>
      </c>
      <c r="D27" s="434"/>
      <c r="E27" s="434" t="str">
        <f>IF([1]ACCUEIL!B1=1,"028 002 various industries","028 002 industries diverses")</f>
        <v>028 002 industries diverses</v>
      </c>
    </row>
    <row r="28" spans="3:6">
      <c r="C28" s="434" t="str">
        <f>IF([1]ACCUEIL!B1=1,"004 001 forestry","004 001 sylviculture ")</f>
        <v xml:space="preserve">004 001 sylviculture </v>
      </c>
      <c r="D28" s="434"/>
      <c r="E28" s="951" t="str">
        <f>IF([1]ACCUEIL!B1=1,"Production and distribution of water, electricity and gas","Production et distribution d'eau, d'électricité et de gaz")</f>
        <v>Production et distribution d'eau, d'électricité et de gaz</v>
      </c>
    </row>
    <row r="29" spans="3:6">
      <c r="C29" s="434" t="str">
        <f>IF([1]ACCUEIL!B1=1,"004 002 logging business","004 002 exploitation forestière ")</f>
        <v xml:space="preserve">004 002 exploitation forestière </v>
      </c>
      <c r="D29" s="434"/>
      <c r="E29" s="434" t="str">
        <f>IF([1]ACCUEIL!B1=1,"029 001 production, transport and distribution of electricity","029 001 production, transport et distribution d'électricité")</f>
        <v>029 001 production, transport et distribution d'électricité</v>
      </c>
    </row>
    <row r="30" spans="3:6" ht="23.25" customHeight="1">
      <c r="C30" s="951" t="str">
        <f>IF([1]ACCUEIL!B1=1,"Fisheries and aquaculture","Pêche et aquaculture ")</f>
        <v xml:space="preserve">Pêche et aquaculture </v>
      </c>
      <c r="D30" s="434"/>
      <c r="E30" s="434" t="str">
        <f>IF([1]ACCUEIL!B1=1,"029 002 catchment and distribution water supply ","029 002 captage, épuration et distribution d'eau")</f>
        <v>029 002 captage, épuration et distribution d'eau</v>
      </c>
      <c r="F30" s="955"/>
    </row>
    <row r="31" spans="3:6">
      <c r="C31" s="434" t="str">
        <f>IF([1]ACCUEIL!B1=1,"005 001 fish fishing","005 001 pêche de poissons")</f>
        <v>005 001 pêche de poissons</v>
      </c>
      <c r="D31" s="434"/>
      <c r="E31" s="434" t="str">
        <f>IF([1]ACCUEIL!B1=1,"029 003 production gas distribution","029 003 production distribution de gaz")</f>
        <v>029 003 production distribution de gaz</v>
      </c>
    </row>
    <row r="32" spans="3:6">
      <c r="C32" s="434" t="str">
        <f>IF([1]ACCUEIL!B1=1,"005 003 other fisheries and aquacultures","005 003 autres pêches et aquacultures")</f>
        <v>005 003 autres pêches et aquacultures</v>
      </c>
      <c r="D32" s="434"/>
      <c r="E32" s="951" t="s">
        <v>309</v>
      </c>
    </row>
    <row r="33" spans="3:5">
      <c r="C33" s="951" t="str">
        <f>IF([1]ACCUEIL!B1=1,"Extractive industries","Industries extractives")</f>
        <v>Industries extractives</v>
      </c>
      <c r="D33" s="434"/>
      <c r="E33" s="434" t="str">
        <f>IF([1]ACCUEIL!B1=1,"030 001 site preparation and construction of works","030 001 préparation de sites et construction d'ouvrage")</f>
        <v>030 001 préparation de sites et construction d'ouvrage</v>
      </c>
    </row>
    <row r="34" spans="3:5">
      <c r="C34" s="434" t="str">
        <f>IF([1]ACCUEIL!B1=1,"006 001 extraction of hydrocarbons","006 001 extraction d'hydrocarbures  ")</f>
        <v xml:space="preserve">006 001 extraction d'hydrocarbures  </v>
      </c>
      <c r="D34" s="434"/>
      <c r="E34" s="434" t="str">
        <f>IF([1]ACCUEIL!B1=1,"030 002 installation and finishing work","030 002 travaux d'installation et de finition")</f>
        <v>030 002 travaux d'installation et de finition</v>
      </c>
    </row>
    <row r="35" spans="3:5">
      <c r="C35" s="434" t="str">
        <f>IF([1]ACCUEIL!B1=1,"006 002 extractions of other products;","006 002 extractions d'autres produits")</f>
        <v>006 002 extractions d'autres produits</v>
      </c>
      <c r="D35" s="434"/>
      <c r="E35" s="951" t="str">
        <f>IF([1]ACCUEIL!B1=1,"Trade"," Commerce")</f>
        <v xml:space="preserve"> Commerce</v>
      </c>
    </row>
    <row r="36" spans="3:5">
      <c r="C36" s="951" t="str">
        <f>IF([1]ACCUEIL!B1=1,"meat and fish production","production de viande et de poissons")</f>
        <v>production de viande et de poissons</v>
      </c>
      <c r="D36" s="434"/>
      <c r="E36" s="434" t="str">
        <f>IF([1]ACCUEIL!B1=1,"031 001 trade in  accessories vehicle and fuel ","031 001 commerces de véhicules d'accessoires et carburant")</f>
        <v>031 001 commerces de véhicules d'accessoires et carburant</v>
      </c>
    </row>
    <row r="37" spans="3:5">
      <c r="C37" s="434" t="str">
        <f>IF([1]ACCUEIL!B1=1,"007 001 production of meat and meat products","007 001 production de viande et de produit a base de viande")</f>
        <v>007 001 production de viande et de produit a base de viande</v>
      </c>
      <c r="D37" s="434"/>
      <c r="E37" s="434" t="str">
        <f>IF([1]ACCUEIL!B1=1,"031002 trade in raw products and live animals","031 002 commerces de produits bruts et d'animaux vivants")</f>
        <v>031 002 commerces de produits bruts et d'animaux vivants</v>
      </c>
    </row>
    <row r="38" spans="3:5">
      <c r="C38" s="434" t="str">
        <f>IF([1]ACCUEIL!B1=1,"007 002 production of fish and fish products","007 002 production de poissons et de produits à base de poisson")</f>
        <v>007 002 production de poissons et de produits à base de poisson</v>
      </c>
      <c r="D38" s="434"/>
      <c r="E38" s="434" t="str">
        <f>IF([1]ACCUEIL!B1=1,"031 003 other shops","031 003 autres commerces ")</f>
        <v xml:space="preserve">031 003 autres commerces </v>
      </c>
    </row>
    <row r="39" spans="3:5">
      <c r="C39" s="951" t="str">
        <f>IF([1]ACCUEIL!B1=1,"grain processing and production of starch products","travail de grains et fabrication de produits amylacés")</f>
        <v>travail de grains et fabrication de produits amylacés</v>
      </c>
      <c r="D39" s="434"/>
      <c r="E39" s="951" t="str">
        <f>IF([1]ACCUEIL!B1=1,"Repairs","Réparations")</f>
        <v>Réparations</v>
      </c>
    </row>
    <row r="40" spans="3:5">
      <c r="C40" s="434" t="str">
        <f>IF([1]ACCUEIL!B1=1,"008,000 grain work and starch product manufacturing","008 000 travail de grain et fabrication de produit amylacés")</f>
        <v>008 000 travail de grain et fabrication de produit amylacés</v>
      </c>
      <c r="D40" s="434"/>
      <c r="E40" s="434" t="str">
        <f>IF([1]ACCUEIL!B1=1,"032 001 maintenance and repair of motor vehicles","032 001 entretien et réparation de véhicules automobiles")</f>
        <v>032 001 entretien et réparation de véhicules automobiles</v>
      </c>
    </row>
    <row r="41" spans="3:5">
      <c r="C41" s="951" t="str">
        <f>IF([1]ACCUEIL!B1=1,"coffee and cocoa processing","transformation du café et du cacao")</f>
        <v>transformation du café et du cacao</v>
      </c>
      <c r="D41" s="434"/>
      <c r="E41" s="434" t="str">
        <f>IF([1]ACCUEIL!B1=1,"032 002 repairs to property, personal and household","032 002 réparations de biens, personnels et domestiques")</f>
        <v>032 002 réparations de biens, personnels et domestiques</v>
      </c>
    </row>
    <row r="42" spans="3:5">
      <c r="C42" s="434" t="str">
        <f>IF([1]ACCUEIL!B1=1,"009 001 coffee processing","009 001 transformation du café")</f>
        <v>009 001 transformation du café</v>
      </c>
      <c r="D42" s="434"/>
      <c r="E42" s="951" t="str">
        <f>IF([1]ACCUEIL!B1=1,"hotels, restaurants","hôtels, restaurants")</f>
        <v>hôtels, restaurants</v>
      </c>
    </row>
    <row r="43" spans="3:5">
      <c r="C43" s="434" t="str">
        <f>IF([1]ACCUEIL!B1=1,"009 002 cocoa processing","009 002 transformation du cacao")</f>
        <v>009 002 transformation du cacao</v>
      </c>
      <c r="D43" s="434"/>
      <c r="E43" s="434" t="str">
        <f>IF([1]ACCUEIL!B1=1,"033 001 hôtels","033 001 hôtels")</f>
        <v>033 001 hôtels</v>
      </c>
    </row>
    <row r="44" spans="3:5">
      <c r="C44" s="951" t="str">
        <f>IF([1]ACCUEIL!B1=1,"Oilseed industries","Industries des oléagineux")</f>
        <v>Industries des oléagineux</v>
      </c>
      <c r="D44" s="434"/>
      <c r="E44" s="434" t="str">
        <f>IF([1]ACCUEIL!B1=1,"033 002 bars and restaurants","033 002 bars et restaurants")</f>
        <v>033 002 bars et restaurants</v>
      </c>
    </row>
    <row r="45" spans="3:5">
      <c r="C45" s="434" t="str">
        <f>IF([1]ACCUEIL!B1=1,"010 001 crude oil and oil cake","010 001 huile brut et tourteaux")</f>
        <v>010 001 huile brut et tourteaux</v>
      </c>
      <c r="D45" s="434"/>
      <c r="E45" s="951" t="str">
        <f>IF([1]ACCUEIL!B1=1,"Transport and communication","Transport et communication")</f>
        <v>Transport et communication</v>
      </c>
    </row>
    <row r="46" spans="3:5">
      <c r="C46" s="434" t="str">
        <f>IF([1]ACCUEIL!B1=1,"010 002 other fatty substances","010 002 autres corps gras")</f>
        <v>010 002 autres corps gras</v>
      </c>
      <c r="D46" s="434"/>
      <c r="E46" s="434" t="str">
        <f>IF([1]ACCUEIL!B1=1,"034 001 transport ferroviaires","034 001 transport ferroviaires")</f>
        <v>034 001 transport ferroviaires</v>
      </c>
    </row>
    <row r="47" spans="3:5">
      <c r="C47" s="951" t="str">
        <f>IF([1]ACCUEIL!B1=1,"bakery, pastry and pasta alimentary","boulangerie, pâtisserie et pates d'alimentaires")</f>
        <v>boulangerie, pâtisserie et pates d'alimentaires</v>
      </c>
      <c r="D47" s="434"/>
      <c r="E47" s="434" t="str">
        <f>IF([1]ACCUEIL!B1=1,"034 002 road transport, transport by driving","034 002 transports routiers, transports par conduite")</f>
        <v>034 002 transports routiers, transports par conduite</v>
      </c>
    </row>
    <row r="48" spans="3:5">
      <c r="C48" s="434" t="str">
        <f>IF([1]ACCUEIL!B1=1,"011 001 manufacture of breads, cookies and pastry","011 001 fabrication de pains, de biscuits et de pâtisserie")</f>
        <v>011 001 fabrication de pains, de biscuits et de pâtisserie</v>
      </c>
      <c r="D48" s="434"/>
      <c r="E48" s="434" t="str">
        <f>IF([1]ACCUEIL!B1=1,"034 003 water transport","034 003 transport par eau")</f>
        <v>034 003 transport par eau</v>
      </c>
    </row>
    <row r="49" spans="3:5">
      <c r="C49" s="434" t="str">
        <f>IF([1]ACCUEIL!B1=1,"011 002 manufacturer of alimentary pasta","011 002 fabrication de pâte alimentaire")</f>
        <v>011 002 fabrication de pâte alimentaire</v>
      </c>
      <c r="D49" s="434"/>
      <c r="E49" s="434" t="str">
        <f>IF([1]ACCUEIL!B1=1,"034 004 air transport","034 004 transport aérien")</f>
        <v>034 004 transport aérien</v>
      </c>
    </row>
    <row r="50" spans="3:5">
      <c r="C50" s="951" t="str">
        <f>IF([1]ACCUEIL!B1=1,"Dairy industries","Industries laitières")</f>
        <v>Industries laitières</v>
      </c>
      <c r="D50" s="434"/>
      <c r="E50" s="434" t="str">
        <f>IF([1]ACCUEIL!B1=1,"034 005 ancillary and auxiliary services","034 005 services annexes et auxiliaire")</f>
        <v>034 005 services annexes et auxiliaire</v>
      </c>
    </row>
    <row r="51" spans="3:5">
      <c r="C51" s="434" t="str">
        <f>IF([1]ACCUEIL!B1=1,"012,000 dairy industry","012 000 industrie laitière")</f>
        <v>012 000 industrie laitière</v>
      </c>
      <c r="D51" s="434"/>
      <c r="E51" s="951" t="str">
        <f>IF([1]ACCUEIL!B1=1,"Post, telecommunications","Postes, télécommunications")</f>
        <v>Postes, télécommunications</v>
      </c>
    </row>
    <row r="52" spans="3:5" ht="25.5">
      <c r="C52" s="952" t="str">
        <f>IF([1]ACCUEIL!B1=1,"processing of fruits and vegetables and fabrication other food products","transformation des fruits, légumes et fabrication d'autres produits alimentaires")</f>
        <v>transformation des fruits, légumes et fabrication d'autres produits alimentaires</v>
      </c>
      <c r="D52" s="434"/>
      <c r="E52" s="434" t="str">
        <f>IF([1]ACCUEIL!B1=1,"035 001 post","035 001 postes")</f>
        <v>035 001 postes</v>
      </c>
    </row>
    <row r="53" spans="3:5">
      <c r="C53" s="434" t="str">
        <f>IF([1]ACCUEIL!B1=1,"013 001 sugar manufacturing","013 001 fabrication de sucre")</f>
        <v>013 001 fabrication de sucre</v>
      </c>
      <c r="D53" s="434"/>
      <c r="E53" s="434" t="str">
        <f>IF([1]ACCUEIL!B1=1,"035 002 telecommunications","035 002 télécommunications")</f>
        <v>035 002 télécommunications</v>
      </c>
    </row>
    <row r="54" spans="3:5">
      <c r="C54" s="951" t="str">
        <f>IF([1]ACCUEIL!B1=1,"013 002 manufacture of fruit and vegetable products","013 002 fabrication de produits à base de fruits et légumes ")</f>
        <v xml:space="preserve">013 002 fabrication de produits à base de fruits et légumes </v>
      </c>
      <c r="D54" s="434"/>
      <c r="E54" s="951" t="str">
        <f>IF([1]ACCUEIL!B1=1,"Financial activities","Activités financières ")</f>
        <v xml:space="preserve">Activités financières </v>
      </c>
    </row>
    <row r="55" spans="3:5">
      <c r="C55" s="434" t="str">
        <f>IF([1]ACCUEIL!B1=1,"013 003 manufacture of other food products","013 003 fabrication d'autres produits alimentaires ")</f>
        <v xml:space="preserve">013 003 fabrication d'autres produits alimentaires </v>
      </c>
      <c r="D55" s="434"/>
      <c r="E55" s="434" t="str">
        <f>IF([1]ACCUEIL!B1=1,"036 001 financial intermediation services","036 001 services d'intermédiation financières")</f>
        <v>036 001 services d'intermédiation financières</v>
      </c>
    </row>
    <row r="56" spans="3:5">
      <c r="C56" s="951" t="str">
        <f>IF([1]ACCUEIL!B1=1,"Beverage industry"," Industrie des boissons")</f>
        <v xml:space="preserve"> Industrie des boissons</v>
      </c>
      <c r="D56" s="434"/>
      <c r="E56" s="434" t="str">
        <f>IF([1]ACCUEIL!B1=1,"036 002 insurance (except social security)","036 002 assurances (sauf sécurité sociale)")</f>
        <v>036 002 assurances (sauf sécurité sociale)</v>
      </c>
    </row>
    <row r="57" spans="3:5">
      <c r="C57" s="434" t="str">
        <f>IF([1]ACCUEIL!B1=1,"014 001 breweries and malt houses","014 001 brasseries et malteries")</f>
        <v>014 001 brasseries et malteries</v>
      </c>
      <c r="D57" s="434"/>
      <c r="E57" s="434" t="str">
        <f>IF([1]ACCUEIL!B1=1,"036 003 financial and insurance auxiliaries","036 003 auxiliaires financières et d'assurances")</f>
        <v>036 003 auxiliaires financières et d'assurances</v>
      </c>
    </row>
    <row r="58" spans="3:5">
      <c r="C58" s="434" t="str">
        <f>IF([1]ACCUEIL!B1=1,"014 002 manufacture of other alcoholic beverages","014 002 fabrication d'autres boissons alcoolisées")</f>
        <v>014 002 fabrication d'autres boissons alcoolisées</v>
      </c>
      <c r="D58" s="434"/>
      <c r="E58" s="951" t="str">
        <f>IF([1]ACCUEIL!B1=1,"Real estate activities","Activités immobilières")</f>
        <v>Activités immobilières</v>
      </c>
    </row>
    <row r="59" spans="3:5">
      <c r="C59" s="434" t="str">
        <f>IF([1]ACCUEIL!B1=1,"014 003 manufacture of non-alcoholic beverages and mineral waters","014 003 fabrication de boissons non alcoolisées et d'eaux minérales")</f>
        <v>014 003 fabrication de boissons non alcoolisées et d'eaux minérales</v>
      </c>
      <c r="D59" s="434"/>
      <c r="E59" s="434" t="str">
        <f>IF([1]ACCUEIL!B1=1,"037 001 rental of real estate","037 001 location de biens immobiliers")</f>
        <v>037 001 location de biens immobiliers</v>
      </c>
    </row>
    <row r="60" spans="3:5">
      <c r="C60" s="951" t="str">
        <f>IF([1]ACCUEIL!B1=1,"Tobacco industries","Industries du tabac")</f>
        <v>Industries du tabac</v>
      </c>
      <c r="D60" s="434"/>
      <c r="E60" s="434" t="str">
        <f>IF([1]ACCUEIL!B1=1,"037 002 other real estate services","037 002 autres services immobiliers")</f>
        <v>037 002 autres services immobiliers</v>
      </c>
    </row>
    <row r="61" spans="3:5">
      <c r="C61" s="434" t="str">
        <f>IF([1]ACCUEIL!B1=1,"015,000 tobacco industry","015 000 industrie du tabac")</f>
        <v>015 000 industrie du tabac</v>
      </c>
      <c r="D61" s="434"/>
      <c r="E61" s="951" t="str">
        <f>IF([1]ACCUEIL!B1=1,"whole services","services aux entiés")</f>
        <v>services aux entiés</v>
      </c>
    </row>
    <row r="62" spans="3:5">
      <c r="C62" s="951" t="str">
        <f>IF([1]ACCUEIL!B1=1,"Textiles and clothing industry","Industrie textiles et habillement")</f>
        <v>Industrie textiles et habillement</v>
      </c>
      <c r="D62" s="434"/>
      <c r="E62" s="434" t="str">
        <f>IF([1]ACCUEIL!B1=1,"038 001 rentals without operator","038 001 locations sans operateur")</f>
        <v>038 001 locations sans operateur</v>
      </c>
    </row>
    <row r="63" spans="3:5">
      <c r="C63" s="434" t="str">
        <f>IF([1]ACCUEIL!B1=1,"016 001 textile industry","016 001 industrie textiles")</f>
        <v>016 001 industrie textiles</v>
      </c>
      <c r="D63" s="434"/>
      <c r="E63" s="434" t="str">
        <f>IF([1]ACCUEIL!B1=1,"038 002 IT activities","038 002 activités informatiques")</f>
        <v>038 002 activités informatiques</v>
      </c>
    </row>
    <row r="64" spans="3:5">
      <c r="C64" s="951" t="str">
        <f>IF([1]ACCUEIL!B1=1,"016,002 clothing industries","016 002 industries de l'habillement")</f>
        <v>016 002 industries de l'habillement</v>
      </c>
      <c r="D64" s="434"/>
      <c r="E64" s="434" t="str">
        <f>IF([1]ACCUEIL!B1=1,"038,003 services rendered mainly to entities","038 003 services rendus principalement aux entités")</f>
        <v>038 003 services rendus principalement aux entités</v>
      </c>
    </row>
    <row r="65" spans="3:5">
      <c r="C65" s="951" t="str">
        <f>IF([1]ACCUEIL!B1=1,"Leather and shoe industry","Industrie du cuir et de la chaussure")</f>
        <v>Industrie du cuir et de la chaussure</v>
      </c>
      <c r="D65" s="434"/>
      <c r="E65" s="951" t="str">
        <f>IF([1]ACCUEIL!B1=1,"Public administrations","Administrations publiques")</f>
        <v>Administrations publiques</v>
      </c>
    </row>
    <row r="66" spans="3:5">
      <c r="C66" s="434" t="str">
        <f>IF([1]ACCUEIL!B1=1,"017 001 manufacture of leather and leather goods","017 001 fabrication du cuir et d'article en cuir")</f>
        <v>017 001 fabrication du cuir et d'article en cuir</v>
      </c>
      <c r="D66" s="434"/>
      <c r="E66" s="434" t="str">
        <f>IF([1]ACCUEIL!B1=1,"039 001 general, economic and social administration","039 001 administration générale, économique et sociale")</f>
        <v>039 001 administration générale, économique et sociale</v>
      </c>
    </row>
    <row r="67" spans="3:5">
      <c r="C67" s="951" t="str">
        <f>IF([1]ACCUEIL!B1=1,"017 002 shoe manufacturing","017 002 fabrication de chaussure")</f>
        <v>017 002 fabrication de chaussure</v>
      </c>
      <c r="D67" s="434"/>
      <c r="E67" s="434" t="str">
        <f>IF([1]ACCUEIL!B1=1,"039 002 extension services, public","039 002 services de prorogatif, publique")</f>
        <v>039 002 services de prorogatif, publique</v>
      </c>
    </row>
    <row r="68" spans="3:5">
      <c r="C68" s="951" t="str">
        <f>IF([1]ACCUEIL!B1=1,"wood industry","industrie du bois")</f>
        <v>industrie du bois</v>
      </c>
      <c r="D68" s="434"/>
      <c r="E68" s="434" t="str">
        <f>IF([1]ACCUEIL!B1=1,"039 003 compulsory social security","039 003 sécurité sociale obligatoire")</f>
        <v>039 003 sécurité sociale obligatoire</v>
      </c>
    </row>
    <row r="69" spans="3:5">
      <c r="C69" s="434" t="str">
        <f>IF([1]ACCUEIL!B1=1,"018 001 sawing, planing and impregnation of wood","018 001 sciage, rabotage et imprégnation du bois")</f>
        <v>018 001 sciage, rabotage et imprégnation du bois</v>
      </c>
      <c r="D69" s="434"/>
      <c r="E69" s="951" t="str">
        <f>IF([1]ACCUEIL!B1=1,"Education","Éducation")</f>
        <v>Éducation</v>
      </c>
    </row>
    <row r="70" spans="3:5">
      <c r="C70" s="434" t="str">
        <f>IF([1]ACCUEIL!B1=1,"018 002 manufacture of wooden panels","018 002 fabrication des panneaux en bois")</f>
        <v>018 002 fabrication des panneaux en bois</v>
      </c>
      <c r="D70" s="434"/>
      <c r="E70" s="434" t="str">
        <f>IF([1]ACCUEIL!B1=1,"040,000 education","040 000 éducation")</f>
        <v>040 000 éducation</v>
      </c>
    </row>
    <row r="71" spans="3:5">
      <c r="C71" s="434" t="str">
        <f>IF([1]ACCUEIL!B1=1,"018 003 manufacture of assembled wooden articles","018 003 fabrication d'articles en bois assemblés")</f>
        <v>018 003 fabrication d'articles en bois assemblés</v>
      </c>
      <c r="D71" s="434"/>
      <c r="E71" s="951" t="str">
        <f>IF([1]ACCUEIL!B1=1,"Health and social work","Santé et action sociale")</f>
        <v>Santé et action sociale</v>
      </c>
    </row>
    <row r="72" spans="3:5">
      <c r="C72" s="951" t="str">
        <f>IF([1]ACCUEIL!B1=1,"Paper and board industry for publishing and printing","Industrie de papiers et cartons de l'édition et de l'imprimerie")</f>
        <v>Industrie de papiers et cartons de l'édition et de l'imprimerie</v>
      </c>
      <c r="D72" s="434"/>
      <c r="E72" s="434" t="str">
        <f>IF([1]ACCUEIL!B1=1,"041 001 activity for men's health","041 001 activité pour la santé des Hommes")</f>
        <v>041 001 activité pour la santé des Hommes</v>
      </c>
    </row>
    <row r="73" spans="3:5">
      <c r="C73" s="434" t="str">
        <f>IF([1]ACCUEIL!B1=1,"019 001 paper and cardboard industry","019 001 industrie du papier et du carton")</f>
        <v>019 001 industrie du papier et du carton</v>
      </c>
      <c r="D73" s="434"/>
      <c r="E73" s="434" t="str">
        <f>IF([1]ACCUEIL!B1=1,"041 002 veterinary activity","041 002 activité vétérinaire")</f>
        <v>041 002 activité vétérinaire</v>
      </c>
    </row>
    <row r="74" spans="3:5">
      <c r="C74" s="434" t="str">
        <f>IF([1]ACCUEIL!B1=1,"019 002 edition printing reproduction","019 002 édition imprimerie reproduction ")</f>
        <v xml:space="preserve">019 002 édition imprimerie reproduction </v>
      </c>
      <c r="D74" s="434"/>
      <c r="E74" s="434" t="str">
        <f>IF([1]ACCUEIL!B1=1,"041 003 social action","041 003 action sociale")</f>
        <v>041 003 action sociale</v>
      </c>
    </row>
    <row r="75" spans="3:5">
      <c r="C75" s="951" t="str">
        <f>IF([1]ACCUEIL!B1=1,"Oil refinery","Raffinage du pétrole ")</f>
        <v xml:space="preserve">Raffinage du pétrole </v>
      </c>
      <c r="D75" s="434"/>
      <c r="E75" s="951" t="str">
        <f>IF([1]ACCUEIL!B1=1,"collective, social and personal services","services collectifs, sociaux et personnels")</f>
        <v>services collectifs, sociaux et personnels</v>
      </c>
    </row>
    <row r="76" spans="3:5">
      <c r="C76" s="434" t="str">
        <f>IF([1]ACCUEIL!B11,"020,000 petroleum refining","020 000 raffinage de pétrole")</f>
        <v>020 000 raffinage de pétrole</v>
      </c>
      <c r="D76" s="434"/>
      <c r="E76" s="434" t="str">
        <f>IF([1]ACCUEIL!B1=1,"042 001 sanitation, roads and waste management","042 001 assainissement, voirie et gestion des déchets")</f>
        <v>042 001 assainissement, voirie et gestion des déchets</v>
      </c>
    </row>
    <row r="77" spans="3:5">
      <c r="C77" s="951" t="str">
        <f>IF([1]ACCUEIL!B1=1,"Chemical industries","Industries chimiques")</f>
        <v>Industries chimiques</v>
      </c>
      <c r="D77" s="434"/>
      <c r="E77" s="434" t="str">
        <f>IF([1]ACCUEIL!B1=1,"042 002 associative activity","042 002 activité associatives")</f>
        <v>042 002 activité associatives</v>
      </c>
    </row>
    <row r="78" spans="3:5">
      <c r="C78" s="434" t="str">
        <f>IF([1]ACCUEIL!B1=1,"021 001 basic chemical industry","021 001 industrie chimiques de base")</f>
        <v>021 001 industrie chimiques de base</v>
      </c>
      <c r="D78" s="434"/>
      <c r="E78" s="434" t="str">
        <f>IF([1]ACCUEIL!B1=1,"042 003 recreational, cultural and sporting activity","042 003 activité récréative, culturelles et sportives")</f>
        <v>042 003 activité récréative, culturelles et sportives</v>
      </c>
    </row>
    <row r="79" spans="3:5">
      <c r="C79" s="434" t="str">
        <f>IF([1]ACCUEIL!B1=1,"021 002 manufacture of soaps, detergents and cleaning products","021 002 fabrication de savons, de détergents et produits d'entretiens")</f>
        <v>021 002 fabrication de savons, de détergents et produits d'entretiens</v>
      </c>
      <c r="D79" s="434"/>
      <c r="E79" s="434" t="str">
        <f>IF([1]ACCUEIL!B1=1,"042 004 personal services","042 004 services personnels")</f>
        <v>042 004 services personnels</v>
      </c>
    </row>
    <row r="80" spans="3:5">
      <c r="C80" s="434" t="str">
        <f>IF([1]ACCUEIL!B1=1,"021 003 manufacture of agro-chemical products","021 003 fabrication de produits agro-chimiques")</f>
        <v>021 003 fabrication de produits agro-chimiques</v>
      </c>
      <c r="D80" s="434"/>
      <c r="E80" s="434" t="str">
        <f>IF([1]ACCUEIL!B1=1,"042 005 domestic services","042 005 services domestiques")</f>
        <v>042 005 services domestiques</v>
      </c>
    </row>
    <row r="81" spans="3:5">
      <c r="C81" s="434" t="str">
        <f>IF([1]ACCUEIL!B1=1,"021 004 pharmaceutical industry","021 004 industrie pharmaceutiques")</f>
        <v>021 004 industrie pharmaceutiques</v>
      </c>
      <c r="D81" s="434"/>
      <c r="E81" s="951" t="str">
        <f>IF([1]ACCUEIL!B1=1,"indirectly measured financial intermediation services","services d'intermédiation financière indirectement mesuré")</f>
        <v>services d'intermédiation financière indirectement mesuré</v>
      </c>
    </row>
    <row r="82" spans="3:5">
      <c r="C82" s="434" t="str">
        <f>IF([1]ACCUEIL!B1=1,"021 005 other chemicals","021 005 d'autres produits chimiques")</f>
        <v>021 005 d'autres produits chimiques</v>
      </c>
      <c r="D82" s="434"/>
      <c r="E82" s="434" t="str">
        <f>IF([1]ACCUEIL!B1=1,"043,000 financial intermediation services indirectly measured","043 000 services d'intermédiation financières indirectement mesuré")</f>
        <v>043 000 services d'intermédiation financières indirectement mesuré</v>
      </c>
    </row>
    <row r="83" spans="3:5">
      <c r="C83" s="951"/>
      <c r="D83" s="434"/>
      <c r="E83" s="951" t="str">
        <f>IF([1]ACCUEIL!B1=1,"territorial correction","correction territoriale")</f>
        <v>correction territoriale</v>
      </c>
    </row>
    <row r="84" spans="3:5">
      <c r="C84" s="434"/>
      <c r="D84" s="434"/>
      <c r="E84" s="434" t="str">
        <f>IF([1]ACCUEIL!B1=1,"044,000 territorial correction","044 000 correction territoriale")</f>
        <v>044 000 correction territoriale</v>
      </c>
    </row>
  </sheetData>
  <sheetProtection selectLockedCells="1" selectUnlockedCells="1"/>
  <pageMargins left="0.78740157480314965" right="0" top="0.59055118110236227" bottom="0.19685039370078741" header="0.31496062992125984" footer="0.31496062992125984"/>
  <pageSetup paperSize="9" scale="63" orientation="portrait" r:id="rId1"/>
  <headerFooter>
    <oddHeader>&amp;C&amp;"-,Gras"&amp;14Page &amp;P / &amp;N</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63489" r:id="rId4" name="Button 1">
              <controlPr defaultSize="0" print="0" autoFill="0" autoPict="0" macro="[1]!NOTES">
                <anchor moveWithCells="1" sizeWithCells="1">
                  <from>
                    <xdr:col>5</xdr:col>
                    <xdr:colOff>104775</xdr:colOff>
                    <xdr:row>0</xdr:row>
                    <xdr:rowOff>28575</xdr:rowOff>
                  </from>
                  <to>
                    <xdr:col>6</xdr:col>
                    <xdr:colOff>733425</xdr:colOff>
                    <xdr:row>2</xdr:row>
                    <xdr:rowOff>28575</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Feuil85"/>
  <dimension ref="A2:P276"/>
  <sheetViews>
    <sheetView showZeros="0" topLeftCell="D205" zoomScaleNormal="100" zoomScaleSheetLayoutView="80" workbookViewId="0">
      <selection activeCell="U12" sqref="U12"/>
    </sheetView>
  </sheetViews>
  <sheetFormatPr baseColWidth="10" defaultColWidth="11.42578125" defaultRowHeight="15"/>
  <cols>
    <col min="1" max="1" width="39.85546875" style="956" customWidth="1"/>
    <col min="2" max="2" width="12.7109375" style="956" customWidth="1"/>
    <col min="3" max="3" width="16.28515625" style="956" customWidth="1"/>
    <col min="4" max="4" width="11.42578125" style="956"/>
    <col min="5" max="5" width="13.7109375" style="956" customWidth="1"/>
    <col min="6" max="6" width="13.42578125" style="1070" customWidth="1"/>
    <col min="7" max="7" width="30.85546875" style="1070" customWidth="1"/>
    <col min="8" max="8" width="20.85546875" style="956" customWidth="1"/>
    <col min="9" max="9" width="18.28515625" style="956" customWidth="1"/>
    <col min="10" max="10" width="18" style="956" bestFit="1" customWidth="1"/>
    <col min="11" max="11" width="9.85546875" style="956" customWidth="1"/>
    <col min="12" max="13" width="0" style="956" hidden="1" customWidth="1"/>
    <col min="14" max="14" width="9.42578125" style="956" hidden="1" customWidth="1"/>
    <col min="15" max="15" width="9.5703125" style="956" hidden="1" customWidth="1"/>
    <col min="16" max="16" width="8.7109375" style="956" hidden="1" customWidth="1"/>
    <col min="17" max="16384" width="11.42578125" style="956"/>
  </cols>
  <sheetData>
    <row r="2" spans="2:15">
      <c r="B2" s="2156" t="str">
        <f>IF([1]ACCUEIL!B1=1,"NORMAL SYSTEM","SYSTÈME NORMAL")</f>
        <v>SYSTÈME NORMAL</v>
      </c>
      <c r="C2" s="2157"/>
      <c r="D2" s="2158"/>
      <c r="E2" s="2158"/>
      <c r="F2" s="2159"/>
      <c r="G2" s="2160" t="str">
        <f>IF([1]ACCUEIL!B1=1,"ADDITIONAL STATEMENT N ° 1 PAGE 1/4","ETAT COMPLEMENTAIRE N°1 PAGE 1/4")</f>
        <v>ETAT COMPLEMENTAIRE N°1 PAGE 1/4</v>
      </c>
      <c r="H2" s="2161"/>
      <c r="I2" s="2162"/>
      <c r="J2" s="399"/>
      <c r="K2" s="399"/>
    </row>
    <row r="3" spans="2:15">
      <c r="B3" s="957" t="str">
        <f>'NOTE 34'!B4</f>
        <v>Désignation entité:</v>
      </c>
      <c r="C3" s="958"/>
      <c r="D3" s="959" t="str">
        <f>+'[1]COMPLEMENT TABLEAU 13'!C4</f>
        <v/>
      </c>
      <c r="E3" s="960"/>
      <c r="F3" s="960"/>
      <c r="G3" s="960"/>
      <c r="H3" s="960"/>
      <c r="I3" s="960"/>
      <c r="J3" s="398"/>
      <c r="K3" s="398"/>
    </row>
    <row r="4" spans="2:15">
      <c r="B4" s="961" t="str">
        <f>'NOTE 34'!B5</f>
        <v>Sigle usuel :</v>
      </c>
      <c r="C4" s="962"/>
      <c r="D4" s="963" t="str">
        <f>+'[1]COMPLEMENT TABLEAU 13'!C5</f>
        <v/>
      </c>
      <c r="E4" s="964"/>
      <c r="F4" s="965"/>
      <c r="G4" s="965"/>
      <c r="H4" s="964"/>
      <c r="I4" s="964"/>
      <c r="J4" s="403"/>
      <c r="K4" s="403"/>
    </row>
    <row r="5" spans="2:15">
      <c r="B5" s="961" t="str">
        <f>'NOTE 34'!B6</f>
        <v>Adresse:</v>
      </c>
      <c r="D5" s="966">
        <f>+'[1]COMPLEMENT TABLEAU 13'!C6</f>
        <v>0</v>
      </c>
      <c r="E5" s="960"/>
      <c r="F5" s="960"/>
      <c r="G5" s="960"/>
      <c r="H5" s="960"/>
      <c r="I5" s="960"/>
      <c r="J5" s="967" t="str">
        <f>'NOTE 34'!G6</f>
        <v>BP:</v>
      </c>
      <c r="K5" s="968" t="str">
        <f>+'[1]COMPLEMENT TABLEAU 13'!H6</f>
        <v/>
      </c>
    </row>
    <row r="6" spans="2:15">
      <c r="B6" s="961" t="str">
        <f>'NOTE 34'!B7</f>
        <v>Numéro d'identification:</v>
      </c>
      <c r="C6" s="958"/>
      <c r="D6" s="969" t="str">
        <f>+'[1]COMPLEMENT TABLEAU 13'!C7</f>
        <v/>
      </c>
      <c r="E6" s="964"/>
      <c r="F6" s="965"/>
      <c r="G6" s="970"/>
      <c r="H6" s="971" t="str">
        <f>'NOTE 34'!D7</f>
        <v xml:space="preserve">   Exercice clos le 31 - 12- </v>
      </c>
      <c r="I6" s="972">
        <f>+'[1]COMPLEMENT TABLEAU 13'!F7</f>
        <v>2025</v>
      </c>
      <c r="J6" s="971" t="str">
        <f>'NOTE 34'!G7</f>
        <v xml:space="preserve">    Durée (en mois):</v>
      </c>
      <c r="K6" s="973">
        <f>+'[1]COMPLEMENT TABLEAU 13'!H7</f>
        <v>12</v>
      </c>
    </row>
    <row r="7" spans="2:15">
      <c r="B7" s="957"/>
      <c r="C7" s="957"/>
      <c r="D7" s="957"/>
      <c r="E7" s="399"/>
      <c r="F7" s="399"/>
      <c r="G7" s="399"/>
      <c r="H7" s="399"/>
      <c r="I7" s="399"/>
      <c r="J7" s="399"/>
      <c r="K7" s="399"/>
    </row>
    <row r="8" spans="2:15">
      <c r="B8" s="1617" t="str">
        <f>IF([1]ACCUEIL!B1=1,"SUPPLEMENTARY STATE GENERAL DIRECTORATE OF TAXES / NATIONAL ACCOUNTING","ETAT COMPLEMENTAIRE DIRECTION GENERALE DES IMPOTS / COMPTABILITE NATIONALE")</f>
        <v>ETAT COMPLEMENTAIRE DIRECTION GENERALE DES IMPOTS / COMPTABILITE NATIONALE</v>
      </c>
      <c r="C8" s="1617"/>
      <c r="D8" s="1617"/>
      <c r="E8" s="1617"/>
      <c r="F8" s="1617"/>
      <c r="G8" s="1617"/>
      <c r="H8" s="1617"/>
      <c r="I8" s="1617"/>
      <c r="J8" s="1617"/>
      <c r="K8" s="1617"/>
    </row>
    <row r="9" spans="2:15">
      <c r="B9" s="974"/>
      <c r="C9" s="399"/>
      <c r="D9" s="399"/>
      <c r="E9" s="399"/>
      <c r="F9" s="399"/>
      <c r="G9" s="399"/>
      <c r="H9" s="399"/>
      <c r="I9" s="399"/>
      <c r="J9" s="975"/>
      <c r="K9" s="975"/>
    </row>
    <row r="10" spans="2:15">
      <c r="B10" s="976"/>
      <c r="C10" s="977"/>
      <c r="D10" s="977"/>
      <c r="E10" s="977"/>
      <c r="F10" s="977"/>
      <c r="G10" s="978"/>
      <c r="H10" s="979"/>
      <c r="I10" s="979"/>
      <c r="J10" s="2163" t="str">
        <f>IF([1]ACCUEIL!B1=1,"Variations N / N-1","Variations N/N-1")</f>
        <v>Variations N/N-1</v>
      </c>
      <c r="K10" s="2164"/>
    </row>
    <row r="11" spans="2:15">
      <c r="B11" s="2153" t="str">
        <f>IF([1]ACCUEIL!B1=1,"DETAILS OF GNF LOADS","DETAIL DES CHARGES EN GNF")</f>
        <v>DETAIL DES CHARGES EN GNF</v>
      </c>
      <c r="C11" s="2154"/>
      <c r="D11" s="2154"/>
      <c r="E11" s="2154"/>
      <c r="F11" s="2154"/>
      <c r="G11" s="2155"/>
      <c r="H11" s="980" t="str">
        <f>'NOTE 34'!F10</f>
        <v xml:space="preserve">Année N </v>
      </c>
      <c r="I11" s="980" t="str">
        <f>'NOTE 34'!G10</f>
        <v>Année N-1</v>
      </c>
      <c r="J11" s="981" t="str">
        <f>IF([1]ACCUEIL!B1=1,"Value","En valeur ")</f>
        <v xml:space="preserve">En valeur </v>
      </c>
      <c r="K11" s="982" t="str">
        <f>IF([1]ACCUEIL!B1=1,"In %","En %")</f>
        <v>En %</v>
      </c>
    </row>
    <row r="12" spans="2:15">
      <c r="B12" s="983"/>
      <c r="C12" s="984"/>
      <c r="D12" s="984"/>
      <c r="E12" s="984"/>
      <c r="F12" s="984"/>
      <c r="G12" s="985"/>
      <c r="H12" s="986"/>
      <c r="I12" s="986"/>
      <c r="J12" s="987"/>
      <c r="K12" s="988"/>
    </row>
    <row r="13" spans="2:15">
      <c r="B13" s="989">
        <v>6011</v>
      </c>
      <c r="C13" s="990" t="str">
        <f>IF([1]ACCUEIL!B1=1,"Purchase of goods in the region","Achats de marchandises dans la région")</f>
        <v>Achats de marchandises dans la région</v>
      </c>
      <c r="D13" s="399"/>
      <c r="E13" s="399"/>
      <c r="F13" s="399"/>
      <c r="G13" s="399"/>
      <c r="H13" s="991">
        <f>'[1]CLASSE 6'!I6</f>
        <v>0</v>
      </c>
      <c r="I13" s="991">
        <f>'[1]CLASSE 6'!E6</f>
        <v>0</v>
      </c>
      <c r="J13" s="992">
        <f>H13-I13</f>
        <v>0</v>
      </c>
      <c r="K13" s="993">
        <f>IF(L13=0,0,O13)</f>
        <v>0</v>
      </c>
      <c r="L13" s="220">
        <f>H13-I13</f>
        <v>0</v>
      </c>
      <c r="M13" s="2">
        <f>IF(I13=0,1,IF(I13&lt;0,(H13-I13)/-I13,(H13-I13)/I13))</f>
        <v>1</v>
      </c>
      <c r="N13" s="2">
        <f>IF(L13=H13,IF(H13&lt;0,-1,0),0)</f>
        <v>0</v>
      </c>
      <c r="O13" s="2">
        <f>IF(N13=-1,-1,M13)</f>
        <v>1</v>
      </c>
    </row>
    <row r="14" spans="2:15">
      <c r="B14" s="989">
        <v>6012</v>
      </c>
      <c r="C14" s="990" t="str">
        <f>IF([1]ACCUEIL!B1=1,"Purchases of goods outside the region","Achats de marchandises hors région")</f>
        <v>Achats de marchandises hors région</v>
      </c>
      <c r="D14" s="399"/>
      <c r="E14" s="399"/>
      <c r="F14" s="399"/>
      <c r="G14" s="399"/>
      <c r="H14" s="991">
        <f>'[1]CLASSE 6'!I8</f>
        <v>0</v>
      </c>
      <c r="I14" s="991">
        <f>'[1]CLASSE 6'!E8</f>
        <v>0</v>
      </c>
      <c r="J14" s="992">
        <f t="shared" ref="J14:J77" si="0">H14-I14</f>
        <v>0</v>
      </c>
      <c r="K14" s="993">
        <f t="shared" ref="K14:K77" si="1">IF(L14=0,0,O14)</f>
        <v>0</v>
      </c>
      <c r="L14" s="220">
        <f t="shared" ref="L14:L77" si="2">H14-I14</f>
        <v>0</v>
      </c>
      <c r="M14" s="2">
        <f t="shared" ref="M14:M77" si="3">IF(I14=0,1,IF(I14&lt;0,(H14-I14)/-I14,(H14-I14)/I14))</f>
        <v>1</v>
      </c>
      <c r="N14" s="2">
        <f t="shared" ref="N14:N77" si="4">IF(L14=H14,IF(H14&lt;0,-1,0),0)</f>
        <v>0</v>
      </c>
      <c r="O14" s="2">
        <f t="shared" ref="O14:O77" si="5">IF(N14=-1,-1,M14)</f>
        <v>1</v>
      </c>
    </row>
    <row r="15" spans="2:15">
      <c r="B15" s="989">
        <v>6013</v>
      </c>
      <c r="C15" s="990" t="str">
        <f>IF([1]ACCUEIL!B1=1,"Purchases of goods from group entities in the region","Achats de marchandises aux entités du groupe dans la région")</f>
        <v>Achats de marchandises aux entités du groupe dans la région</v>
      </c>
      <c r="D15" s="399"/>
      <c r="E15" s="399"/>
      <c r="F15" s="399"/>
      <c r="G15" s="399"/>
      <c r="H15" s="991">
        <f>'[1]CLASSE 6'!I10</f>
        <v>0</v>
      </c>
      <c r="I15" s="991">
        <f>'[1]CLASSE 6'!E10</f>
        <v>0</v>
      </c>
      <c r="J15" s="992">
        <f t="shared" si="0"/>
        <v>0</v>
      </c>
      <c r="K15" s="993">
        <f t="shared" si="1"/>
        <v>0</v>
      </c>
      <c r="L15" s="220">
        <f t="shared" si="2"/>
        <v>0</v>
      </c>
      <c r="M15" s="2">
        <f t="shared" si="3"/>
        <v>1</v>
      </c>
      <c r="N15" s="2">
        <f t="shared" si="4"/>
        <v>0</v>
      </c>
      <c r="O15" s="2">
        <f t="shared" si="5"/>
        <v>1</v>
      </c>
    </row>
    <row r="16" spans="2:15">
      <c r="B16" s="989">
        <v>6014</v>
      </c>
      <c r="C16" s="990" t="str">
        <f>IF([1]ACCUEIL!B1=1,"Purchases of goods from group entities outside the region","Achats de marchandises aux entités du groupe hors région")</f>
        <v>Achats de marchandises aux entités du groupe hors région</v>
      </c>
      <c r="D16" s="399"/>
      <c r="E16" s="399"/>
      <c r="F16" s="399"/>
      <c r="G16" s="399"/>
      <c r="H16" s="991">
        <f>'[1]CLASSE 6'!I12</f>
        <v>0</v>
      </c>
      <c r="I16" s="991">
        <f>'[1]CLASSE 6'!E12</f>
        <v>0</v>
      </c>
      <c r="J16" s="992">
        <f t="shared" si="0"/>
        <v>0</v>
      </c>
      <c r="K16" s="993">
        <f t="shared" si="1"/>
        <v>0</v>
      </c>
      <c r="L16" s="220">
        <f t="shared" si="2"/>
        <v>0</v>
      </c>
      <c r="M16" s="2">
        <f t="shared" si="3"/>
        <v>1</v>
      </c>
      <c r="N16" s="2">
        <f t="shared" si="4"/>
        <v>0</v>
      </c>
      <c r="O16" s="2">
        <f t="shared" si="5"/>
        <v>1</v>
      </c>
    </row>
    <row r="17" spans="2:15">
      <c r="B17" s="989">
        <v>6015</v>
      </c>
      <c r="C17" s="990" t="str">
        <f>IF([1]ACCUEIL!B1=1,"Fees on purchases","Frais sur achats")</f>
        <v>Frais sur achats</v>
      </c>
      <c r="D17" s="399"/>
      <c r="E17" s="399"/>
      <c r="F17" s="399"/>
      <c r="G17" s="399"/>
      <c r="H17" s="991">
        <f>'[1]CLASSE 6'!I14</f>
        <v>0</v>
      </c>
      <c r="I17" s="991">
        <f>'[1]CLASSE 6'!E14</f>
        <v>0</v>
      </c>
      <c r="J17" s="992">
        <f t="shared" si="0"/>
        <v>0</v>
      </c>
      <c r="K17" s="993">
        <f t="shared" si="1"/>
        <v>0</v>
      </c>
      <c r="L17" s="220">
        <f t="shared" si="2"/>
        <v>0</v>
      </c>
      <c r="M17" s="2">
        <f t="shared" si="3"/>
        <v>1</v>
      </c>
      <c r="N17" s="2">
        <f t="shared" si="4"/>
        <v>0</v>
      </c>
      <c r="O17" s="2">
        <f t="shared" si="5"/>
        <v>1</v>
      </c>
    </row>
    <row r="18" spans="2:15" ht="15.75" thickBot="1">
      <c r="B18" s="989">
        <v>6019</v>
      </c>
      <c r="C18" s="990" t="str">
        <f>IF([1]ACCUEIL!B1=1,"Rebates, discounts and rebates obtained (not broken down)","Rabais, remises et ristournes obtenus (non ventilés)")</f>
        <v>Rabais, remises et ristournes obtenus (non ventilés)</v>
      </c>
      <c r="D18" s="399"/>
      <c r="E18" s="399"/>
      <c r="F18" s="399"/>
      <c r="G18" s="399"/>
      <c r="H18" s="994">
        <f>-'[1]CLASSE 6'!J16</f>
        <v>0</v>
      </c>
      <c r="I18" s="994">
        <f>-'[1]CLASSE 6'!F16</f>
        <v>0</v>
      </c>
      <c r="J18" s="992">
        <f t="shared" si="0"/>
        <v>0</v>
      </c>
      <c r="K18" s="993">
        <f t="shared" si="1"/>
        <v>0</v>
      </c>
      <c r="L18" s="220">
        <f t="shared" si="2"/>
        <v>0</v>
      </c>
      <c r="M18" s="2">
        <f t="shared" si="3"/>
        <v>1</v>
      </c>
      <c r="N18" s="2">
        <f t="shared" si="4"/>
        <v>0</v>
      </c>
      <c r="O18" s="2">
        <f t="shared" si="5"/>
        <v>1</v>
      </c>
    </row>
    <row r="19" spans="2:15" ht="16.5" thickTop="1" thickBot="1">
      <c r="B19" s="995" t="s">
        <v>310</v>
      </c>
      <c r="C19" s="996"/>
      <c r="D19" s="997" t="str">
        <f>IF([1]ACCUEIL!B1=1,"Purchases of goods","Achats de marchandises")</f>
        <v>Achats de marchandises</v>
      </c>
      <c r="E19" s="997"/>
      <c r="F19" s="997"/>
      <c r="G19" s="997"/>
      <c r="H19" s="998">
        <f>SUM(H13:H18)</f>
        <v>0</v>
      </c>
      <c r="I19" s="998">
        <f>SUM(I13:I18)</f>
        <v>0</v>
      </c>
      <c r="J19" s="992">
        <f t="shared" si="0"/>
        <v>0</v>
      </c>
      <c r="K19" s="993">
        <f t="shared" si="1"/>
        <v>0</v>
      </c>
      <c r="L19" s="220">
        <f t="shared" si="2"/>
        <v>0</v>
      </c>
      <c r="M19" s="2">
        <f t="shared" si="3"/>
        <v>1</v>
      </c>
      <c r="N19" s="2">
        <f t="shared" si="4"/>
        <v>0</v>
      </c>
      <c r="O19" s="2">
        <f t="shared" si="5"/>
        <v>1</v>
      </c>
    </row>
    <row r="20" spans="2:15" ht="16.5" thickTop="1" thickBot="1">
      <c r="B20" s="989">
        <v>6031</v>
      </c>
      <c r="C20" s="990" t="str">
        <f>IF([1]ACCUEIL!B1=1,"Change in merchandise stocks","Variation des stocks de marchandises")</f>
        <v>Variation des stocks de marchandises</v>
      </c>
      <c r="D20" s="399"/>
      <c r="E20" s="399"/>
      <c r="F20" s="399"/>
      <c r="G20" s="399"/>
      <c r="H20" s="999">
        <f>'[1]CLASSE 6'!I34-'[1]CLASSE 6'!J34</f>
        <v>0</v>
      </c>
      <c r="I20" s="1000">
        <f>'[1]CLASSE 6'!E34-'[1]CLASSE 6'!F34</f>
        <v>0</v>
      </c>
      <c r="J20" s="992">
        <f t="shared" si="0"/>
        <v>0</v>
      </c>
      <c r="K20" s="993">
        <f t="shared" si="1"/>
        <v>0</v>
      </c>
      <c r="L20" s="220">
        <f t="shared" si="2"/>
        <v>0</v>
      </c>
      <c r="M20" s="2">
        <f t="shared" si="3"/>
        <v>1</v>
      </c>
      <c r="N20" s="2">
        <f t="shared" si="4"/>
        <v>0</v>
      </c>
      <c r="O20" s="2">
        <f t="shared" si="5"/>
        <v>1</v>
      </c>
    </row>
    <row r="21" spans="2:15" ht="16.5" thickTop="1" thickBot="1">
      <c r="B21" s="995" t="s">
        <v>311</v>
      </c>
      <c r="C21" s="996"/>
      <c r="D21" s="997" t="str">
        <f>IF([1]ACCUEIL!B1=1,"Inventory change","Variation de stocks")</f>
        <v>Variation de stocks</v>
      </c>
      <c r="E21" s="997"/>
      <c r="F21" s="997"/>
      <c r="G21" s="997"/>
      <c r="H21" s="998">
        <f>SUM(H20)</f>
        <v>0</v>
      </c>
      <c r="I21" s="998">
        <f>SUM(I20)</f>
        <v>0</v>
      </c>
      <c r="J21" s="992">
        <f t="shared" si="0"/>
        <v>0</v>
      </c>
      <c r="K21" s="993">
        <f t="shared" si="1"/>
        <v>0</v>
      </c>
      <c r="L21" s="220">
        <f t="shared" si="2"/>
        <v>0</v>
      </c>
      <c r="M21" s="2">
        <f t="shared" si="3"/>
        <v>1</v>
      </c>
      <c r="N21" s="2">
        <f t="shared" si="4"/>
        <v>0</v>
      </c>
      <c r="O21" s="2">
        <f t="shared" si="5"/>
        <v>1</v>
      </c>
    </row>
    <row r="22" spans="2:15" ht="15.75" thickTop="1">
      <c r="B22" s="989">
        <v>6021</v>
      </c>
      <c r="C22" s="990" t="str">
        <f>IF([1]ACCUEIL!B1=1,"Purchases of raw materials and related supplies in the region","Achats de matières premières et fournitures liées dans la région")</f>
        <v>Achats de matières premières et fournitures liées dans la région</v>
      </c>
      <c r="D22" s="399"/>
      <c r="E22" s="399"/>
      <c r="F22" s="399"/>
      <c r="G22" s="399"/>
      <c r="H22" s="1000">
        <f>'[1]CLASSE 6'!I20</f>
        <v>0</v>
      </c>
      <c r="I22" s="1000">
        <f>'[1]CLASSE 6'!E20</f>
        <v>0</v>
      </c>
      <c r="J22" s="992">
        <f t="shared" si="0"/>
        <v>0</v>
      </c>
      <c r="K22" s="993">
        <f t="shared" si="1"/>
        <v>0</v>
      </c>
      <c r="L22" s="220">
        <f t="shared" si="2"/>
        <v>0</v>
      </c>
      <c r="M22" s="2">
        <f t="shared" si="3"/>
        <v>1</v>
      </c>
      <c r="N22" s="2">
        <f t="shared" si="4"/>
        <v>0</v>
      </c>
      <c r="O22" s="2">
        <f t="shared" si="5"/>
        <v>1</v>
      </c>
    </row>
    <row r="23" spans="2:15">
      <c r="B23" s="989">
        <v>6022</v>
      </c>
      <c r="C23" s="990" t="str">
        <f>IF([1]ACCUEIL!B1=1,"Purchases of raw materials and related supplies outside the region","Achats de matières premières et fournitures liées hors région")</f>
        <v>Achats de matières premières et fournitures liées hors région</v>
      </c>
      <c r="D23" s="399"/>
      <c r="E23" s="399"/>
      <c r="F23" s="399"/>
      <c r="G23" s="399"/>
      <c r="H23" s="991">
        <f>'[1]CLASSE 6'!I22</f>
        <v>0</v>
      </c>
      <c r="I23" s="991">
        <f>'[1]CLASSE 6'!E22</f>
        <v>0</v>
      </c>
      <c r="J23" s="992">
        <f t="shared" si="0"/>
        <v>0</v>
      </c>
      <c r="K23" s="993">
        <f t="shared" si="1"/>
        <v>0</v>
      </c>
      <c r="L23" s="220">
        <f t="shared" si="2"/>
        <v>0</v>
      </c>
      <c r="M23" s="2">
        <f t="shared" si="3"/>
        <v>1</v>
      </c>
      <c r="N23" s="2">
        <f t="shared" si="4"/>
        <v>0</v>
      </c>
      <c r="O23" s="2">
        <f t="shared" si="5"/>
        <v>1</v>
      </c>
    </row>
    <row r="24" spans="2:15">
      <c r="B24" s="989">
        <v>6023</v>
      </c>
      <c r="C24" s="990" t="str">
        <f>IF([1]ACCUEIL!B1=1,"Purchases of raw materials and supplies related to group entities in the region","Achats de matières premières et fournitures liées aux entités du groupe dans la région")</f>
        <v>Achats de matières premières et fournitures liées aux entités du groupe dans la région</v>
      </c>
      <c r="D24" s="399"/>
      <c r="E24" s="399"/>
      <c r="F24" s="399"/>
      <c r="G24" s="399"/>
      <c r="H24" s="991">
        <f>'[1]CLASSE 6'!I24</f>
        <v>0</v>
      </c>
      <c r="I24" s="991">
        <f>'[1]CLASSE 6'!E24</f>
        <v>0</v>
      </c>
      <c r="J24" s="992">
        <f t="shared" si="0"/>
        <v>0</v>
      </c>
      <c r="K24" s="993">
        <f t="shared" si="1"/>
        <v>0</v>
      </c>
      <c r="L24" s="220">
        <f t="shared" si="2"/>
        <v>0</v>
      </c>
      <c r="M24" s="2">
        <f t="shared" si="3"/>
        <v>1</v>
      </c>
      <c r="N24" s="2">
        <f t="shared" si="4"/>
        <v>0</v>
      </c>
      <c r="O24" s="2">
        <f t="shared" si="5"/>
        <v>1</v>
      </c>
    </row>
    <row r="25" spans="2:15">
      <c r="B25" s="989">
        <v>6024</v>
      </c>
      <c r="C25" s="990" t="str">
        <f>IF([1]ACCUEIL!B1=1,"Purchases of raw materials and supplies related to group entities outside the region","Achats de matières premières et fournitures liées aux entités du groupe hors région")</f>
        <v>Achats de matières premières et fournitures liées aux entités du groupe hors région</v>
      </c>
      <c r="D25" s="399"/>
      <c r="E25" s="399"/>
      <c r="F25" s="399"/>
      <c r="G25" s="399"/>
      <c r="H25" s="991">
        <f>'[1]CLASSE 6'!I26</f>
        <v>0</v>
      </c>
      <c r="I25" s="991">
        <f>'[1]CLASSE 6'!E26</f>
        <v>0</v>
      </c>
      <c r="J25" s="992">
        <f t="shared" si="0"/>
        <v>0</v>
      </c>
      <c r="K25" s="993">
        <f t="shared" si="1"/>
        <v>0</v>
      </c>
      <c r="L25" s="220">
        <f t="shared" si="2"/>
        <v>0</v>
      </c>
      <c r="M25" s="2">
        <f t="shared" si="3"/>
        <v>1</v>
      </c>
      <c r="N25" s="2">
        <f t="shared" si="4"/>
        <v>0</v>
      </c>
      <c r="O25" s="2">
        <f t="shared" si="5"/>
        <v>1</v>
      </c>
    </row>
    <row r="26" spans="2:15">
      <c r="B26" s="989">
        <v>6025</v>
      </c>
      <c r="C26" s="990" t="str">
        <f>IF([1]ACCUEIL!B1=1,"Fees on purchases","Frais sur achats")</f>
        <v>Frais sur achats</v>
      </c>
      <c r="D26" s="399"/>
      <c r="E26" s="399"/>
      <c r="F26" s="399"/>
      <c r="G26" s="399"/>
      <c r="H26" s="991">
        <f>'[1]CLASSE 6'!I28</f>
        <v>0</v>
      </c>
      <c r="I26" s="991">
        <f>'[1]CLASSE 6'!E28</f>
        <v>0</v>
      </c>
      <c r="J26" s="992">
        <f t="shared" si="0"/>
        <v>0</v>
      </c>
      <c r="K26" s="993">
        <f t="shared" si="1"/>
        <v>0</v>
      </c>
      <c r="L26" s="220">
        <f t="shared" si="2"/>
        <v>0</v>
      </c>
      <c r="M26" s="2">
        <f t="shared" si="3"/>
        <v>1</v>
      </c>
      <c r="N26" s="2">
        <f t="shared" si="4"/>
        <v>0</v>
      </c>
      <c r="O26" s="2">
        <f t="shared" si="5"/>
        <v>1</v>
      </c>
    </row>
    <row r="27" spans="2:15" ht="15.75" thickBot="1">
      <c r="B27" s="989">
        <v>6029</v>
      </c>
      <c r="C27" s="990" t="str">
        <f>IF([1]ACCUEIL!B1=1,"Rebates, discounts and rebates obtained (not broken down)","Rabais, remises et ristournes obtenus (non ventilés)")</f>
        <v>Rabais, remises et ristournes obtenus (non ventilés)</v>
      </c>
      <c r="D27" s="399"/>
      <c r="E27" s="399"/>
      <c r="F27" s="399"/>
      <c r="G27" s="399"/>
      <c r="H27" s="1001">
        <f>-'[1]CLASSE 6'!J30</f>
        <v>0</v>
      </c>
      <c r="I27" s="1001">
        <f>-'[1]CLASSE 6'!F30</f>
        <v>0</v>
      </c>
      <c r="J27" s="992">
        <f t="shared" si="0"/>
        <v>0</v>
      </c>
      <c r="K27" s="993">
        <f t="shared" si="1"/>
        <v>0</v>
      </c>
      <c r="L27" s="220">
        <f t="shared" si="2"/>
        <v>0</v>
      </c>
      <c r="M27" s="2">
        <f t="shared" si="3"/>
        <v>1</v>
      </c>
      <c r="N27" s="2">
        <f t="shared" si="4"/>
        <v>0</v>
      </c>
      <c r="O27" s="2">
        <f t="shared" si="5"/>
        <v>1</v>
      </c>
    </row>
    <row r="28" spans="2:15" ht="16.5" thickTop="1" thickBot="1">
      <c r="B28" s="995" t="s">
        <v>111</v>
      </c>
      <c r="C28" s="996"/>
      <c r="D28" s="997" t="str">
        <f>IF([1]ACCUEIL!B1=1,"Purchases of raw materials and related supplies","Achats de matières premières et fournitures liées")</f>
        <v>Achats de matières premières et fournitures liées</v>
      </c>
      <c r="E28" s="997"/>
      <c r="F28" s="997"/>
      <c r="G28" s="997"/>
      <c r="H28" s="998">
        <f>SUM(H22:H27)</f>
        <v>0</v>
      </c>
      <c r="I28" s="998">
        <f>SUM(I22:I27)</f>
        <v>0</v>
      </c>
      <c r="J28" s="992">
        <f t="shared" si="0"/>
        <v>0</v>
      </c>
      <c r="K28" s="993">
        <f t="shared" si="1"/>
        <v>0</v>
      </c>
      <c r="L28" s="220">
        <f t="shared" si="2"/>
        <v>0</v>
      </c>
      <c r="M28" s="2">
        <f t="shared" si="3"/>
        <v>1</v>
      </c>
      <c r="N28" s="2">
        <f t="shared" si="4"/>
        <v>0</v>
      </c>
      <c r="O28" s="2">
        <f t="shared" si="5"/>
        <v>1</v>
      </c>
    </row>
    <row r="29" spans="2:15" ht="16.5" thickTop="1" thickBot="1">
      <c r="B29" s="989">
        <v>6032</v>
      </c>
      <c r="C29" s="990" t="str">
        <f>IF([1]ACCUEIL!B1=1,"Change in stocks of raw materials and related supplies","Variation des stocks de matières premières et fournitures liées")</f>
        <v>Variation des stocks de matières premières et fournitures liées</v>
      </c>
      <c r="D29" s="399"/>
      <c r="E29" s="399"/>
      <c r="F29" s="399"/>
      <c r="G29" s="399"/>
      <c r="H29" s="999">
        <f>'[1]CLASSE 6'!I36-'[1]CLASSE 6'!J36</f>
        <v>0</v>
      </c>
      <c r="I29" s="999">
        <f>'[1]CLASSE 6'!E36-'[1]CLASSE 6'!F36</f>
        <v>0</v>
      </c>
      <c r="J29" s="992">
        <f t="shared" si="0"/>
        <v>0</v>
      </c>
      <c r="K29" s="993">
        <f t="shared" si="1"/>
        <v>0</v>
      </c>
      <c r="L29" s="220">
        <f t="shared" si="2"/>
        <v>0</v>
      </c>
      <c r="M29" s="2">
        <f t="shared" si="3"/>
        <v>1</v>
      </c>
      <c r="N29" s="2">
        <f t="shared" si="4"/>
        <v>0</v>
      </c>
      <c r="O29" s="2">
        <f t="shared" si="5"/>
        <v>1</v>
      </c>
    </row>
    <row r="30" spans="2:15" ht="16.5" thickTop="1" thickBot="1">
      <c r="B30" s="995" t="s">
        <v>112</v>
      </c>
      <c r="C30" s="996"/>
      <c r="D30" s="997" t="str">
        <f>IF([1]ACCUEIL!B1=1,"Change in raw material stocks","Variation de stocks de matières premières")</f>
        <v>Variation de stocks de matières premières</v>
      </c>
      <c r="E30" s="997"/>
      <c r="F30" s="997"/>
      <c r="G30" s="997"/>
      <c r="H30" s="998">
        <f>SUM(H29)</f>
        <v>0</v>
      </c>
      <c r="I30" s="998">
        <f>SUM(I29)</f>
        <v>0</v>
      </c>
      <c r="J30" s="992">
        <f t="shared" si="0"/>
        <v>0</v>
      </c>
      <c r="K30" s="993">
        <f t="shared" si="1"/>
        <v>0</v>
      </c>
      <c r="L30" s="220">
        <f t="shared" si="2"/>
        <v>0</v>
      </c>
      <c r="M30" s="2">
        <f t="shared" si="3"/>
        <v>1</v>
      </c>
      <c r="N30" s="2">
        <f t="shared" si="4"/>
        <v>0</v>
      </c>
      <c r="O30" s="2">
        <f t="shared" si="5"/>
        <v>1</v>
      </c>
    </row>
    <row r="31" spans="2:15" ht="15.75" thickTop="1">
      <c r="B31" s="989">
        <v>6041</v>
      </c>
      <c r="C31" s="990" t="str">
        <f>IF([1]ACCUEIL!B1=1,"Consumable materials","Matières consommables")</f>
        <v>Matières consommables</v>
      </c>
      <c r="D31" s="399"/>
      <c r="E31" s="399"/>
      <c r="F31" s="399"/>
      <c r="G31" s="399"/>
      <c r="H31" s="1000">
        <f>'[1]CLASSE 6'!I42</f>
        <v>0</v>
      </c>
      <c r="I31" s="1000">
        <f>'[1]CLASSE 6'!E42</f>
        <v>0</v>
      </c>
      <c r="J31" s="992">
        <f t="shared" si="0"/>
        <v>0</v>
      </c>
      <c r="K31" s="993">
        <f t="shared" si="1"/>
        <v>0</v>
      </c>
      <c r="L31" s="220">
        <f t="shared" si="2"/>
        <v>0</v>
      </c>
      <c r="M31" s="2">
        <f t="shared" si="3"/>
        <v>1</v>
      </c>
      <c r="N31" s="2">
        <f t="shared" si="4"/>
        <v>0</v>
      </c>
      <c r="O31" s="2">
        <f t="shared" si="5"/>
        <v>1</v>
      </c>
    </row>
    <row r="32" spans="2:15">
      <c r="B32" s="989">
        <v>6042</v>
      </c>
      <c r="C32" s="990" t="str">
        <f>IF([1]ACCUEIL!B1=1,"Combustible materials","Matières combustibles")</f>
        <v>Matières combustibles</v>
      </c>
      <c r="D32" s="399"/>
      <c r="E32" s="399"/>
      <c r="F32" s="399"/>
      <c r="G32" s="399"/>
      <c r="H32" s="991">
        <f>'[1]CLASSE 6'!I44</f>
        <v>0</v>
      </c>
      <c r="I32" s="991">
        <f>'[1]CLASSE 6'!E44</f>
        <v>0</v>
      </c>
      <c r="J32" s="992">
        <f t="shared" si="0"/>
        <v>0</v>
      </c>
      <c r="K32" s="993">
        <f t="shared" si="1"/>
        <v>0</v>
      </c>
      <c r="L32" s="220">
        <f t="shared" si="2"/>
        <v>0</v>
      </c>
      <c r="M32" s="2">
        <f t="shared" si="3"/>
        <v>1</v>
      </c>
      <c r="N32" s="2">
        <f t="shared" si="4"/>
        <v>0</v>
      </c>
      <c r="O32" s="2">
        <f t="shared" si="5"/>
        <v>1</v>
      </c>
    </row>
    <row r="33" spans="2:15">
      <c r="B33" s="989">
        <v>6043</v>
      </c>
      <c r="C33" s="990" t="str">
        <f>IF([1]ACCUEIL!B1=1,"Maintenance products","Produits d'entretien")</f>
        <v>Produits d'entretien</v>
      </c>
      <c r="D33" s="399"/>
      <c r="E33" s="399"/>
      <c r="F33" s="399"/>
      <c r="G33" s="399"/>
      <c r="H33" s="991">
        <f>'[1]CLASSE 6'!I46</f>
        <v>0</v>
      </c>
      <c r="I33" s="991">
        <f>'[1]CLASSE 6'!E46</f>
        <v>0</v>
      </c>
      <c r="J33" s="992">
        <f t="shared" si="0"/>
        <v>0</v>
      </c>
      <c r="K33" s="993">
        <f t="shared" si="1"/>
        <v>0</v>
      </c>
      <c r="L33" s="220">
        <f t="shared" si="2"/>
        <v>0</v>
      </c>
      <c r="M33" s="2">
        <f t="shared" si="3"/>
        <v>1</v>
      </c>
      <c r="N33" s="2">
        <f t="shared" si="4"/>
        <v>0</v>
      </c>
      <c r="O33" s="2">
        <f t="shared" si="5"/>
        <v>1</v>
      </c>
    </row>
    <row r="34" spans="2:15">
      <c r="B34" s="989">
        <v>6044</v>
      </c>
      <c r="C34" s="990" t="str">
        <f>IF([1]ACCUEIL!B1=1,"Workshop and factory supplies","Fournitures d'atelier et d'usine")</f>
        <v>Fournitures d'atelier et d'usine</v>
      </c>
      <c r="D34" s="399"/>
      <c r="E34" s="399"/>
      <c r="F34" s="399"/>
      <c r="G34" s="399"/>
      <c r="H34" s="991">
        <f>'[1]CLASSE 6'!I48</f>
        <v>0</v>
      </c>
      <c r="I34" s="991">
        <f>'[1]CLASSE 6'!E48</f>
        <v>0</v>
      </c>
      <c r="J34" s="992">
        <f t="shared" si="0"/>
        <v>0</v>
      </c>
      <c r="K34" s="993">
        <f t="shared" si="1"/>
        <v>0</v>
      </c>
      <c r="L34" s="220">
        <f t="shared" si="2"/>
        <v>0</v>
      </c>
      <c r="M34" s="2">
        <f t="shared" si="3"/>
        <v>1</v>
      </c>
      <c r="N34" s="2">
        <f t="shared" si="4"/>
        <v>0</v>
      </c>
      <c r="O34" s="2">
        <f t="shared" si="5"/>
        <v>1</v>
      </c>
    </row>
    <row r="35" spans="2:15">
      <c r="B35" s="989">
        <v>6045</v>
      </c>
      <c r="C35" s="990" t="str">
        <f>IF([1]ACCUEIL!B1=1,"Fees on purchases","Frais sur achats")</f>
        <v>Frais sur achats</v>
      </c>
      <c r="D35" s="399"/>
      <c r="E35" s="399"/>
      <c r="F35" s="399"/>
      <c r="G35" s="399"/>
      <c r="H35" s="991">
        <f>'[1]CLASSE 6'!I50</f>
        <v>0</v>
      </c>
      <c r="I35" s="991">
        <f>'[1]CLASSE 6'!E50</f>
        <v>0</v>
      </c>
      <c r="J35" s="992">
        <f t="shared" si="0"/>
        <v>0</v>
      </c>
      <c r="K35" s="993">
        <f t="shared" si="1"/>
        <v>0</v>
      </c>
      <c r="L35" s="220">
        <f t="shared" si="2"/>
        <v>0</v>
      </c>
      <c r="M35" s="2">
        <f t="shared" si="3"/>
        <v>1</v>
      </c>
      <c r="N35" s="2">
        <f t="shared" si="4"/>
        <v>0</v>
      </c>
      <c r="O35" s="2">
        <f t="shared" si="5"/>
        <v>1</v>
      </c>
    </row>
    <row r="36" spans="2:15">
      <c r="B36" s="989">
        <v>6046</v>
      </c>
      <c r="C36" s="990" t="str">
        <f>IF([1]ACCUEIL!B1=1,"Store supplies","Fournitures de magasin")</f>
        <v>Fournitures de magasin</v>
      </c>
      <c r="D36" s="399"/>
      <c r="E36" s="399"/>
      <c r="F36" s="399"/>
      <c r="G36" s="399"/>
      <c r="H36" s="991">
        <f>'[1]CLASSE 6'!I52</f>
        <v>0</v>
      </c>
      <c r="I36" s="991">
        <f>'[1]CLASSE 6'!E52</f>
        <v>0</v>
      </c>
      <c r="J36" s="992">
        <f t="shared" si="0"/>
        <v>0</v>
      </c>
      <c r="K36" s="993">
        <f t="shared" si="1"/>
        <v>0</v>
      </c>
      <c r="L36" s="220">
        <f t="shared" si="2"/>
        <v>0</v>
      </c>
      <c r="M36" s="2">
        <f t="shared" si="3"/>
        <v>1</v>
      </c>
      <c r="N36" s="2">
        <f t="shared" si="4"/>
        <v>0</v>
      </c>
      <c r="O36" s="2">
        <f t="shared" si="5"/>
        <v>1</v>
      </c>
    </row>
    <row r="37" spans="2:15">
      <c r="B37" s="989">
        <v>6047</v>
      </c>
      <c r="C37" s="990" t="str">
        <f>IF([1]ACCUEIL!B1=1,"Office supplies","Fournitures de bureau")</f>
        <v>Fournitures de bureau</v>
      </c>
      <c r="D37" s="399"/>
      <c r="E37" s="399"/>
      <c r="F37" s="399"/>
      <c r="G37" s="399"/>
      <c r="H37" s="1002">
        <f>'[1]CLASSE 6'!I54</f>
        <v>0</v>
      </c>
      <c r="I37" s="1002">
        <f>'[1]CLASSE 6'!E54</f>
        <v>0</v>
      </c>
      <c r="J37" s="992">
        <f t="shared" si="0"/>
        <v>0</v>
      </c>
      <c r="K37" s="993">
        <f t="shared" si="1"/>
        <v>0</v>
      </c>
      <c r="L37" s="220">
        <f t="shared" si="2"/>
        <v>0</v>
      </c>
      <c r="M37" s="2">
        <f t="shared" si="3"/>
        <v>1</v>
      </c>
      <c r="N37" s="2">
        <f t="shared" si="4"/>
        <v>0</v>
      </c>
      <c r="O37" s="2">
        <f t="shared" si="5"/>
        <v>1</v>
      </c>
    </row>
    <row r="38" spans="2:15">
      <c r="B38" s="989">
        <v>6049</v>
      </c>
      <c r="C38" s="990" t="str">
        <f>IF([1]ACCUEIL!B1=1,"Rebates, discounts and rebates obtained (not broken down)","Rabais, remises et ristournes obtenus (non ventilés)")</f>
        <v>Rabais, remises et ristournes obtenus (non ventilés)</v>
      </c>
      <c r="D38" s="399"/>
      <c r="E38" s="399"/>
      <c r="F38" s="399"/>
      <c r="G38" s="399"/>
      <c r="H38" s="1003">
        <f>-'[1]CLASSE 6'!J56</f>
        <v>0</v>
      </c>
      <c r="I38" s="1003">
        <f>-'[1]CLASSE 6'!F56</f>
        <v>0</v>
      </c>
      <c r="J38" s="992">
        <f t="shared" si="0"/>
        <v>0</v>
      </c>
      <c r="K38" s="993">
        <f t="shared" si="1"/>
        <v>0</v>
      </c>
      <c r="L38" s="220">
        <f t="shared" si="2"/>
        <v>0</v>
      </c>
      <c r="M38" s="2">
        <f t="shared" si="3"/>
        <v>1</v>
      </c>
      <c r="N38" s="2">
        <f t="shared" si="4"/>
        <v>0</v>
      </c>
      <c r="O38" s="2">
        <f t="shared" si="5"/>
        <v>1</v>
      </c>
    </row>
    <row r="39" spans="2:15">
      <c r="B39" s="989">
        <v>6051</v>
      </c>
      <c r="C39" s="990" t="str">
        <f>IF([1]ACCUEIL!B1=1,"Non-storable supplies-Water","Fournitures non stockables-Eau")</f>
        <v>Fournitures non stockables-Eau</v>
      </c>
      <c r="D39" s="399"/>
      <c r="E39" s="399"/>
      <c r="F39" s="399"/>
      <c r="G39" s="399"/>
      <c r="H39" s="1004">
        <f>'[1]CLASSE 6'!I60</f>
        <v>0</v>
      </c>
      <c r="I39" s="1004">
        <f>'[1]CLASSE 6'!E60</f>
        <v>0</v>
      </c>
      <c r="J39" s="992">
        <f t="shared" si="0"/>
        <v>0</v>
      </c>
      <c r="K39" s="993">
        <f t="shared" si="1"/>
        <v>0</v>
      </c>
      <c r="L39" s="220">
        <f t="shared" si="2"/>
        <v>0</v>
      </c>
      <c r="M39" s="2">
        <f t="shared" si="3"/>
        <v>1</v>
      </c>
      <c r="N39" s="2">
        <f t="shared" si="4"/>
        <v>0</v>
      </c>
      <c r="O39" s="2">
        <f t="shared" si="5"/>
        <v>1</v>
      </c>
    </row>
    <row r="40" spans="2:15">
      <c r="B40" s="989">
        <v>6052</v>
      </c>
      <c r="C40" s="990" t="str">
        <f>IF([1]ACCUEIL!B1=1,"Non-storable supplies - Electricity","Fournitures non stockables-Electricité")</f>
        <v>Fournitures non stockables-Electricité</v>
      </c>
      <c r="D40" s="399"/>
      <c r="E40" s="399"/>
      <c r="F40" s="399"/>
      <c r="G40" s="399"/>
      <c r="H40" s="991">
        <f>'[1]CLASSE 6'!I62</f>
        <v>0</v>
      </c>
      <c r="I40" s="991">
        <f>'[1]CLASSE 6'!E62</f>
        <v>0</v>
      </c>
      <c r="J40" s="992">
        <f t="shared" si="0"/>
        <v>0</v>
      </c>
      <c r="K40" s="993">
        <f t="shared" si="1"/>
        <v>0</v>
      </c>
      <c r="L40" s="220">
        <f t="shared" si="2"/>
        <v>0</v>
      </c>
      <c r="M40" s="2">
        <f t="shared" si="3"/>
        <v>1</v>
      </c>
      <c r="N40" s="2">
        <f t="shared" si="4"/>
        <v>0</v>
      </c>
      <c r="O40" s="2">
        <f t="shared" si="5"/>
        <v>1</v>
      </c>
    </row>
    <row r="41" spans="2:15">
      <c r="B41" s="989">
        <v>6053</v>
      </c>
      <c r="C41" s="990" t="str">
        <f>IF([1]ACCUEIL!B1=1,"Non-storable supplies-Other energies","Fournitures non stockables-Autres énergies")</f>
        <v>Fournitures non stockables-Autres énergies</v>
      </c>
      <c r="D41" s="399"/>
      <c r="E41" s="399"/>
      <c r="F41" s="399"/>
      <c r="G41" s="399"/>
      <c r="H41" s="991">
        <f>'[1]CLASSE 6'!I64</f>
        <v>0</v>
      </c>
      <c r="I41" s="991">
        <f>'[1]CLASSE 6'!E64</f>
        <v>0</v>
      </c>
      <c r="J41" s="992">
        <f t="shared" si="0"/>
        <v>0</v>
      </c>
      <c r="K41" s="993">
        <f t="shared" si="1"/>
        <v>0</v>
      </c>
      <c r="L41" s="220">
        <f t="shared" si="2"/>
        <v>0</v>
      </c>
      <c r="M41" s="2">
        <f t="shared" si="3"/>
        <v>1</v>
      </c>
      <c r="N41" s="2">
        <f t="shared" si="4"/>
        <v>0</v>
      </c>
      <c r="O41" s="2">
        <f t="shared" si="5"/>
        <v>1</v>
      </c>
    </row>
    <row r="42" spans="2:15">
      <c r="B42" s="989">
        <v>6054</v>
      </c>
      <c r="C42" s="990" t="str">
        <f>IF([1]ACCUEIL!B1=1,"Non-storable maintenance supplies","Fournitures d'entretien non stockables")</f>
        <v>Fournitures d'entretien non stockables</v>
      </c>
      <c r="D42" s="399"/>
      <c r="E42" s="399"/>
      <c r="F42" s="399"/>
      <c r="G42" s="399"/>
      <c r="H42" s="991">
        <f>'[1]CLASSE 6'!I66</f>
        <v>0</v>
      </c>
      <c r="I42" s="991">
        <f>'[1]CLASSE 6'!E66</f>
        <v>0</v>
      </c>
      <c r="J42" s="992">
        <f t="shared" si="0"/>
        <v>0</v>
      </c>
      <c r="K42" s="993">
        <f t="shared" si="1"/>
        <v>0</v>
      </c>
      <c r="L42" s="220">
        <f t="shared" si="2"/>
        <v>0</v>
      </c>
      <c r="M42" s="2">
        <f t="shared" si="3"/>
        <v>1</v>
      </c>
      <c r="N42" s="2">
        <f t="shared" si="4"/>
        <v>0</v>
      </c>
      <c r="O42" s="2">
        <f t="shared" si="5"/>
        <v>1</v>
      </c>
    </row>
    <row r="43" spans="2:15">
      <c r="B43" s="989">
        <v>6055</v>
      </c>
      <c r="C43" s="990" t="str">
        <f>IF([1]ACCUEIL!B1=1,"Non-storable office supplies","Fournitures de bureau non stockables")</f>
        <v>Fournitures de bureau non stockables</v>
      </c>
      <c r="D43" s="399"/>
      <c r="E43" s="399"/>
      <c r="F43" s="399"/>
      <c r="G43" s="399"/>
      <c r="H43" s="991">
        <f>'[1]CLASSE 6'!I68</f>
        <v>0</v>
      </c>
      <c r="I43" s="991">
        <f>'[1]CLASSE 6'!E68</f>
        <v>0</v>
      </c>
      <c r="J43" s="992">
        <f t="shared" si="0"/>
        <v>0</v>
      </c>
      <c r="K43" s="993">
        <f t="shared" si="1"/>
        <v>0</v>
      </c>
      <c r="L43" s="220">
        <f t="shared" si="2"/>
        <v>0</v>
      </c>
      <c r="M43" s="2">
        <f t="shared" si="3"/>
        <v>1</v>
      </c>
      <c r="N43" s="2">
        <f t="shared" si="4"/>
        <v>0</v>
      </c>
      <c r="O43" s="2">
        <f t="shared" si="5"/>
        <v>1</v>
      </c>
    </row>
    <row r="44" spans="2:15">
      <c r="B44" s="989">
        <v>6056</v>
      </c>
      <c r="C44" s="990" t="str">
        <f>IF([1]ACCUEIL!B1=1,"Purchases of small equipment and tools","Achats de petit matériel et outillage")</f>
        <v>Achats de petit matériel et outillage</v>
      </c>
      <c r="D44" s="399"/>
      <c r="E44" s="399"/>
      <c r="F44" s="399"/>
      <c r="G44" s="399"/>
      <c r="H44" s="991">
        <f>'[1]CLASSE 6'!I70</f>
        <v>0</v>
      </c>
      <c r="I44" s="991">
        <f>'[1]CLASSE 6'!E70</f>
        <v>0</v>
      </c>
      <c r="J44" s="992">
        <f t="shared" si="0"/>
        <v>0</v>
      </c>
      <c r="K44" s="993">
        <f t="shared" si="1"/>
        <v>0</v>
      </c>
      <c r="L44" s="220">
        <f t="shared" si="2"/>
        <v>0</v>
      </c>
      <c r="M44" s="2">
        <f t="shared" si="3"/>
        <v>1</v>
      </c>
      <c r="N44" s="2">
        <f t="shared" si="4"/>
        <v>0</v>
      </c>
      <c r="O44" s="2">
        <f t="shared" si="5"/>
        <v>1</v>
      </c>
    </row>
    <row r="45" spans="2:15">
      <c r="B45" s="989">
        <v>6057</v>
      </c>
      <c r="C45" s="990" t="str">
        <f>IF([1]ACCUEIL!B1=1,"Purchases of studies and services","Achats d'études et prestations de services")</f>
        <v>Achats d'études et prestations de services</v>
      </c>
      <c r="D45" s="399"/>
      <c r="E45" s="399"/>
      <c r="F45" s="399"/>
      <c r="G45" s="399"/>
      <c r="H45" s="991">
        <f>'[1]CLASSE 6'!I72</f>
        <v>0</v>
      </c>
      <c r="I45" s="991">
        <f>'[1]CLASSE 6'!E72</f>
        <v>0</v>
      </c>
      <c r="J45" s="992">
        <f t="shared" si="0"/>
        <v>0</v>
      </c>
      <c r="K45" s="993">
        <f t="shared" si="1"/>
        <v>0</v>
      </c>
      <c r="L45" s="220">
        <f t="shared" si="2"/>
        <v>0</v>
      </c>
      <c r="M45" s="2">
        <f t="shared" si="3"/>
        <v>1</v>
      </c>
      <c r="N45" s="2">
        <f t="shared" si="4"/>
        <v>0</v>
      </c>
      <c r="O45" s="2">
        <f t="shared" si="5"/>
        <v>1</v>
      </c>
    </row>
    <row r="46" spans="2:15">
      <c r="B46" s="989">
        <v>6058</v>
      </c>
      <c r="C46" s="990" t="str">
        <f>IF([1]ACCUEIL!B1=1,"Purchase of works, materials and equipment","Achats de travaux, matériels et équipements")</f>
        <v>Achats de travaux, matériels et équipements</v>
      </c>
      <c r="D46" s="399"/>
      <c r="E46" s="399"/>
      <c r="F46" s="399"/>
      <c r="G46" s="399"/>
      <c r="H46" s="991">
        <f>'[1]CLASSE 6'!I74</f>
        <v>0</v>
      </c>
      <c r="I46" s="991">
        <f>'[1]CLASSE 6'!E74</f>
        <v>0</v>
      </c>
      <c r="J46" s="992">
        <f t="shared" si="0"/>
        <v>0</v>
      </c>
      <c r="K46" s="993">
        <f t="shared" si="1"/>
        <v>0</v>
      </c>
      <c r="L46" s="220">
        <f t="shared" si="2"/>
        <v>0</v>
      </c>
      <c r="M46" s="2">
        <f t="shared" si="3"/>
        <v>1</v>
      </c>
      <c r="N46" s="2">
        <f t="shared" si="4"/>
        <v>0</v>
      </c>
      <c r="O46" s="2">
        <f t="shared" si="5"/>
        <v>1</v>
      </c>
    </row>
    <row r="47" spans="2:15">
      <c r="B47" s="989">
        <v>6059</v>
      </c>
      <c r="C47" s="990" t="str">
        <f>IF([1]ACCUEIL!B1=1,"Rebates, discounts and rebates obtained (not broken down)","Rabais, remises et ristournes obtenus (non ventilés)")</f>
        <v>Rabais, remises et ristournes obtenus (non ventilés)</v>
      </c>
      <c r="D47" s="399"/>
      <c r="E47" s="399"/>
      <c r="F47" s="399"/>
      <c r="G47" s="399"/>
      <c r="H47" s="1005">
        <f>-'[1]CLASSE 6'!J76</f>
        <v>0</v>
      </c>
      <c r="I47" s="1005">
        <f>-'[1]CLASSE 6'!F76</f>
        <v>0</v>
      </c>
      <c r="J47" s="992">
        <f t="shared" si="0"/>
        <v>0</v>
      </c>
      <c r="K47" s="993">
        <f t="shared" si="1"/>
        <v>0</v>
      </c>
      <c r="L47" s="220">
        <f t="shared" si="2"/>
        <v>0</v>
      </c>
      <c r="M47" s="2">
        <f t="shared" si="3"/>
        <v>1</v>
      </c>
      <c r="N47" s="2">
        <f t="shared" si="4"/>
        <v>0</v>
      </c>
      <c r="O47" s="2">
        <f t="shared" si="5"/>
        <v>1</v>
      </c>
    </row>
    <row r="48" spans="2:15">
      <c r="B48" s="989">
        <v>6081</v>
      </c>
      <c r="C48" s="990" t="str">
        <f>IF([1]ACCUEIL!B1=1,"Lost packaging","Emballages perdus")</f>
        <v>Emballages perdus</v>
      </c>
      <c r="D48" s="399"/>
      <c r="E48" s="399"/>
      <c r="F48" s="399"/>
      <c r="G48" s="399"/>
      <c r="H48" s="991">
        <f>'[1]CLASSE 6'!I80</f>
        <v>0</v>
      </c>
      <c r="I48" s="991">
        <f>'[1]CLASSE 6'!E80</f>
        <v>0</v>
      </c>
      <c r="J48" s="992">
        <f t="shared" si="0"/>
        <v>0</v>
      </c>
      <c r="K48" s="993">
        <f t="shared" si="1"/>
        <v>0</v>
      </c>
      <c r="L48" s="220">
        <f t="shared" si="2"/>
        <v>0</v>
      </c>
      <c r="M48" s="2">
        <f t="shared" si="3"/>
        <v>1</v>
      </c>
      <c r="N48" s="2">
        <f t="shared" si="4"/>
        <v>0</v>
      </c>
      <c r="O48" s="2">
        <f t="shared" si="5"/>
        <v>1</v>
      </c>
    </row>
    <row r="49" spans="2:15">
      <c r="B49" s="989">
        <v>6082</v>
      </c>
      <c r="C49" s="990" t="str">
        <f>IF([1]ACCUEIL!B1=1,"Unidentifiable recoverable packaging","Emballages récupérables non identifiables")</f>
        <v>Emballages récupérables non identifiables</v>
      </c>
      <c r="D49" s="399"/>
      <c r="E49" s="399"/>
      <c r="F49" s="399"/>
      <c r="G49" s="399"/>
      <c r="H49" s="991">
        <f>'[1]CLASSE 6'!I82</f>
        <v>0</v>
      </c>
      <c r="I49" s="991">
        <f>'[1]CLASSE 6'!E82</f>
        <v>0</v>
      </c>
      <c r="J49" s="992">
        <f t="shared" si="0"/>
        <v>0</v>
      </c>
      <c r="K49" s="993">
        <f t="shared" si="1"/>
        <v>0</v>
      </c>
      <c r="L49" s="220">
        <f t="shared" si="2"/>
        <v>0</v>
      </c>
      <c r="M49" s="2">
        <f t="shared" si="3"/>
        <v>1</v>
      </c>
      <c r="N49" s="2">
        <f t="shared" si="4"/>
        <v>0</v>
      </c>
      <c r="O49" s="2">
        <f t="shared" si="5"/>
        <v>1</v>
      </c>
    </row>
    <row r="50" spans="2:15">
      <c r="B50" s="989">
        <v>6083</v>
      </c>
      <c r="C50" s="990" t="str">
        <f>IF([1]ACCUEIL!B1=1,"Mixed-use packaging","Emballages à usage mixte")</f>
        <v>Emballages à usage mixte</v>
      </c>
      <c r="D50" s="399"/>
      <c r="E50" s="399"/>
      <c r="F50" s="399"/>
      <c r="G50" s="399"/>
      <c r="H50" s="991">
        <f>'[1]CLASSE 6'!I84</f>
        <v>0</v>
      </c>
      <c r="I50" s="991">
        <f>'[1]CLASSE 6'!E84</f>
        <v>0</v>
      </c>
      <c r="J50" s="992">
        <f t="shared" si="0"/>
        <v>0</v>
      </c>
      <c r="K50" s="993">
        <f t="shared" si="1"/>
        <v>0</v>
      </c>
      <c r="L50" s="220">
        <f t="shared" si="2"/>
        <v>0</v>
      </c>
      <c r="M50" s="2">
        <f t="shared" si="3"/>
        <v>1</v>
      </c>
      <c r="N50" s="2">
        <f t="shared" si="4"/>
        <v>0</v>
      </c>
      <c r="O50" s="2">
        <f t="shared" si="5"/>
        <v>1</v>
      </c>
    </row>
    <row r="51" spans="2:15">
      <c r="B51" s="989">
        <v>6085</v>
      </c>
      <c r="C51" s="990" t="str">
        <f>IF([1]ACCUEIL!B1=1,"Fees on purchases","Frais sur achats")</f>
        <v>Frais sur achats</v>
      </c>
      <c r="D51" s="399"/>
      <c r="E51" s="399"/>
      <c r="F51" s="399"/>
      <c r="G51" s="399"/>
      <c r="H51" s="991">
        <f>'[1]CLASSE 6'!I86</f>
        <v>0</v>
      </c>
      <c r="I51" s="991">
        <f>'[1]CLASSE 6'!E86</f>
        <v>0</v>
      </c>
      <c r="J51" s="992">
        <f t="shared" si="0"/>
        <v>0</v>
      </c>
      <c r="K51" s="993">
        <f t="shared" si="1"/>
        <v>0</v>
      </c>
      <c r="L51" s="220">
        <f t="shared" si="2"/>
        <v>0</v>
      </c>
      <c r="M51" s="2">
        <f t="shared" si="3"/>
        <v>1</v>
      </c>
      <c r="N51" s="2">
        <f t="shared" si="4"/>
        <v>0</v>
      </c>
      <c r="O51" s="2">
        <f t="shared" si="5"/>
        <v>1</v>
      </c>
    </row>
    <row r="52" spans="2:15" ht="15.75" thickBot="1">
      <c r="B52" s="989">
        <v>6089</v>
      </c>
      <c r="C52" s="990" t="str">
        <f>IF([1]ACCUEIL!B1=1,"Rebates, discounts and rebates obtained (not broken down)","Rabais, remises et ristournes obtenus (non ventilés)")</f>
        <v>Rabais, remises et ristournes obtenus (non ventilés)</v>
      </c>
      <c r="D52" s="399"/>
      <c r="E52" s="399"/>
      <c r="F52" s="399"/>
      <c r="G52" s="399"/>
      <c r="H52" s="1005">
        <f>-'[1]CLASSE 6'!J88</f>
        <v>0</v>
      </c>
      <c r="I52" s="1005">
        <f>-'[1]CLASSE 6'!F88</f>
        <v>0</v>
      </c>
      <c r="J52" s="992">
        <f t="shared" si="0"/>
        <v>0</v>
      </c>
      <c r="K52" s="993">
        <f t="shared" si="1"/>
        <v>0</v>
      </c>
      <c r="L52" s="220">
        <f t="shared" si="2"/>
        <v>0</v>
      </c>
      <c r="M52" s="2">
        <f t="shared" si="3"/>
        <v>1</v>
      </c>
      <c r="N52" s="2">
        <f t="shared" si="4"/>
        <v>0</v>
      </c>
      <c r="O52" s="2">
        <f t="shared" si="5"/>
        <v>1</v>
      </c>
    </row>
    <row r="53" spans="2:15" ht="16.5" thickTop="1" thickBot="1">
      <c r="B53" s="995" t="s">
        <v>113</v>
      </c>
      <c r="C53" s="996"/>
      <c r="D53" s="997" t="str">
        <f>IF([1]ACCUEIL!B1=1,"Other purchases","Autres achats")</f>
        <v>Autres achats</v>
      </c>
      <c r="E53" s="997"/>
      <c r="F53" s="997"/>
      <c r="G53" s="997"/>
      <c r="H53" s="998">
        <f>SUM(H31:H52)</f>
        <v>0</v>
      </c>
      <c r="I53" s="998">
        <f>SUM(I31:I52)</f>
        <v>0</v>
      </c>
      <c r="J53" s="992">
        <f t="shared" si="0"/>
        <v>0</v>
      </c>
      <c r="K53" s="993">
        <f t="shared" si="1"/>
        <v>0</v>
      </c>
      <c r="L53" s="220">
        <f t="shared" si="2"/>
        <v>0</v>
      </c>
      <c r="M53" s="2">
        <f t="shared" si="3"/>
        <v>1</v>
      </c>
      <c r="N53" s="2">
        <f t="shared" si="4"/>
        <v>0</v>
      </c>
      <c r="O53" s="2">
        <f t="shared" si="5"/>
        <v>1</v>
      </c>
    </row>
    <row r="54" spans="2:15" ht="16.5" thickTop="1" thickBot="1">
      <c r="B54" s="989">
        <v>6033</v>
      </c>
      <c r="C54" s="990" t="str">
        <f>IF([1]ACCUEIL!B1=1,"Change in stocks of other supplies","Variation des stocks d'autres approvisionnements")</f>
        <v>Variation des stocks d'autres approvisionnements</v>
      </c>
      <c r="D54" s="399"/>
      <c r="E54" s="399"/>
      <c r="F54" s="399"/>
      <c r="G54" s="399"/>
      <c r="H54" s="1000">
        <f>'[1]CLASSE 6'!I38-'[1]CLASSE 6'!J38</f>
        <v>0</v>
      </c>
      <c r="I54" s="1000">
        <f>'[1]CLASSE 6'!E38-'[1]CLASSE 6'!F38</f>
        <v>0</v>
      </c>
      <c r="J54" s="992">
        <f t="shared" si="0"/>
        <v>0</v>
      </c>
      <c r="K54" s="993">
        <f t="shared" si="1"/>
        <v>0</v>
      </c>
      <c r="L54" s="220">
        <f t="shared" si="2"/>
        <v>0</v>
      </c>
      <c r="M54" s="2">
        <f t="shared" si="3"/>
        <v>1</v>
      </c>
      <c r="N54" s="2">
        <f t="shared" si="4"/>
        <v>0</v>
      </c>
      <c r="O54" s="2">
        <f t="shared" si="5"/>
        <v>1</v>
      </c>
    </row>
    <row r="55" spans="2:15" ht="16.5" thickTop="1" thickBot="1">
      <c r="B55" s="995" t="s">
        <v>114</v>
      </c>
      <c r="C55" s="996"/>
      <c r="D55" s="997" t="str">
        <f>IF([1]ACCUEIL!B1=1,"Change in stocks of other supplies","Variation de stocks d'autres approvisionnements")</f>
        <v>Variation de stocks d'autres approvisionnements</v>
      </c>
      <c r="E55" s="997"/>
      <c r="F55" s="997"/>
      <c r="G55" s="997"/>
      <c r="H55" s="998">
        <f>SUM(H54)</f>
        <v>0</v>
      </c>
      <c r="I55" s="998">
        <f>SUM(I54)</f>
        <v>0</v>
      </c>
      <c r="J55" s="992">
        <f t="shared" si="0"/>
        <v>0</v>
      </c>
      <c r="K55" s="993">
        <f t="shared" si="1"/>
        <v>0</v>
      </c>
      <c r="L55" s="220">
        <f t="shared" si="2"/>
        <v>0</v>
      </c>
      <c r="M55" s="2">
        <f t="shared" si="3"/>
        <v>1</v>
      </c>
      <c r="N55" s="2">
        <f t="shared" si="4"/>
        <v>0</v>
      </c>
      <c r="O55" s="2">
        <f t="shared" si="5"/>
        <v>1</v>
      </c>
    </row>
    <row r="56" spans="2:15" ht="15.75" thickTop="1">
      <c r="B56" s="989">
        <v>6120</v>
      </c>
      <c r="C56" s="990" t="str">
        <f>IF([1]ACCUEIL!B1=1,"Transport on sales","Transports sur ventes")</f>
        <v>Transports sur ventes</v>
      </c>
      <c r="D56" s="399"/>
      <c r="E56" s="399"/>
      <c r="F56" s="399"/>
      <c r="G56" s="399"/>
      <c r="H56" s="991">
        <f>'[1]CLASSE 6'!I91</f>
        <v>0</v>
      </c>
      <c r="I56" s="991">
        <f>'[1]CLASSE 6'!E91</f>
        <v>0</v>
      </c>
      <c r="J56" s="992">
        <f t="shared" si="0"/>
        <v>0</v>
      </c>
      <c r="K56" s="993">
        <f t="shared" si="1"/>
        <v>0</v>
      </c>
      <c r="L56" s="220">
        <f t="shared" si="2"/>
        <v>0</v>
      </c>
      <c r="M56" s="2">
        <f t="shared" si="3"/>
        <v>1</v>
      </c>
      <c r="N56" s="2">
        <f t="shared" si="4"/>
        <v>0</v>
      </c>
      <c r="O56" s="2">
        <f t="shared" si="5"/>
        <v>1</v>
      </c>
    </row>
    <row r="57" spans="2:15">
      <c r="B57" s="989">
        <v>6130</v>
      </c>
      <c r="C57" s="990" t="str">
        <f>IF([1]ACCUEIL!B1=1,"Transport for third parties","Transports pour le compte de tiers")</f>
        <v>Transports pour le compte de tiers</v>
      </c>
      <c r="D57" s="399"/>
      <c r="E57" s="399"/>
      <c r="F57" s="399"/>
      <c r="G57" s="399"/>
      <c r="H57" s="991">
        <f>'[1]CLASSE 6'!I92</f>
        <v>0</v>
      </c>
      <c r="I57" s="991">
        <f>'[1]CLASSE 6'!E92</f>
        <v>0</v>
      </c>
      <c r="J57" s="992">
        <f t="shared" si="0"/>
        <v>0</v>
      </c>
      <c r="K57" s="993">
        <f t="shared" si="1"/>
        <v>0</v>
      </c>
      <c r="L57" s="220">
        <f t="shared" si="2"/>
        <v>0</v>
      </c>
      <c r="M57" s="2">
        <f t="shared" si="3"/>
        <v>1</v>
      </c>
      <c r="N57" s="2">
        <f t="shared" si="4"/>
        <v>0</v>
      </c>
      <c r="O57" s="2">
        <f t="shared" si="5"/>
        <v>1</v>
      </c>
    </row>
    <row r="58" spans="2:15">
      <c r="B58" s="989">
        <v>6140</v>
      </c>
      <c r="C58" s="990" t="str">
        <f>IF([1]ACCUEIL!B1=1,"Staff transport","Transports du personnel")</f>
        <v>Transports du personnel</v>
      </c>
      <c r="D58" s="399"/>
      <c r="E58" s="399"/>
      <c r="F58" s="399"/>
      <c r="G58" s="399"/>
      <c r="H58" s="991">
        <f>'[1]CLASSE 6'!I93</f>
        <v>0</v>
      </c>
      <c r="I58" s="991">
        <f>'[1]CLASSE 6'!E93</f>
        <v>0</v>
      </c>
      <c r="J58" s="992">
        <f t="shared" si="0"/>
        <v>0</v>
      </c>
      <c r="K58" s="993">
        <f t="shared" si="1"/>
        <v>0</v>
      </c>
      <c r="L58" s="220">
        <f t="shared" si="2"/>
        <v>0</v>
      </c>
      <c r="M58" s="2">
        <f t="shared" si="3"/>
        <v>1</v>
      </c>
      <c r="N58" s="2">
        <f t="shared" si="4"/>
        <v>0</v>
      </c>
      <c r="O58" s="2">
        <f t="shared" si="5"/>
        <v>1</v>
      </c>
    </row>
    <row r="59" spans="2:15">
      <c r="B59" s="989">
        <v>6160</v>
      </c>
      <c r="C59" s="990" t="str">
        <f>IF([1]ACCUEIL!B1=1,"Transport of folds","Transports de plis")</f>
        <v>Transports de plis</v>
      </c>
      <c r="D59" s="399"/>
      <c r="E59" s="399"/>
      <c r="F59" s="399"/>
      <c r="G59" s="399"/>
      <c r="H59" s="991">
        <f>'[1]CLASSE 6'!I94</f>
        <v>0</v>
      </c>
      <c r="I59" s="991">
        <f>'[1]CLASSE 6'!E94</f>
        <v>0</v>
      </c>
      <c r="J59" s="992">
        <f t="shared" si="0"/>
        <v>0</v>
      </c>
      <c r="K59" s="993">
        <f t="shared" si="1"/>
        <v>0</v>
      </c>
      <c r="L59" s="220">
        <f t="shared" si="2"/>
        <v>0</v>
      </c>
      <c r="M59" s="2">
        <f t="shared" si="3"/>
        <v>1</v>
      </c>
      <c r="N59" s="2">
        <f t="shared" si="4"/>
        <v>0</v>
      </c>
      <c r="O59" s="2">
        <f t="shared" si="5"/>
        <v>1</v>
      </c>
    </row>
    <row r="60" spans="2:15">
      <c r="B60" s="989">
        <v>6181</v>
      </c>
      <c r="C60" s="990" t="str">
        <f>IF([1]ACCUEIL!B1=1,"Travel and trips","Voyages et déplacements")</f>
        <v>Voyages et déplacements</v>
      </c>
      <c r="D60" s="399"/>
      <c r="E60" s="399"/>
      <c r="F60" s="399"/>
      <c r="G60" s="399"/>
      <c r="H60" s="991">
        <f>'[1]CLASSE 6'!I96</f>
        <v>0</v>
      </c>
      <c r="I60" s="991">
        <f>'[1]CLASSE 6'!E96</f>
        <v>0</v>
      </c>
      <c r="J60" s="992">
        <f t="shared" si="0"/>
        <v>0</v>
      </c>
      <c r="K60" s="993">
        <f t="shared" si="1"/>
        <v>0</v>
      </c>
      <c r="L60" s="220">
        <f t="shared" si="2"/>
        <v>0</v>
      </c>
      <c r="M60" s="2">
        <f t="shared" si="3"/>
        <v>1</v>
      </c>
      <c r="N60" s="2">
        <f t="shared" si="4"/>
        <v>0</v>
      </c>
      <c r="O60" s="2">
        <f t="shared" si="5"/>
        <v>1</v>
      </c>
    </row>
    <row r="61" spans="2:15">
      <c r="B61" s="989">
        <v>6182</v>
      </c>
      <c r="C61" s="990" t="str">
        <f>IF([1]ACCUEIL!B1=1,"Transport between establishments and work sites","Transports entre établissements et chantiers")</f>
        <v>Transports entre établissements et chantiers</v>
      </c>
      <c r="D61" s="399"/>
      <c r="E61" s="399"/>
      <c r="F61" s="399"/>
      <c r="G61" s="399"/>
      <c r="H61" s="991">
        <f>'[1]CLASSE 6'!I98</f>
        <v>0</v>
      </c>
      <c r="I61" s="991">
        <f>'[1]CLASSE 6'!E98</f>
        <v>0</v>
      </c>
      <c r="J61" s="992">
        <f t="shared" si="0"/>
        <v>0</v>
      </c>
      <c r="K61" s="993">
        <f t="shared" si="1"/>
        <v>0</v>
      </c>
      <c r="L61" s="220">
        <f t="shared" si="2"/>
        <v>0</v>
      </c>
      <c r="M61" s="2">
        <f t="shared" si="3"/>
        <v>1</v>
      </c>
      <c r="N61" s="2">
        <f t="shared" si="4"/>
        <v>0</v>
      </c>
      <c r="O61" s="2">
        <f t="shared" si="5"/>
        <v>1</v>
      </c>
    </row>
    <row r="62" spans="2:15" ht="15.75" thickBot="1">
      <c r="B62" s="989">
        <v>6183</v>
      </c>
      <c r="C62" s="990" t="str">
        <f>IF([1]ACCUEIL!B1=1,"Administrative transport","Transports administratifs")</f>
        <v>Transports administratifs</v>
      </c>
      <c r="D62" s="399"/>
      <c r="E62" s="399"/>
      <c r="F62" s="399"/>
      <c r="G62" s="399"/>
      <c r="H62" s="1000">
        <f>'[1]CLASSE 6'!I100</f>
        <v>0</v>
      </c>
      <c r="I62" s="1000">
        <f>'[1]CLASSE 6'!E100</f>
        <v>0</v>
      </c>
      <c r="J62" s="992">
        <f t="shared" si="0"/>
        <v>0</v>
      </c>
      <c r="K62" s="993">
        <f t="shared" si="1"/>
        <v>0</v>
      </c>
      <c r="L62" s="220">
        <f t="shared" si="2"/>
        <v>0</v>
      </c>
      <c r="M62" s="2">
        <f t="shared" si="3"/>
        <v>1</v>
      </c>
      <c r="N62" s="2">
        <f t="shared" si="4"/>
        <v>0</v>
      </c>
      <c r="O62" s="2">
        <f t="shared" si="5"/>
        <v>1</v>
      </c>
    </row>
    <row r="63" spans="2:15" ht="16.5" thickTop="1" thickBot="1">
      <c r="B63" s="995" t="s">
        <v>115</v>
      </c>
      <c r="C63" s="996"/>
      <c r="D63" s="997" t="str">
        <f>IF([1]ACCUEIL!B1=1,"Transportation","Transports")</f>
        <v>Transports</v>
      </c>
      <c r="E63" s="997"/>
      <c r="F63" s="997"/>
      <c r="G63" s="997"/>
      <c r="H63" s="998">
        <f>SUM(H56:H62)</f>
        <v>0</v>
      </c>
      <c r="I63" s="998">
        <f>SUM(I56:I62)</f>
        <v>0</v>
      </c>
      <c r="J63" s="992">
        <f t="shared" si="0"/>
        <v>0</v>
      </c>
      <c r="K63" s="993">
        <f t="shared" si="1"/>
        <v>0</v>
      </c>
      <c r="L63" s="220">
        <f t="shared" si="2"/>
        <v>0</v>
      </c>
      <c r="M63" s="2">
        <f t="shared" si="3"/>
        <v>1</v>
      </c>
      <c r="N63" s="2">
        <f t="shared" si="4"/>
        <v>0</v>
      </c>
      <c r="O63" s="2">
        <f t="shared" si="5"/>
        <v>1</v>
      </c>
    </row>
    <row r="64" spans="2:15" ht="15.75" thickTop="1">
      <c r="B64" s="989">
        <v>6210</v>
      </c>
      <c r="C64" s="990" t="str">
        <f>IF([1]ACCUEIL!B1=1,"General subcontracting","Sous-traitance générale")</f>
        <v>Sous-traitance générale</v>
      </c>
      <c r="D64" s="399"/>
      <c r="E64" s="399"/>
      <c r="F64" s="399"/>
      <c r="G64" s="399"/>
      <c r="H64" s="1000">
        <f>'[1]CLASSE 6'!I103</f>
        <v>0</v>
      </c>
      <c r="I64" s="1000">
        <f>'[1]CLASSE 6'!E103</f>
        <v>0</v>
      </c>
      <c r="J64" s="992">
        <f t="shared" si="0"/>
        <v>0</v>
      </c>
      <c r="K64" s="993">
        <f t="shared" si="1"/>
        <v>0</v>
      </c>
      <c r="L64" s="220">
        <f t="shared" si="2"/>
        <v>0</v>
      </c>
      <c r="M64" s="2">
        <f t="shared" si="3"/>
        <v>1</v>
      </c>
      <c r="N64" s="2">
        <f t="shared" si="4"/>
        <v>0</v>
      </c>
      <c r="O64" s="2">
        <f t="shared" si="5"/>
        <v>1</v>
      </c>
    </row>
    <row r="65" spans="2:15">
      <c r="B65" s="989">
        <v>6221</v>
      </c>
      <c r="C65" s="990" t="str">
        <f>IF([1]ACCUEIL!B1=1,"Land rental","Location de terrains")</f>
        <v>Location de terrains</v>
      </c>
      <c r="D65" s="399"/>
      <c r="E65" s="399"/>
      <c r="F65" s="399"/>
      <c r="G65" s="399"/>
      <c r="H65" s="991">
        <f>'[1]CLASSE 6'!I105</f>
        <v>0</v>
      </c>
      <c r="I65" s="991">
        <f>'[1]CLASSE 6'!E105</f>
        <v>0</v>
      </c>
      <c r="J65" s="992">
        <f t="shared" si="0"/>
        <v>0</v>
      </c>
      <c r="K65" s="993">
        <f t="shared" si="1"/>
        <v>0</v>
      </c>
      <c r="L65" s="220">
        <f t="shared" si="2"/>
        <v>0</v>
      </c>
      <c r="M65" s="2">
        <f t="shared" si="3"/>
        <v>1</v>
      </c>
      <c r="N65" s="2">
        <f t="shared" si="4"/>
        <v>0</v>
      </c>
      <c r="O65" s="2">
        <f t="shared" si="5"/>
        <v>1</v>
      </c>
    </row>
    <row r="66" spans="2:15">
      <c r="B66" s="989">
        <v>6222</v>
      </c>
      <c r="C66" s="990" t="str">
        <f>IF([1]ACCUEIL!B1=1,"Rental of buildings","Location de bâtiments")</f>
        <v>Location de bâtiments</v>
      </c>
      <c r="D66" s="399"/>
      <c r="E66" s="399"/>
      <c r="F66" s="399"/>
      <c r="G66" s="399"/>
      <c r="H66" s="991">
        <f>'[1]CLASSE 6'!I107</f>
        <v>0</v>
      </c>
      <c r="I66" s="991">
        <f>'[1]CLASSE 6'!E107</f>
        <v>0</v>
      </c>
      <c r="J66" s="992">
        <f t="shared" si="0"/>
        <v>0</v>
      </c>
      <c r="K66" s="993">
        <f t="shared" si="1"/>
        <v>0</v>
      </c>
      <c r="L66" s="220">
        <f t="shared" si="2"/>
        <v>0</v>
      </c>
      <c r="M66" s="2">
        <f t="shared" si="3"/>
        <v>1</v>
      </c>
      <c r="N66" s="2">
        <f t="shared" si="4"/>
        <v>0</v>
      </c>
      <c r="O66" s="2">
        <f t="shared" si="5"/>
        <v>1</v>
      </c>
    </row>
    <row r="67" spans="2:15">
      <c r="B67" s="989">
        <v>6223</v>
      </c>
      <c r="C67" s="990" t="str">
        <f>IF([1]ACCUEIL!B1=1,"Rental of materials and tools","Location de matériels et outillages")</f>
        <v>Location de matériels et outillages</v>
      </c>
      <c r="D67" s="399"/>
      <c r="E67" s="399"/>
      <c r="F67" s="399"/>
      <c r="G67" s="399"/>
      <c r="H67" s="991">
        <f>'[1]CLASSE 6'!I109</f>
        <v>0</v>
      </c>
      <c r="I67" s="991">
        <f>'[1]CLASSE 6'!E109</f>
        <v>0</v>
      </c>
      <c r="J67" s="992">
        <f t="shared" si="0"/>
        <v>0</v>
      </c>
      <c r="K67" s="993">
        <f t="shared" si="1"/>
        <v>0</v>
      </c>
      <c r="L67" s="220">
        <f t="shared" si="2"/>
        <v>0</v>
      </c>
      <c r="M67" s="2">
        <f t="shared" si="3"/>
        <v>1</v>
      </c>
      <c r="N67" s="2">
        <f t="shared" si="4"/>
        <v>0</v>
      </c>
      <c r="O67" s="2">
        <f t="shared" si="5"/>
        <v>1</v>
      </c>
    </row>
    <row r="68" spans="2:15">
      <c r="B68" s="989">
        <v>6224</v>
      </c>
      <c r="C68" s="990" t="str">
        <f>IF([1]ACCUEIL!B1=1,"Malis on packaging","Malis sur emballages")</f>
        <v>Malis sur emballages</v>
      </c>
      <c r="D68" s="399"/>
      <c r="E68" s="399"/>
      <c r="F68" s="399"/>
      <c r="G68" s="399"/>
      <c r="H68" s="991">
        <f>'[1]CLASSE 6'!I111</f>
        <v>0</v>
      </c>
      <c r="I68" s="991">
        <f>'[1]CLASSE 6'!E111</f>
        <v>0</v>
      </c>
      <c r="J68" s="992">
        <f t="shared" si="0"/>
        <v>0</v>
      </c>
      <c r="K68" s="993">
        <f t="shared" si="1"/>
        <v>0</v>
      </c>
      <c r="L68" s="220">
        <f t="shared" si="2"/>
        <v>0</v>
      </c>
      <c r="M68" s="2">
        <f t="shared" si="3"/>
        <v>1</v>
      </c>
      <c r="N68" s="2">
        <f t="shared" si="4"/>
        <v>0</v>
      </c>
      <c r="O68" s="2">
        <f t="shared" si="5"/>
        <v>1</v>
      </c>
    </row>
    <row r="69" spans="2:15">
      <c r="B69" s="989">
        <v>6225</v>
      </c>
      <c r="C69" s="990" t="str">
        <f>IF([1]ACCUEIL!B1=1,"Packaging rentals","Locations d'emballages")</f>
        <v>Locations d'emballages</v>
      </c>
      <c r="D69" s="399"/>
      <c r="E69" s="399"/>
      <c r="F69" s="399"/>
      <c r="G69" s="399"/>
      <c r="H69" s="991">
        <f>'[1]CLASSE 6'!I113</f>
        <v>0</v>
      </c>
      <c r="I69" s="991">
        <f>'[1]CLASSE 6'!E113</f>
        <v>0</v>
      </c>
      <c r="J69" s="992">
        <f t="shared" si="0"/>
        <v>0</v>
      </c>
      <c r="K69" s="993">
        <f t="shared" si="1"/>
        <v>0</v>
      </c>
      <c r="L69" s="220">
        <f t="shared" si="2"/>
        <v>0</v>
      </c>
      <c r="M69" s="2">
        <f t="shared" si="3"/>
        <v>1</v>
      </c>
      <c r="N69" s="2">
        <f t="shared" si="4"/>
        <v>0</v>
      </c>
      <c r="O69" s="2">
        <f t="shared" si="5"/>
        <v>1</v>
      </c>
    </row>
    <row r="70" spans="2:15">
      <c r="B70" s="989">
        <v>6226</v>
      </c>
      <c r="C70" s="990" t="str">
        <f>IF([1]ACCUEIL!B1=1,"Land rents and rents","Fermages et loyers du foncier")</f>
        <v>Fermages et loyers du foncier</v>
      </c>
      <c r="D70" s="399"/>
      <c r="E70" s="399"/>
      <c r="F70" s="399"/>
      <c r="G70" s="399"/>
      <c r="H70" s="991">
        <f>'[1]CLASSE 6'!I115</f>
        <v>0</v>
      </c>
      <c r="I70" s="991">
        <f>'[1]CLASSE 6'!E115</f>
        <v>0</v>
      </c>
      <c r="J70" s="992">
        <f t="shared" si="0"/>
        <v>0</v>
      </c>
      <c r="K70" s="993">
        <f t="shared" si="1"/>
        <v>0</v>
      </c>
      <c r="L70" s="220">
        <f t="shared" si="2"/>
        <v>0</v>
      </c>
      <c r="M70" s="2">
        <f t="shared" si="3"/>
        <v>1</v>
      </c>
      <c r="N70" s="2">
        <f t="shared" si="4"/>
        <v>0</v>
      </c>
      <c r="O70" s="2">
        <f t="shared" si="5"/>
        <v>1</v>
      </c>
    </row>
    <row r="71" spans="2:15">
      <c r="B71" s="989">
        <v>6228</v>
      </c>
      <c r="C71" s="990" t="str">
        <f>IF([1]ACCUEIL!B1=1,"Rentals and various rental charges","Locations  et charges locatives diverses")</f>
        <v>Locations  et charges locatives diverses</v>
      </c>
      <c r="D71" s="399"/>
      <c r="E71" s="399"/>
      <c r="F71" s="399"/>
      <c r="G71" s="399"/>
      <c r="H71" s="991">
        <f>'[1]CLASSE 6'!I117</f>
        <v>0</v>
      </c>
      <c r="I71" s="991">
        <f>'[1]CLASSE 6'!E117</f>
        <v>0</v>
      </c>
      <c r="J71" s="992">
        <f t="shared" si="0"/>
        <v>0</v>
      </c>
      <c r="K71" s="993">
        <f t="shared" si="1"/>
        <v>0</v>
      </c>
      <c r="L71" s="220">
        <f t="shared" si="2"/>
        <v>0</v>
      </c>
      <c r="M71" s="2">
        <f t="shared" si="3"/>
        <v>1</v>
      </c>
      <c r="N71" s="2">
        <f t="shared" si="4"/>
        <v>0</v>
      </c>
      <c r="O71" s="2">
        <f t="shared" si="5"/>
        <v>1</v>
      </c>
    </row>
    <row r="72" spans="2:15">
      <c r="B72" s="989">
        <v>6232</v>
      </c>
      <c r="C72" s="990" t="str">
        <f>IF([1]ACCUEIL!B1=1,"Real estate leasing","Crédit-bail immobilier")</f>
        <v>Crédit-bail immobilier</v>
      </c>
      <c r="D72" s="399"/>
      <c r="E72" s="399"/>
      <c r="F72" s="399"/>
      <c r="G72" s="399"/>
      <c r="H72" s="991">
        <f>'[1]CLASSE 6'!I121</f>
        <v>0</v>
      </c>
      <c r="I72" s="991">
        <f>'[1]CLASSE 6'!E121</f>
        <v>0</v>
      </c>
      <c r="J72" s="992">
        <f t="shared" si="0"/>
        <v>0</v>
      </c>
      <c r="K72" s="993">
        <f t="shared" si="1"/>
        <v>0</v>
      </c>
      <c r="L72" s="220">
        <f t="shared" si="2"/>
        <v>0</v>
      </c>
      <c r="M72" s="2">
        <f t="shared" si="3"/>
        <v>1</v>
      </c>
      <c r="N72" s="2">
        <f t="shared" si="4"/>
        <v>0</v>
      </c>
      <c r="O72" s="2">
        <f t="shared" si="5"/>
        <v>1</v>
      </c>
    </row>
    <row r="73" spans="2:15">
      <c r="B73" s="989">
        <v>6233</v>
      </c>
      <c r="C73" s="990" t="str">
        <f>IF([1]ACCUEIL!B1=1,"Furniture leasing","Crédit-bail mobilier")</f>
        <v>Crédit-bail mobilier</v>
      </c>
      <c r="D73" s="399"/>
      <c r="E73" s="399"/>
      <c r="F73" s="399"/>
      <c r="G73" s="399"/>
      <c r="H73" s="991">
        <f>'[1]CLASSE 6'!I123</f>
        <v>0</v>
      </c>
      <c r="I73" s="991">
        <f>'[1]CLASSE 6'!E123</f>
        <v>0</v>
      </c>
      <c r="J73" s="992">
        <f t="shared" si="0"/>
        <v>0</v>
      </c>
      <c r="K73" s="993">
        <f t="shared" si="1"/>
        <v>0</v>
      </c>
      <c r="L73" s="220">
        <f t="shared" si="2"/>
        <v>0</v>
      </c>
      <c r="M73" s="2">
        <f t="shared" si="3"/>
        <v>1</v>
      </c>
      <c r="N73" s="2">
        <f t="shared" si="4"/>
        <v>0</v>
      </c>
      <c r="O73" s="2">
        <f t="shared" si="5"/>
        <v>1</v>
      </c>
    </row>
    <row r="74" spans="2:15">
      <c r="B74" s="989">
        <v>6234</v>
      </c>
      <c r="C74" s="990" t="str">
        <f>IF([1]ACCUEIL!B1=1,"Rent sale","Location-vente")</f>
        <v>Location-vente</v>
      </c>
      <c r="D74" s="399"/>
      <c r="E74" s="399"/>
      <c r="F74" s="399"/>
      <c r="G74" s="399"/>
      <c r="H74" s="991">
        <f>'[1]CLASSE 6'!I125</f>
        <v>0</v>
      </c>
      <c r="I74" s="991">
        <f>'[1]CLASSE 6'!E125</f>
        <v>0</v>
      </c>
      <c r="J74" s="992">
        <f t="shared" si="0"/>
        <v>0</v>
      </c>
      <c r="K74" s="993">
        <f t="shared" si="1"/>
        <v>0</v>
      </c>
      <c r="L74" s="220">
        <f t="shared" si="2"/>
        <v>0</v>
      </c>
      <c r="M74" s="2">
        <f t="shared" si="3"/>
        <v>1</v>
      </c>
      <c r="N74" s="2">
        <f t="shared" si="4"/>
        <v>0</v>
      </c>
      <c r="O74" s="2">
        <f t="shared" si="5"/>
        <v>1</v>
      </c>
    </row>
    <row r="75" spans="2:15">
      <c r="B75" s="989">
        <v>6238</v>
      </c>
      <c r="C75" s="990" t="str">
        <f>IF([1]ACCUEIL!B1=1,"Other capital leases","Autres contrats de location-acquisition")</f>
        <v>Autres contrats de location-acquisition</v>
      </c>
      <c r="D75" s="399"/>
      <c r="E75" s="399"/>
      <c r="F75" s="399"/>
      <c r="G75" s="399"/>
      <c r="H75" s="991">
        <f>'[1]CLASSE 6'!I127</f>
        <v>0</v>
      </c>
      <c r="I75" s="991">
        <f>'[1]CLASSE 6'!E127</f>
        <v>0</v>
      </c>
      <c r="J75" s="992">
        <f t="shared" si="0"/>
        <v>0</v>
      </c>
      <c r="K75" s="993">
        <f t="shared" si="1"/>
        <v>0</v>
      </c>
      <c r="L75" s="220">
        <f t="shared" si="2"/>
        <v>0</v>
      </c>
      <c r="M75" s="2">
        <f t="shared" si="3"/>
        <v>1</v>
      </c>
      <c r="N75" s="2">
        <f t="shared" si="4"/>
        <v>0</v>
      </c>
      <c r="O75" s="2">
        <f t="shared" si="5"/>
        <v>1</v>
      </c>
    </row>
    <row r="76" spans="2:15">
      <c r="B76" s="989">
        <v>6241</v>
      </c>
      <c r="C76" s="990" t="str">
        <f>IF([1]ACCUEIL!B1=1,"maintenance and repair of real estate","Entretien et réparation des biens immobiliers")</f>
        <v>Entretien et réparation des biens immobiliers</v>
      </c>
      <c r="D76" s="399"/>
      <c r="E76" s="399"/>
      <c r="F76" s="399"/>
      <c r="G76" s="399"/>
      <c r="H76" s="991">
        <f>'[1]CLASSE 6'!I131</f>
        <v>0</v>
      </c>
      <c r="I76" s="991">
        <f>'[1]CLASSE 6'!E131</f>
        <v>0</v>
      </c>
      <c r="J76" s="992">
        <f t="shared" si="0"/>
        <v>0</v>
      </c>
      <c r="K76" s="993">
        <f t="shared" si="1"/>
        <v>0</v>
      </c>
      <c r="L76" s="220">
        <f t="shared" si="2"/>
        <v>0</v>
      </c>
      <c r="M76" s="2">
        <f t="shared" si="3"/>
        <v>1</v>
      </c>
      <c r="N76" s="2">
        <f t="shared" si="4"/>
        <v>0</v>
      </c>
      <c r="O76" s="2">
        <f t="shared" si="5"/>
        <v>1</v>
      </c>
    </row>
    <row r="77" spans="2:15">
      <c r="B77" s="989">
        <v>6242</v>
      </c>
      <c r="C77" s="990" t="str">
        <f>IF([1]ACCUEIL!B1=1,"Maintenance and repair of movable property","Entretien et réparation des biens mobiliers")</f>
        <v>Entretien et réparation des biens mobiliers</v>
      </c>
      <c r="D77" s="399"/>
      <c r="E77" s="399"/>
      <c r="F77" s="399"/>
      <c r="G77" s="399"/>
      <c r="H77" s="991">
        <f>'[1]CLASSE 6'!I133</f>
        <v>0</v>
      </c>
      <c r="I77" s="991">
        <f>'[1]CLASSE 6'!E133</f>
        <v>0</v>
      </c>
      <c r="J77" s="992">
        <f t="shared" si="0"/>
        <v>0</v>
      </c>
      <c r="K77" s="993">
        <f t="shared" si="1"/>
        <v>0</v>
      </c>
      <c r="L77" s="220">
        <f t="shared" si="2"/>
        <v>0</v>
      </c>
      <c r="M77" s="2">
        <f t="shared" si="3"/>
        <v>1</v>
      </c>
      <c r="N77" s="2">
        <f t="shared" si="4"/>
        <v>0</v>
      </c>
      <c r="O77" s="2">
        <f t="shared" si="5"/>
        <v>1</v>
      </c>
    </row>
    <row r="78" spans="2:15">
      <c r="B78" s="989">
        <v>6243</v>
      </c>
      <c r="C78" s="990" t="str">
        <f>IF([1]ACCUEIL!B1=1,"Maintenance","Maintenance")</f>
        <v>Maintenance</v>
      </c>
      <c r="D78" s="399"/>
      <c r="E78" s="399"/>
      <c r="F78" s="399"/>
      <c r="G78" s="399"/>
      <c r="H78" s="991">
        <f>'[1]CLASSE 6'!I135</f>
        <v>0</v>
      </c>
      <c r="I78" s="991">
        <f>'[1]CLASSE 6'!E135</f>
        <v>0</v>
      </c>
      <c r="J78" s="992">
        <f>H78-I78</f>
        <v>0</v>
      </c>
      <c r="K78" s="993">
        <f>IF(L78=0,0,O78)</f>
        <v>0</v>
      </c>
      <c r="L78" s="220">
        <f>H78-I78</f>
        <v>0</v>
      </c>
      <c r="M78" s="2">
        <f>IF(I78=0,1,IF(I78&lt;0,(H78-I78)/-I78,(H78-I78)/I78))</f>
        <v>1</v>
      </c>
      <c r="N78" s="2">
        <f>IF(L78=H78,IF(H78&lt;0,-1,0),0)</f>
        <v>0</v>
      </c>
      <c r="O78" s="2">
        <f>IF(N78=-1,-1,M78)</f>
        <v>1</v>
      </c>
    </row>
    <row r="79" spans="2:15">
      <c r="B79" s="989">
        <v>6244</v>
      </c>
      <c r="C79" s="990" t="str">
        <f>IF([1]ACCUEIL!B1=1,"Dismantling and refurbishment costs","Charges de démantèlement et remise en état")</f>
        <v>Charges de démantèlement et remise en état</v>
      </c>
      <c r="D79" s="399"/>
      <c r="E79" s="399"/>
      <c r="F79" s="399"/>
      <c r="G79" s="399"/>
      <c r="H79" s="991">
        <f>'[1]CLASSE 6'!I137</f>
        <v>0</v>
      </c>
      <c r="I79" s="991">
        <f>'[1]CLASSE 6'!E137</f>
        <v>0</v>
      </c>
      <c r="J79" s="992"/>
      <c r="K79" s="993"/>
      <c r="L79" s="220"/>
      <c r="M79" s="2"/>
      <c r="N79" s="2"/>
      <c r="O79" s="2"/>
    </row>
    <row r="80" spans="2:15">
      <c r="B80" s="989">
        <v>6248</v>
      </c>
      <c r="C80" s="990" t="str">
        <f>IF([1]ACCUEIL!B1=1,"Other maintenance and repairs","Autres entretiens et réparations")</f>
        <v>Autres entretiens et réparations</v>
      </c>
      <c r="D80" s="399"/>
      <c r="E80" s="399"/>
      <c r="F80" s="399"/>
      <c r="G80" s="399"/>
      <c r="H80" s="991">
        <f>'[1]CLASSE 6'!I139</f>
        <v>0</v>
      </c>
      <c r="I80" s="991">
        <f>'[1]CLASSE 6'!E139</f>
        <v>0</v>
      </c>
      <c r="J80" s="992"/>
      <c r="K80" s="993"/>
      <c r="L80" s="220"/>
      <c r="M80" s="2"/>
      <c r="N80" s="2"/>
      <c r="O80" s="2"/>
    </row>
    <row r="81" spans="2:15">
      <c r="B81" s="1006"/>
      <c r="C81" s="1007"/>
      <c r="D81" s="1008"/>
      <c r="E81" s="1008"/>
      <c r="F81" s="1008"/>
      <c r="G81" s="1009"/>
      <c r="H81" s="1010"/>
      <c r="I81" s="1010"/>
      <c r="J81" s="1011"/>
      <c r="K81" s="1012"/>
      <c r="L81" s="220"/>
      <c r="M81" s="2"/>
      <c r="N81" s="2"/>
      <c r="O81" s="2"/>
    </row>
    <row r="82" spans="2:15">
      <c r="B82" s="2168" t="str">
        <f>IF([1]ACCUEIL!B1=1,"NORMAL SYSTEM","SYSTÈME NORMAL")</f>
        <v>SYSTÈME NORMAL</v>
      </c>
      <c r="C82" s="2169"/>
      <c r="D82" s="2158"/>
      <c r="E82" s="2158"/>
      <c r="F82" s="2159"/>
      <c r="G82" s="2160" t="str">
        <f>IF([1]ACCUEIL!B1=1,"SUPPLEMENTARY STATEMENT N ° 1 PAGE 2/4","ETAT COMPLEMENTAIRE N° 1 PAGE 2/4")</f>
        <v>ETAT COMPLEMENTAIRE N° 1 PAGE 2/4</v>
      </c>
      <c r="H82" s="2161"/>
      <c r="I82" s="2162"/>
      <c r="J82" s="399"/>
      <c r="K82" s="399"/>
    </row>
    <row r="83" spans="2:15">
      <c r="B83" s="957" t="str">
        <f>B3</f>
        <v>Désignation entité:</v>
      </c>
      <c r="C83" s="1013"/>
      <c r="D83" s="1014" t="str">
        <f>D3</f>
        <v/>
      </c>
      <c r="E83" s="1015"/>
      <c r="F83" s="1015"/>
      <c r="G83" s="1015"/>
      <c r="H83" s="1015"/>
      <c r="I83" s="1015"/>
      <c r="J83" s="1016"/>
      <c r="K83" s="1016"/>
    </row>
    <row r="84" spans="2:15">
      <c r="B84" s="957" t="str">
        <f>+B4</f>
        <v>Sigle usuel :</v>
      </c>
      <c r="D84" s="1017" t="str">
        <f>D4</f>
        <v/>
      </c>
      <c r="E84" s="1018"/>
      <c r="F84" s="1019"/>
      <c r="G84" s="1020"/>
      <c r="H84" s="1021"/>
      <c r="I84" s="1021"/>
      <c r="J84" s="1022"/>
    </row>
    <row r="85" spans="2:15">
      <c r="B85" s="957" t="str">
        <f>B5</f>
        <v>Adresse:</v>
      </c>
      <c r="D85" s="1023">
        <f>D5</f>
        <v>0</v>
      </c>
      <c r="E85" s="1024"/>
      <c r="F85" s="1025"/>
      <c r="G85" s="1016"/>
      <c r="H85" s="1016"/>
      <c r="I85" s="1016"/>
      <c r="J85" s="1026" t="str">
        <f>J5</f>
        <v>BP:</v>
      </c>
      <c r="K85" s="1027" t="str">
        <f>+K5</f>
        <v/>
      </c>
    </row>
    <row r="86" spans="2:15">
      <c r="B86" s="957" t="str">
        <f>B6</f>
        <v>Numéro d'identification:</v>
      </c>
      <c r="C86" s="958"/>
      <c r="D86" s="1028" t="str">
        <f>D6</f>
        <v/>
      </c>
      <c r="E86" s="1022"/>
      <c r="F86" s="1029"/>
      <c r="G86" s="1030" t="str">
        <f>H6</f>
        <v xml:space="preserve">   Exercice clos le 31 - 12- </v>
      </c>
      <c r="H86" s="1031">
        <f>I6</f>
        <v>2025</v>
      </c>
      <c r="I86" s="1022"/>
      <c r="J86" s="1030" t="str">
        <f>J6</f>
        <v xml:space="preserve">    Durée (en mois):</v>
      </c>
      <c r="K86" s="1032">
        <f>+K6</f>
        <v>12</v>
      </c>
    </row>
    <row r="87" spans="2:15">
      <c r="B87" s="957"/>
      <c r="C87" s="957"/>
      <c r="D87" s="957"/>
      <c r="E87" s="399"/>
      <c r="F87" s="399"/>
      <c r="G87" s="399"/>
      <c r="H87" s="399"/>
      <c r="I87" s="399"/>
      <c r="J87" s="399"/>
      <c r="K87" s="399"/>
    </row>
    <row r="88" spans="2:15">
      <c r="B88" s="1546" t="str">
        <f>IF([1]ACCUEIL!B1=1,"SUPPLEMENTARY STATE DIRECTION GENERALE DES TAXES / NATIONAL ACCOUNTING","ETAT COMPLEMENTAIRE DIRECTION GENERALE DES IMPOTS / COMPTABILITE NATIONALE")</f>
        <v>ETAT COMPLEMENTAIRE DIRECTION GENERALE DES IMPOTS / COMPTABILITE NATIONALE</v>
      </c>
      <c r="C88" s="1546"/>
      <c r="D88" s="1546"/>
      <c r="E88" s="1546"/>
      <c r="F88" s="1546"/>
      <c r="G88" s="1546"/>
      <c r="H88" s="1546"/>
      <c r="I88" s="1546"/>
      <c r="J88" s="1546"/>
      <c r="K88" s="1546"/>
    </row>
    <row r="89" spans="2:15">
      <c r="B89" s="1033"/>
      <c r="C89" s="1008"/>
      <c r="D89" s="1008"/>
      <c r="E89" s="1008"/>
      <c r="F89" s="1008"/>
      <c r="G89" s="1008"/>
      <c r="H89" s="1008"/>
      <c r="I89" s="1008"/>
      <c r="J89" s="1008"/>
      <c r="K89" s="1008"/>
    </row>
    <row r="90" spans="2:15">
      <c r="B90" s="1034"/>
      <c r="C90" s="1035"/>
      <c r="D90" s="1035"/>
      <c r="E90" s="1035"/>
      <c r="F90" s="1035"/>
      <c r="G90" s="1036"/>
      <c r="H90" s="1036"/>
      <c r="I90" s="1037"/>
      <c r="J90" s="2170" t="str">
        <f>J10</f>
        <v>Variations N/N-1</v>
      </c>
      <c r="K90" s="2171"/>
    </row>
    <row r="91" spans="2:15">
      <c r="B91" s="2165" t="str">
        <f>IF([1]ACCUEIL!B1=1,"DETAILS OF GNF LOADS (CONTINUED)","DETAIL DES CHARGES EN GNF (SUITE)")</f>
        <v>DETAIL DES CHARGES EN GNF (SUITE)</v>
      </c>
      <c r="C91" s="2166"/>
      <c r="D91" s="2166"/>
      <c r="E91" s="2166"/>
      <c r="F91" s="2166"/>
      <c r="G91" s="2167"/>
      <c r="H91" s="1038" t="str">
        <f>H11</f>
        <v xml:space="preserve">Année N </v>
      </c>
      <c r="I91" s="1038" t="str">
        <f>I11</f>
        <v>Année N-1</v>
      </c>
      <c r="J91" s="1039" t="str">
        <f>J11</f>
        <v xml:space="preserve">En valeur </v>
      </c>
      <c r="K91" s="1039" t="str">
        <f>K11</f>
        <v>En %</v>
      </c>
    </row>
    <row r="92" spans="2:15">
      <c r="B92" s="1040"/>
      <c r="C92" s="1041"/>
      <c r="D92" s="1041"/>
      <c r="E92" s="1041"/>
      <c r="F92" s="1041"/>
      <c r="G92" s="1042"/>
      <c r="H92" s="1043"/>
      <c r="I92" s="1043"/>
      <c r="J92" s="1044"/>
      <c r="K92" s="1045"/>
    </row>
    <row r="93" spans="2:15">
      <c r="B93" s="989">
        <v>6251</v>
      </c>
      <c r="C93" s="990" t="str">
        <f>IF([1]ACCUEIL!B1=1,"Multi-risk insurance","Assurances multirisques ")</f>
        <v xml:space="preserve">Assurances multirisques </v>
      </c>
      <c r="D93" s="399"/>
      <c r="E93" s="399"/>
      <c r="F93" s="399"/>
      <c r="G93" s="399"/>
      <c r="H93" s="991">
        <f>'[1]CLASSE 6'!I143</f>
        <v>0</v>
      </c>
      <c r="I93" s="991">
        <f>'[1]CLASSE 6'!E143</f>
        <v>0</v>
      </c>
      <c r="J93" s="992">
        <f t="shared" ref="J93:J156" si="6">H93-I93</f>
        <v>0</v>
      </c>
      <c r="K93" s="993">
        <f t="shared" ref="K93:K156" si="7">IF(L93=0,0,O93)</f>
        <v>0</v>
      </c>
      <c r="L93" s="220">
        <f t="shared" ref="L93:L156" si="8">H93-I93</f>
        <v>0</v>
      </c>
      <c r="M93" s="2">
        <f t="shared" ref="M93:M156" si="9">IF(I93=0,1,IF(I93&lt;0,(H93-I93)/-I93,(H93-I93)/I93))</f>
        <v>1</v>
      </c>
      <c r="N93" s="2">
        <f t="shared" ref="N93:N156" si="10">IF(L93=H93,IF(H93&lt;0,-1,0),0)</f>
        <v>0</v>
      </c>
      <c r="O93" s="2">
        <f t="shared" ref="O93:O156" si="11">IF(N93=-1,-1,M93)</f>
        <v>1</v>
      </c>
    </row>
    <row r="94" spans="2:15">
      <c r="B94" s="989">
        <v>6252</v>
      </c>
      <c r="C94" s="990" t="str">
        <f>IF([1]ACCUEIL!B1=1,"Transport equipment insurance","Assurances matériels de transport")</f>
        <v>Assurances matériels de transport</v>
      </c>
      <c r="D94" s="399"/>
      <c r="E94" s="399"/>
      <c r="F94" s="399"/>
      <c r="G94" s="399"/>
      <c r="H94" s="991">
        <f>'[1]CLASSE 6'!I145</f>
        <v>0</v>
      </c>
      <c r="I94" s="991">
        <f>'[1]CLASSE 6'!E145</f>
        <v>0</v>
      </c>
      <c r="J94" s="992">
        <f t="shared" si="6"/>
        <v>0</v>
      </c>
      <c r="K94" s="993">
        <f t="shared" si="7"/>
        <v>0</v>
      </c>
      <c r="L94" s="220">
        <f t="shared" si="8"/>
        <v>0</v>
      </c>
      <c r="M94" s="2">
        <f t="shared" si="9"/>
        <v>1</v>
      </c>
      <c r="N94" s="2">
        <f t="shared" si="10"/>
        <v>0</v>
      </c>
      <c r="O94" s="2">
        <f t="shared" si="11"/>
        <v>1</v>
      </c>
    </row>
    <row r="95" spans="2:15">
      <c r="B95" s="989">
        <v>6253</v>
      </c>
      <c r="C95" s="990" t="str">
        <f>IF([1]ACCUEIL!B1=1,"Operational risk insurance","Assurances risques d'exploitation")</f>
        <v>Assurances risques d'exploitation</v>
      </c>
      <c r="D95" s="399"/>
      <c r="E95" s="399"/>
      <c r="F95" s="399"/>
      <c r="G95" s="399"/>
      <c r="H95" s="991">
        <f>'[1]CLASSE 6'!I147</f>
        <v>0</v>
      </c>
      <c r="I95" s="991">
        <f>'[1]CLASSE 6'!E147</f>
        <v>0</v>
      </c>
      <c r="J95" s="992">
        <f t="shared" si="6"/>
        <v>0</v>
      </c>
      <c r="K95" s="993">
        <f t="shared" si="7"/>
        <v>0</v>
      </c>
      <c r="L95" s="220">
        <f t="shared" si="8"/>
        <v>0</v>
      </c>
      <c r="M95" s="2">
        <f t="shared" si="9"/>
        <v>1</v>
      </c>
      <c r="N95" s="2">
        <f t="shared" si="10"/>
        <v>0</v>
      </c>
      <c r="O95" s="2">
        <f t="shared" si="11"/>
        <v>1</v>
      </c>
    </row>
    <row r="96" spans="2:15">
      <c r="B96" s="989">
        <v>6254</v>
      </c>
      <c r="C96" s="990" t="str">
        <f>IF([1]ACCUEIL!B1=1,"Producer liability insurance","Assurances responsabilité du producteur")</f>
        <v>Assurances responsabilité du producteur</v>
      </c>
      <c r="D96" s="399"/>
      <c r="E96" s="399"/>
      <c r="F96" s="399"/>
      <c r="G96" s="399"/>
      <c r="H96" s="991">
        <f>'[1]CLASSE 6'!I149</f>
        <v>0</v>
      </c>
      <c r="I96" s="991">
        <f>'[1]CLASSE 6'!E149</f>
        <v>0</v>
      </c>
      <c r="J96" s="992">
        <f t="shared" si="6"/>
        <v>0</v>
      </c>
      <c r="K96" s="993">
        <f t="shared" si="7"/>
        <v>0</v>
      </c>
      <c r="L96" s="220">
        <f t="shared" si="8"/>
        <v>0</v>
      </c>
      <c r="M96" s="2">
        <f t="shared" si="9"/>
        <v>1</v>
      </c>
      <c r="N96" s="2">
        <f t="shared" si="10"/>
        <v>0</v>
      </c>
      <c r="O96" s="2">
        <f t="shared" si="11"/>
        <v>1</v>
      </c>
    </row>
    <row r="97" spans="2:15">
      <c r="B97" s="989">
        <v>6255</v>
      </c>
      <c r="C97" s="990" t="str">
        <f>IF([1]ACCUEIL!B1=1,"Client insolvency insurance","Assurances insolvabilité clients")</f>
        <v>Assurances insolvabilité clients</v>
      </c>
      <c r="D97" s="399"/>
      <c r="E97" s="399"/>
      <c r="F97" s="399"/>
      <c r="G97" s="399"/>
      <c r="H97" s="991">
        <f>'[1]CLASSE 6'!I151</f>
        <v>0</v>
      </c>
      <c r="I97" s="991">
        <f>'[1]CLASSE 6'!E151</f>
        <v>0</v>
      </c>
      <c r="J97" s="992">
        <f t="shared" si="6"/>
        <v>0</v>
      </c>
      <c r="K97" s="993">
        <f t="shared" si="7"/>
        <v>0</v>
      </c>
      <c r="L97" s="220">
        <f t="shared" si="8"/>
        <v>0</v>
      </c>
      <c r="M97" s="2">
        <f t="shared" si="9"/>
        <v>1</v>
      </c>
      <c r="N97" s="2">
        <f t="shared" si="10"/>
        <v>0</v>
      </c>
      <c r="O97" s="2">
        <f t="shared" si="11"/>
        <v>1</v>
      </c>
    </row>
    <row r="98" spans="2:15">
      <c r="B98" s="989">
        <v>6257</v>
      </c>
      <c r="C98" s="990" t="str">
        <f>IF([1]ACCUEIL!B1=1,"Transport insurance on sales","Assurances transport sur ventes")</f>
        <v>Assurances transport sur ventes</v>
      </c>
      <c r="D98" s="399"/>
      <c r="E98" s="399"/>
      <c r="F98" s="399"/>
      <c r="G98" s="399"/>
      <c r="H98" s="991">
        <f>'[1]CLASSE 6'!I153</f>
        <v>0</v>
      </c>
      <c r="I98" s="991">
        <f>'[1]CLASSE 6'!E153</f>
        <v>0</v>
      </c>
      <c r="J98" s="992">
        <f t="shared" si="6"/>
        <v>0</v>
      </c>
      <c r="K98" s="993">
        <f t="shared" si="7"/>
        <v>0</v>
      </c>
      <c r="L98" s="220">
        <f t="shared" si="8"/>
        <v>0</v>
      </c>
      <c r="M98" s="2">
        <f t="shared" si="9"/>
        <v>1</v>
      </c>
      <c r="N98" s="2">
        <f t="shared" si="10"/>
        <v>0</v>
      </c>
      <c r="O98" s="2">
        <f t="shared" si="11"/>
        <v>1</v>
      </c>
    </row>
    <row r="99" spans="2:15">
      <c r="B99" s="989">
        <v>6258</v>
      </c>
      <c r="C99" s="990" t="str">
        <f>IF([1]ACCUEIL!B1=1,"Other insurance premiums","Autres primes d'assurances")</f>
        <v>Autres primes d'assurances</v>
      </c>
      <c r="D99" s="399"/>
      <c r="E99" s="399"/>
      <c r="F99" s="399"/>
      <c r="G99" s="399"/>
      <c r="H99" s="991">
        <f>'[1]CLASSE 6'!I155</f>
        <v>0</v>
      </c>
      <c r="I99" s="991">
        <f>'[1]CLASSE 6'!E155</f>
        <v>0</v>
      </c>
      <c r="J99" s="992">
        <f t="shared" si="6"/>
        <v>0</v>
      </c>
      <c r="K99" s="993">
        <f t="shared" si="7"/>
        <v>0</v>
      </c>
      <c r="L99" s="220">
        <f t="shared" si="8"/>
        <v>0</v>
      </c>
      <c r="M99" s="2">
        <f t="shared" si="9"/>
        <v>1</v>
      </c>
      <c r="N99" s="2">
        <f t="shared" si="10"/>
        <v>0</v>
      </c>
      <c r="O99" s="2">
        <f t="shared" si="11"/>
        <v>1</v>
      </c>
    </row>
    <row r="100" spans="2:15">
      <c r="B100" s="989">
        <v>6261</v>
      </c>
      <c r="C100" s="990" t="str">
        <f>IF([1]ACCUEIL!B1=1,"Studies and research","Études et recherches")</f>
        <v>Études et recherches</v>
      </c>
      <c r="D100" s="399"/>
      <c r="E100" s="399"/>
      <c r="F100" s="399"/>
      <c r="G100" s="399"/>
      <c r="H100" s="991">
        <f>'[1]CLASSE 6'!I159</f>
        <v>0</v>
      </c>
      <c r="I100" s="991">
        <f>'[1]CLASSE 6'!E159</f>
        <v>0</v>
      </c>
      <c r="J100" s="992">
        <f t="shared" si="6"/>
        <v>0</v>
      </c>
      <c r="K100" s="993">
        <f t="shared" si="7"/>
        <v>0</v>
      </c>
      <c r="L100" s="220">
        <f t="shared" si="8"/>
        <v>0</v>
      </c>
      <c r="M100" s="2">
        <f t="shared" si="9"/>
        <v>1</v>
      </c>
      <c r="N100" s="2">
        <f t="shared" si="10"/>
        <v>0</v>
      </c>
      <c r="O100" s="2">
        <f t="shared" si="11"/>
        <v>1</v>
      </c>
    </row>
    <row r="101" spans="2:15">
      <c r="B101" s="989">
        <v>6265</v>
      </c>
      <c r="C101" s="990" t="str">
        <f>IF([1]ACCUEIL!B1=1,"General documentation","Documentation générale")</f>
        <v>Documentation générale</v>
      </c>
      <c r="D101" s="399"/>
      <c r="E101" s="399"/>
      <c r="F101" s="399"/>
      <c r="G101" s="399"/>
      <c r="H101" s="991">
        <f>'[1]CLASSE 6'!I161</f>
        <v>0</v>
      </c>
      <c r="I101" s="991">
        <f>'[1]CLASSE 6'!E161</f>
        <v>0</v>
      </c>
      <c r="J101" s="992">
        <f t="shared" si="6"/>
        <v>0</v>
      </c>
      <c r="K101" s="993">
        <f t="shared" si="7"/>
        <v>0</v>
      </c>
      <c r="L101" s="220">
        <f t="shared" si="8"/>
        <v>0</v>
      </c>
      <c r="M101" s="2">
        <f t="shared" si="9"/>
        <v>1</v>
      </c>
      <c r="N101" s="2">
        <f t="shared" si="10"/>
        <v>0</v>
      </c>
      <c r="O101" s="2">
        <f t="shared" si="11"/>
        <v>1</v>
      </c>
    </row>
    <row r="102" spans="2:15">
      <c r="B102" s="989">
        <v>6266</v>
      </c>
      <c r="C102" s="990" t="str">
        <f>IF([1]ACCUEIL!B1=1,"Technical documentation","Documentation technique")</f>
        <v>Documentation technique</v>
      </c>
      <c r="D102" s="399"/>
      <c r="E102" s="399"/>
      <c r="F102" s="399"/>
      <c r="G102" s="399"/>
      <c r="H102" s="991">
        <f>'[1]CLASSE 6'!I163</f>
        <v>0</v>
      </c>
      <c r="I102" s="991">
        <f>'[1]CLASSE 6'!E163</f>
        <v>0</v>
      </c>
      <c r="J102" s="992">
        <f t="shared" si="6"/>
        <v>0</v>
      </c>
      <c r="K102" s="993">
        <f t="shared" si="7"/>
        <v>0</v>
      </c>
      <c r="L102" s="220">
        <f t="shared" si="8"/>
        <v>0</v>
      </c>
      <c r="M102" s="2">
        <f t="shared" si="9"/>
        <v>1</v>
      </c>
      <c r="N102" s="2">
        <f t="shared" si="10"/>
        <v>0</v>
      </c>
      <c r="O102" s="2">
        <f t="shared" si="11"/>
        <v>1</v>
      </c>
    </row>
    <row r="103" spans="2:15">
      <c r="B103" s="989">
        <v>6271</v>
      </c>
      <c r="C103" s="990" t="str">
        <f>IF([1]ACCUEIL!B1=1,"Announcements, insertions","Annonces, insertions")</f>
        <v>Annonces, insertions</v>
      </c>
      <c r="D103" s="399"/>
      <c r="E103" s="399"/>
      <c r="F103" s="399"/>
      <c r="G103" s="399"/>
      <c r="H103" s="991">
        <f>'[1]CLASSE 6'!I167</f>
        <v>0</v>
      </c>
      <c r="I103" s="991">
        <f>'[1]CLASSE 6'!E167</f>
        <v>0</v>
      </c>
      <c r="J103" s="992">
        <f t="shared" si="6"/>
        <v>0</v>
      </c>
      <c r="K103" s="993">
        <f t="shared" si="7"/>
        <v>0</v>
      </c>
      <c r="L103" s="220">
        <f t="shared" si="8"/>
        <v>0</v>
      </c>
      <c r="M103" s="2">
        <f t="shared" si="9"/>
        <v>1</v>
      </c>
      <c r="N103" s="2">
        <f t="shared" si="10"/>
        <v>0</v>
      </c>
      <c r="O103" s="2">
        <f t="shared" si="11"/>
        <v>1</v>
      </c>
    </row>
    <row r="104" spans="2:15">
      <c r="B104" s="989">
        <v>6272</v>
      </c>
      <c r="C104" s="990" t="str">
        <f>IF([1]ACCUEIL!B1=1,"Catalogs, printed advertising","Catalogues, imprimés publicitaires")</f>
        <v>Catalogues, imprimés publicitaires</v>
      </c>
      <c r="D104" s="399"/>
      <c r="E104" s="399"/>
      <c r="F104" s="399"/>
      <c r="G104" s="399"/>
      <c r="H104" s="991">
        <f>'[1]CLASSE 6'!I169</f>
        <v>0</v>
      </c>
      <c r="I104" s="991">
        <f>'[1]CLASSE 6'!E169</f>
        <v>0</v>
      </c>
      <c r="J104" s="992">
        <f t="shared" si="6"/>
        <v>0</v>
      </c>
      <c r="K104" s="993">
        <f t="shared" si="7"/>
        <v>0</v>
      </c>
      <c r="L104" s="220">
        <f t="shared" si="8"/>
        <v>0</v>
      </c>
      <c r="M104" s="2">
        <f t="shared" si="9"/>
        <v>1</v>
      </c>
      <c r="N104" s="2">
        <f t="shared" si="10"/>
        <v>0</v>
      </c>
      <c r="O104" s="2">
        <f t="shared" si="11"/>
        <v>1</v>
      </c>
    </row>
    <row r="105" spans="2:15">
      <c r="B105" s="989">
        <v>6273</v>
      </c>
      <c r="C105" s="990" t="str">
        <f>IF([1]ACCUEIL!B1=1,"Samples","Échantillons")</f>
        <v>Échantillons</v>
      </c>
      <c r="D105" s="399"/>
      <c r="E105" s="399"/>
      <c r="F105" s="399"/>
      <c r="G105" s="399"/>
      <c r="H105" s="991">
        <f>'[1]CLASSE 6'!I171</f>
        <v>0</v>
      </c>
      <c r="I105" s="991">
        <f>'[1]CLASSE 6'!E171</f>
        <v>0</v>
      </c>
      <c r="J105" s="992">
        <f t="shared" si="6"/>
        <v>0</v>
      </c>
      <c r="K105" s="993">
        <f t="shared" si="7"/>
        <v>0</v>
      </c>
      <c r="L105" s="220">
        <f t="shared" si="8"/>
        <v>0</v>
      </c>
      <c r="M105" s="2">
        <f t="shared" si="9"/>
        <v>1</v>
      </c>
      <c r="N105" s="2">
        <f t="shared" si="10"/>
        <v>0</v>
      </c>
      <c r="O105" s="2">
        <f t="shared" si="11"/>
        <v>1</v>
      </c>
    </row>
    <row r="106" spans="2:15">
      <c r="B106" s="989">
        <v>6274</v>
      </c>
      <c r="C106" s="990" t="str">
        <f>IF([1]ACCUEIL!B1=1,"Trade fairs and exhibitions","Foires et expositions")</f>
        <v>Foires et expositions</v>
      </c>
      <c r="D106" s="399"/>
      <c r="E106" s="399"/>
      <c r="F106" s="399"/>
      <c r="G106" s="399"/>
      <c r="H106" s="991">
        <f>'[1]CLASSE 6'!I173</f>
        <v>0</v>
      </c>
      <c r="I106" s="991">
        <f>'[1]CLASSE 6'!E173</f>
        <v>0</v>
      </c>
      <c r="J106" s="992">
        <f t="shared" si="6"/>
        <v>0</v>
      </c>
      <c r="K106" s="993">
        <f t="shared" si="7"/>
        <v>0</v>
      </c>
      <c r="L106" s="220">
        <f t="shared" si="8"/>
        <v>0</v>
      </c>
      <c r="M106" s="2">
        <f t="shared" si="9"/>
        <v>1</v>
      </c>
      <c r="N106" s="2">
        <f t="shared" si="10"/>
        <v>0</v>
      </c>
      <c r="O106" s="2">
        <f t="shared" si="11"/>
        <v>1</v>
      </c>
    </row>
    <row r="107" spans="2:15">
      <c r="B107" s="989">
        <v>6275</v>
      </c>
      <c r="C107" s="990" t="s">
        <v>312</v>
      </c>
      <c r="D107" s="399"/>
      <c r="E107" s="399"/>
      <c r="F107" s="399"/>
      <c r="G107" s="399"/>
      <c r="H107" s="991">
        <f>'[1]CLASSE 6'!I175</f>
        <v>0</v>
      </c>
      <c r="I107" s="991">
        <f>'[1]CLASSE 6'!E175</f>
        <v>0</v>
      </c>
      <c r="J107" s="992">
        <f t="shared" si="6"/>
        <v>0</v>
      </c>
      <c r="K107" s="993">
        <f t="shared" si="7"/>
        <v>0</v>
      </c>
      <c r="L107" s="220">
        <f t="shared" si="8"/>
        <v>0</v>
      </c>
      <c r="M107" s="2">
        <f t="shared" si="9"/>
        <v>1</v>
      </c>
      <c r="N107" s="2">
        <f t="shared" si="10"/>
        <v>0</v>
      </c>
      <c r="O107" s="2">
        <f t="shared" si="11"/>
        <v>1</v>
      </c>
    </row>
    <row r="108" spans="2:15">
      <c r="B108" s="989">
        <v>6276</v>
      </c>
      <c r="C108" s="990" t="str">
        <f>IF([1]ACCUEIL!B1=1,"Customer gifts","Cadeaux à la clientèle")</f>
        <v>Cadeaux à la clientèle</v>
      </c>
      <c r="D108" s="399"/>
      <c r="E108" s="399"/>
      <c r="F108" s="399"/>
      <c r="G108" s="399"/>
      <c r="H108" s="991">
        <f>'[1]CLASSE 6'!I177</f>
        <v>0</v>
      </c>
      <c r="I108" s="991">
        <f>'[1]CLASSE 6'!E177</f>
        <v>0</v>
      </c>
      <c r="J108" s="992">
        <f t="shared" si="6"/>
        <v>0</v>
      </c>
      <c r="K108" s="993">
        <f t="shared" si="7"/>
        <v>0</v>
      </c>
      <c r="L108" s="220">
        <f t="shared" si="8"/>
        <v>0</v>
      </c>
      <c r="M108" s="2">
        <f t="shared" si="9"/>
        <v>1</v>
      </c>
      <c r="N108" s="2">
        <f t="shared" si="10"/>
        <v>0</v>
      </c>
      <c r="O108" s="2">
        <f t="shared" si="11"/>
        <v>1</v>
      </c>
    </row>
    <row r="109" spans="2:15">
      <c r="B109" s="989">
        <v>6277</v>
      </c>
      <c r="C109" s="990" t="str">
        <f>IF([1]ACCUEIL!B1=1,"Colloquiums, seminars, conferences fees","Frais de colloques, séminaires, conférences")</f>
        <v>Frais de colloques, séminaires, conférences</v>
      </c>
      <c r="D109" s="399"/>
      <c r="E109" s="399"/>
      <c r="F109" s="399"/>
      <c r="G109" s="399"/>
      <c r="H109" s="991">
        <f>'[1]CLASSE 6'!I179</f>
        <v>0</v>
      </c>
      <c r="I109" s="991">
        <f>'[1]CLASSE 6'!E179</f>
        <v>0</v>
      </c>
      <c r="J109" s="992">
        <f t="shared" si="6"/>
        <v>0</v>
      </c>
      <c r="K109" s="993">
        <f t="shared" si="7"/>
        <v>0</v>
      </c>
      <c r="L109" s="220">
        <f t="shared" si="8"/>
        <v>0</v>
      </c>
      <c r="M109" s="2">
        <f t="shared" si="9"/>
        <v>1</v>
      </c>
      <c r="N109" s="2">
        <f t="shared" si="10"/>
        <v>0</v>
      </c>
      <c r="O109" s="2">
        <f t="shared" si="11"/>
        <v>1</v>
      </c>
    </row>
    <row r="110" spans="2:15">
      <c r="B110" s="989">
        <v>6278</v>
      </c>
      <c r="C110" s="990" t="str">
        <f>IF([1]ACCUEIL!B1=1,"Other advertising and public relations expenses","Autres charges de publicité et relations publiques")</f>
        <v>Autres charges de publicité et relations publiques</v>
      </c>
      <c r="D110" s="399"/>
      <c r="E110" s="399"/>
      <c r="F110" s="399"/>
      <c r="G110" s="399"/>
      <c r="H110" s="991">
        <f>'[1]CLASSE 6'!I181</f>
        <v>0</v>
      </c>
      <c r="I110" s="991">
        <f>'[1]CLASSE 6'!E181</f>
        <v>0</v>
      </c>
      <c r="J110" s="992">
        <f t="shared" si="6"/>
        <v>0</v>
      </c>
      <c r="K110" s="993">
        <f t="shared" si="7"/>
        <v>0</v>
      </c>
      <c r="L110" s="220">
        <f t="shared" si="8"/>
        <v>0</v>
      </c>
      <c r="M110" s="2">
        <f t="shared" si="9"/>
        <v>1</v>
      </c>
      <c r="N110" s="2">
        <f t="shared" si="10"/>
        <v>0</v>
      </c>
      <c r="O110" s="2">
        <f t="shared" si="11"/>
        <v>1</v>
      </c>
    </row>
    <row r="111" spans="2:15">
      <c r="B111" s="989">
        <v>6281</v>
      </c>
      <c r="C111" s="990" t="str">
        <f>IF([1]ACCUEIL!B1=1,"Telephone charges","Frais de téléphone")</f>
        <v>Frais de téléphone</v>
      </c>
      <c r="D111" s="399"/>
      <c r="E111" s="399"/>
      <c r="F111" s="399"/>
      <c r="G111" s="399"/>
      <c r="H111" s="991">
        <f>'[1]CLASSE 6'!I185</f>
        <v>0</v>
      </c>
      <c r="I111" s="991">
        <f>'[1]CLASSE 6'!E185</f>
        <v>0</v>
      </c>
      <c r="J111" s="992">
        <f t="shared" si="6"/>
        <v>0</v>
      </c>
      <c r="K111" s="993">
        <f t="shared" si="7"/>
        <v>0</v>
      </c>
      <c r="L111" s="220">
        <f t="shared" si="8"/>
        <v>0</v>
      </c>
      <c r="M111" s="2">
        <f t="shared" si="9"/>
        <v>1</v>
      </c>
      <c r="N111" s="2">
        <f t="shared" si="10"/>
        <v>0</v>
      </c>
      <c r="O111" s="2">
        <f t="shared" si="11"/>
        <v>1</v>
      </c>
    </row>
    <row r="112" spans="2:15">
      <c r="B112" s="989">
        <v>6282</v>
      </c>
      <c r="C112" s="990" t="str">
        <f>IF([1]ACCUEIL!B1=1,"Telex charges","Frais de télex")</f>
        <v>Frais de télex</v>
      </c>
      <c r="D112" s="399"/>
      <c r="E112" s="399"/>
      <c r="F112" s="399"/>
      <c r="G112" s="399"/>
      <c r="H112" s="991">
        <f>'[1]CLASSE 6'!I187</f>
        <v>0</v>
      </c>
      <c r="I112" s="991">
        <f>'[1]CLASSE 6'!E187</f>
        <v>0</v>
      </c>
      <c r="J112" s="992">
        <f t="shared" si="6"/>
        <v>0</v>
      </c>
      <c r="K112" s="993">
        <f t="shared" si="7"/>
        <v>0</v>
      </c>
      <c r="L112" s="220">
        <f t="shared" si="8"/>
        <v>0</v>
      </c>
      <c r="M112" s="2">
        <f t="shared" si="9"/>
        <v>1</v>
      </c>
      <c r="N112" s="2">
        <f t="shared" si="10"/>
        <v>0</v>
      </c>
      <c r="O112" s="2">
        <f t="shared" si="11"/>
        <v>1</v>
      </c>
    </row>
    <row r="113" spans="2:15">
      <c r="B113" s="989">
        <v>6283</v>
      </c>
      <c r="C113" s="990" t="str">
        <f>IF([1]ACCUEIL!B1=1,"Fax charges","Frais de télécopie")</f>
        <v>Frais de télécopie</v>
      </c>
      <c r="D113" s="399"/>
      <c r="E113" s="399"/>
      <c r="F113" s="399"/>
      <c r="G113" s="399"/>
      <c r="H113" s="991">
        <f>'[1]CLASSE 6'!I189</f>
        <v>0</v>
      </c>
      <c r="I113" s="991">
        <f>'[1]CLASSE 6'!E189</f>
        <v>0</v>
      </c>
      <c r="J113" s="992">
        <f t="shared" si="6"/>
        <v>0</v>
      </c>
      <c r="K113" s="993">
        <f t="shared" si="7"/>
        <v>0</v>
      </c>
      <c r="L113" s="220">
        <f t="shared" si="8"/>
        <v>0</v>
      </c>
      <c r="M113" s="2">
        <f t="shared" si="9"/>
        <v>1</v>
      </c>
      <c r="N113" s="2">
        <f t="shared" si="10"/>
        <v>0</v>
      </c>
      <c r="O113" s="2">
        <f t="shared" si="11"/>
        <v>1</v>
      </c>
    </row>
    <row r="114" spans="2:15">
      <c r="B114" s="989">
        <v>6288</v>
      </c>
      <c r="C114" s="990" t="str">
        <f>IF([1]ACCUEIL!B1=1,"Other telecommunications costs","Autres frais de télécommunications")</f>
        <v>Autres frais de télécommunications</v>
      </c>
      <c r="D114" s="399"/>
      <c r="E114" s="399"/>
      <c r="F114" s="399"/>
      <c r="G114" s="399"/>
      <c r="H114" s="991">
        <f>'[1]CLASSE 6'!I191</f>
        <v>0</v>
      </c>
      <c r="I114" s="991">
        <f>'[1]CLASSE 6'!E191</f>
        <v>0</v>
      </c>
      <c r="J114" s="992">
        <f t="shared" si="6"/>
        <v>0</v>
      </c>
      <c r="K114" s="993">
        <f t="shared" si="7"/>
        <v>0</v>
      </c>
      <c r="L114" s="220">
        <f t="shared" si="8"/>
        <v>0</v>
      </c>
      <c r="M114" s="2">
        <f t="shared" si="9"/>
        <v>1</v>
      </c>
      <c r="N114" s="2">
        <f t="shared" si="10"/>
        <v>0</v>
      </c>
      <c r="O114" s="2">
        <f t="shared" si="11"/>
        <v>1</v>
      </c>
    </row>
    <row r="115" spans="2:15">
      <c r="B115" s="989">
        <v>6311</v>
      </c>
      <c r="C115" s="990" t="str">
        <f>IF([1]ACCUEIL!B1=1,"Securities fees (sale, custody)","Frais sur titres (vente, garde)")</f>
        <v>Frais sur titres (vente, garde)</v>
      </c>
      <c r="D115" s="399"/>
      <c r="E115" s="399"/>
      <c r="F115" s="399"/>
      <c r="G115" s="399"/>
      <c r="H115" s="991">
        <f>'[1]CLASSE 6'!I195</f>
        <v>0</v>
      </c>
      <c r="I115" s="991">
        <f>'[1]CLASSE 6'!E195</f>
        <v>0</v>
      </c>
      <c r="J115" s="992">
        <f t="shared" si="6"/>
        <v>0</v>
      </c>
      <c r="K115" s="993">
        <f t="shared" si="7"/>
        <v>0</v>
      </c>
      <c r="L115" s="220">
        <f t="shared" si="8"/>
        <v>0</v>
      </c>
      <c r="M115" s="2">
        <f t="shared" si="9"/>
        <v>1</v>
      </c>
      <c r="N115" s="2">
        <f t="shared" si="10"/>
        <v>0</v>
      </c>
      <c r="O115" s="2">
        <f t="shared" si="11"/>
        <v>1</v>
      </c>
    </row>
    <row r="116" spans="2:15">
      <c r="B116" s="989">
        <v>6312</v>
      </c>
      <c r="C116" s="990" t="str">
        <f>IF([1]ACCUEIL!B1=1,"Effects fees","Frais sur effets")</f>
        <v>Frais sur effets</v>
      </c>
      <c r="D116" s="399"/>
      <c r="E116" s="399"/>
      <c r="F116" s="399"/>
      <c r="G116" s="399"/>
      <c r="H116" s="1002">
        <f>'[1]CLASSE 6'!I197</f>
        <v>0</v>
      </c>
      <c r="I116" s="1002">
        <f>'[1]CLASSE 6'!E197</f>
        <v>0</v>
      </c>
      <c r="J116" s="992">
        <f t="shared" si="6"/>
        <v>0</v>
      </c>
      <c r="K116" s="993">
        <f t="shared" si="7"/>
        <v>0</v>
      </c>
      <c r="L116" s="220">
        <f t="shared" si="8"/>
        <v>0</v>
      </c>
      <c r="M116" s="2">
        <f t="shared" si="9"/>
        <v>1</v>
      </c>
      <c r="N116" s="2">
        <f t="shared" si="10"/>
        <v>0</v>
      </c>
      <c r="O116" s="2">
        <f t="shared" si="11"/>
        <v>1</v>
      </c>
    </row>
    <row r="117" spans="2:15">
      <c r="B117" s="989">
        <v>6313</v>
      </c>
      <c r="C117" s="990" t="str">
        <f>IF([1]ACCUEIL!B1=1,"Safe rental","Location de coffres")</f>
        <v>Location de coffres</v>
      </c>
      <c r="D117" s="399"/>
      <c r="E117" s="399"/>
      <c r="F117" s="399"/>
      <c r="G117" s="399"/>
      <c r="H117" s="991">
        <f>'[1]CLASSE 6'!I199</f>
        <v>0</v>
      </c>
      <c r="I117" s="991">
        <f>'[1]CLASSE 6'!E199</f>
        <v>0</v>
      </c>
      <c r="J117" s="992">
        <f t="shared" si="6"/>
        <v>0</v>
      </c>
      <c r="K117" s="993">
        <f t="shared" si="7"/>
        <v>0</v>
      </c>
      <c r="L117" s="220">
        <f t="shared" si="8"/>
        <v>0</v>
      </c>
      <c r="M117" s="2">
        <f t="shared" si="9"/>
        <v>1</v>
      </c>
      <c r="N117" s="2">
        <f t="shared" si="10"/>
        <v>0</v>
      </c>
      <c r="O117" s="2">
        <f t="shared" si="11"/>
        <v>1</v>
      </c>
    </row>
    <row r="118" spans="2:15">
      <c r="B118" s="989">
        <v>6314</v>
      </c>
      <c r="C118" s="990" t="str">
        <f>IF([1]ACCUEIL!B1=1,"Factoring and securitization commissions","Commissions d'affacturage et de titrisation")</f>
        <v>Commissions d'affacturage et de titrisation</v>
      </c>
      <c r="D118" s="989"/>
      <c r="E118" s="990"/>
      <c r="F118" s="1046"/>
      <c r="G118" s="1046"/>
      <c r="H118" s="991">
        <f>'[1]CLASSE 6'!I201</f>
        <v>0</v>
      </c>
      <c r="I118" s="991">
        <f>'[1]CLASSE 6'!E201</f>
        <v>0</v>
      </c>
      <c r="J118" s="992">
        <f t="shared" si="6"/>
        <v>0</v>
      </c>
      <c r="K118" s="993">
        <f t="shared" si="7"/>
        <v>0</v>
      </c>
      <c r="L118" s="220">
        <f t="shared" si="8"/>
        <v>0</v>
      </c>
      <c r="M118" s="2">
        <f t="shared" si="9"/>
        <v>1</v>
      </c>
      <c r="N118" s="2">
        <f t="shared" si="10"/>
        <v>0</v>
      </c>
      <c r="O118" s="2">
        <f t="shared" si="11"/>
        <v>1</v>
      </c>
    </row>
    <row r="119" spans="2:15">
      <c r="B119" s="989">
        <v>6315</v>
      </c>
      <c r="C119" s="990" t="str">
        <f>IF([1]ACCUEIL!B1=1,"Credit card commissions","Commissions sur cartes de crédit")</f>
        <v>Commissions sur cartes de crédit</v>
      </c>
      <c r="D119" s="399"/>
      <c r="E119" s="399"/>
      <c r="F119" s="399"/>
      <c r="G119" s="399"/>
      <c r="H119" s="991">
        <f>'[1]CLASSE 6'!I203</f>
        <v>0</v>
      </c>
      <c r="I119" s="991">
        <f>'[1]CLASSE 6'!E203</f>
        <v>0</v>
      </c>
      <c r="J119" s="992">
        <f t="shared" si="6"/>
        <v>0</v>
      </c>
      <c r="K119" s="993">
        <f t="shared" si="7"/>
        <v>0</v>
      </c>
      <c r="L119" s="220">
        <f t="shared" si="8"/>
        <v>0</v>
      </c>
      <c r="M119" s="2">
        <f t="shared" si="9"/>
        <v>1</v>
      </c>
      <c r="N119" s="2">
        <f t="shared" si="10"/>
        <v>0</v>
      </c>
      <c r="O119" s="2">
        <f t="shared" si="11"/>
        <v>1</v>
      </c>
    </row>
    <row r="120" spans="2:15">
      <c r="B120" s="989">
        <v>6316</v>
      </c>
      <c r="C120" s="990" t="str">
        <f>IF([1]ACCUEIL!B1=1,"Loan issuance costs","Frais d'émission d'emprunts")</f>
        <v>Frais d'émission d'emprunts</v>
      </c>
      <c r="D120" s="399"/>
      <c r="E120" s="399"/>
      <c r="F120" s="399"/>
      <c r="G120" s="399"/>
      <c r="H120" s="991">
        <f>'[1]CLASSE 6'!I205</f>
        <v>0</v>
      </c>
      <c r="I120" s="991">
        <f>'[1]CLASSE 6'!E205</f>
        <v>0</v>
      </c>
      <c r="J120" s="992">
        <f t="shared" si="6"/>
        <v>0</v>
      </c>
      <c r="K120" s="993">
        <f t="shared" si="7"/>
        <v>0</v>
      </c>
      <c r="L120" s="220">
        <f t="shared" si="8"/>
        <v>0</v>
      </c>
      <c r="M120" s="2">
        <f t="shared" si="9"/>
        <v>1</v>
      </c>
      <c r="N120" s="2">
        <f t="shared" si="10"/>
        <v>0</v>
      </c>
      <c r="O120" s="2">
        <f t="shared" si="11"/>
        <v>1</v>
      </c>
    </row>
    <row r="121" spans="2:15">
      <c r="B121" s="989">
        <v>6317</v>
      </c>
      <c r="C121" s="990" t="str">
        <f>IF([1]ACCUEIL!B1=1,"Fees on electronic money instruments","Frais sur instruments monnaie électronique")</f>
        <v>Frais sur instruments monnaie électronique</v>
      </c>
      <c r="D121" s="399"/>
      <c r="E121" s="399"/>
      <c r="F121" s="399"/>
      <c r="G121" s="399"/>
      <c r="H121" s="991">
        <f>'[1]CLASSE 6'!I207</f>
        <v>0</v>
      </c>
      <c r="I121" s="991">
        <f>'[1]CLASSE 6'!E207</f>
        <v>0</v>
      </c>
      <c r="J121" s="992">
        <f t="shared" si="6"/>
        <v>0</v>
      </c>
      <c r="K121" s="993">
        <f t="shared" si="7"/>
        <v>0</v>
      </c>
      <c r="L121" s="220">
        <f t="shared" si="8"/>
        <v>0</v>
      </c>
      <c r="M121" s="2">
        <f t="shared" si="9"/>
        <v>1</v>
      </c>
      <c r="N121" s="2">
        <f t="shared" si="10"/>
        <v>0</v>
      </c>
      <c r="O121" s="2">
        <f t="shared" si="11"/>
        <v>1</v>
      </c>
    </row>
    <row r="122" spans="2:15">
      <c r="B122" s="989">
        <v>6318</v>
      </c>
      <c r="C122" s="990" t="str">
        <f>IF([1]ACCUEIL!B1=1,"Other bank charges","Autres frais bancaires")</f>
        <v>Autres frais bancaires</v>
      </c>
      <c r="D122" s="399"/>
      <c r="E122" s="399"/>
      <c r="F122" s="399"/>
      <c r="G122" s="399"/>
      <c r="H122" s="991">
        <f>'[1]CLASSE 6'!I209</f>
        <v>0</v>
      </c>
      <c r="I122" s="991">
        <f>'[1]CLASSE 6'!E209</f>
        <v>0</v>
      </c>
      <c r="J122" s="992">
        <f t="shared" si="6"/>
        <v>0</v>
      </c>
      <c r="K122" s="993">
        <f t="shared" si="7"/>
        <v>0</v>
      </c>
      <c r="L122" s="220">
        <f t="shared" si="8"/>
        <v>0</v>
      </c>
      <c r="M122" s="2">
        <f t="shared" si="9"/>
        <v>1</v>
      </c>
      <c r="N122" s="2">
        <f t="shared" si="10"/>
        <v>0</v>
      </c>
      <c r="O122" s="2">
        <f t="shared" si="11"/>
        <v>1</v>
      </c>
    </row>
    <row r="123" spans="2:15">
      <c r="B123" s="989">
        <v>6322</v>
      </c>
      <c r="C123" s="990" t="str">
        <f>IF([1]ACCUEIL!B1=1,"Commissions and brokerage on sales","Commissions et courtages sur ventes")</f>
        <v>Commissions et courtages sur ventes</v>
      </c>
      <c r="D123" s="399"/>
      <c r="E123" s="399"/>
      <c r="F123" s="399"/>
      <c r="G123" s="399"/>
      <c r="H123" s="991">
        <f>'[1]CLASSE 6'!I213</f>
        <v>0</v>
      </c>
      <c r="I123" s="991">
        <f>'[1]CLASSE 6'!E213</f>
        <v>0</v>
      </c>
      <c r="J123" s="992">
        <f t="shared" si="6"/>
        <v>0</v>
      </c>
      <c r="K123" s="993">
        <f t="shared" si="7"/>
        <v>0</v>
      </c>
      <c r="L123" s="220">
        <f t="shared" si="8"/>
        <v>0</v>
      </c>
      <c r="M123" s="2">
        <f t="shared" si="9"/>
        <v>1</v>
      </c>
      <c r="N123" s="2">
        <f t="shared" si="10"/>
        <v>0</v>
      </c>
      <c r="O123" s="2">
        <f t="shared" si="11"/>
        <v>1</v>
      </c>
    </row>
    <row r="124" spans="2:15">
      <c r="B124" s="989">
        <v>6324</v>
      </c>
      <c r="C124" s="990" t="str">
        <f>IF([1]ACCUEIL!B1=1,"Fees for regulated professions","Honoraires des professions règlementées")</f>
        <v>Honoraires des professions règlementées</v>
      </c>
      <c r="D124" s="399"/>
      <c r="E124" s="399"/>
      <c r="F124" s="399"/>
      <c r="G124" s="399"/>
      <c r="H124" s="991">
        <f>'[1]CLASSE 6'!I215</f>
        <v>0</v>
      </c>
      <c r="I124" s="991">
        <f>'[1]CLASSE 6'!E215</f>
        <v>0</v>
      </c>
      <c r="J124" s="992">
        <f t="shared" si="6"/>
        <v>0</v>
      </c>
      <c r="K124" s="993">
        <f t="shared" si="7"/>
        <v>0</v>
      </c>
      <c r="L124" s="220">
        <f t="shared" si="8"/>
        <v>0</v>
      </c>
      <c r="M124" s="2">
        <f t="shared" si="9"/>
        <v>1</v>
      </c>
      <c r="N124" s="2">
        <f t="shared" si="10"/>
        <v>0</v>
      </c>
      <c r="O124" s="2">
        <f t="shared" si="11"/>
        <v>1</v>
      </c>
    </row>
    <row r="125" spans="2:15">
      <c r="B125" s="989">
        <v>6325</v>
      </c>
      <c r="C125" s="990" t="str">
        <f>IF([1]ACCUEIL!B1=1,"Legal and litigation costs","Frais d'actes et de contentieux")</f>
        <v>Frais d'actes et de contentieux</v>
      </c>
      <c r="D125" s="399"/>
      <c r="E125" s="399"/>
      <c r="F125" s="399"/>
      <c r="G125" s="399"/>
      <c r="H125" s="991">
        <f>'[1]CLASSE 6'!I217</f>
        <v>0</v>
      </c>
      <c r="I125" s="991">
        <f>'[1]CLASSE 6'!E217</f>
        <v>0</v>
      </c>
      <c r="J125" s="992">
        <f t="shared" si="6"/>
        <v>0</v>
      </c>
      <c r="K125" s="993">
        <f t="shared" si="7"/>
        <v>0</v>
      </c>
      <c r="L125" s="220">
        <f t="shared" si="8"/>
        <v>0</v>
      </c>
      <c r="M125" s="2">
        <f t="shared" si="9"/>
        <v>1</v>
      </c>
      <c r="N125" s="2">
        <f t="shared" si="10"/>
        <v>0</v>
      </c>
      <c r="O125" s="2">
        <f t="shared" si="11"/>
        <v>1</v>
      </c>
    </row>
    <row r="126" spans="2:15">
      <c r="B126" s="989">
        <v>6326</v>
      </c>
      <c r="C126" s="990" t="str">
        <f>IF([1]ACCUEIL!B1=1,"Factoring remuneration","Rémunérations d'affacturage")</f>
        <v>Rémunérations d'affacturage</v>
      </c>
      <c r="D126" s="399"/>
      <c r="E126" s="399"/>
      <c r="F126" s="399"/>
      <c r="G126" s="399"/>
      <c r="H126" s="991">
        <f>'[1]CLASSE 6'!I219</f>
        <v>0</v>
      </c>
      <c r="I126" s="991">
        <f>'[1]CLASSE 6'!E219</f>
        <v>0</v>
      </c>
      <c r="J126" s="992">
        <f t="shared" si="6"/>
        <v>0</v>
      </c>
      <c r="K126" s="993">
        <f t="shared" si="7"/>
        <v>0</v>
      </c>
      <c r="L126" s="220">
        <f t="shared" si="8"/>
        <v>0</v>
      </c>
      <c r="M126" s="2">
        <f t="shared" si="9"/>
        <v>1</v>
      </c>
      <c r="N126" s="2">
        <f t="shared" si="10"/>
        <v>0</v>
      </c>
      <c r="O126" s="2">
        <f t="shared" si="11"/>
        <v>1</v>
      </c>
    </row>
    <row r="127" spans="2:15">
      <c r="B127" s="989">
        <v>6327</v>
      </c>
      <c r="C127" s="990" t="str">
        <f>IF([1]ACCUEIL!B1=1,"Remuneration of other service providers","Rémunérations des autres prestataires de services")</f>
        <v>Rémunérations des autres prestataires de services</v>
      </c>
      <c r="D127" s="399"/>
      <c r="E127" s="399"/>
      <c r="F127" s="399"/>
      <c r="G127" s="399"/>
      <c r="H127" s="991">
        <f>'[1]CLASSE 6'!I221</f>
        <v>0</v>
      </c>
      <c r="I127" s="991">
        <f>'[1]CLASSE 6'!E221</f>
        <v>0</v>
      </c>
      <c r="J127" s="992">
        <f t="shared" si="6"/>
        <v>0</v>
      </c>
      <c r="K127" s="993">
        <f t="shared" si="7"/>
        <v>0</v>
      </c>
      <c r="L127" s="220">
        <f t="shared" si="8"/>
        <v>0</v>
      </c>
      <c r="M127" s="2">
        <f t="shared" si="9"/>
        <v>1</v>
      </c>
      <c r="N127" s="2">
        <f t="shared" si="10"/>
        <v>0</v>
      </c>
      <c r="O127" s="2">
        <f t="shared" si="11"/>
        <v>1</v>
      </c>
    </row>
    <row r="128" spans="2:15">
      <c r="B128" s="989">
        <v>6328</v>
      </c>
      <c r="C128" s="990" t="str">
        <f>IF([1]ACCUEIL!B1=1,"Various fees","Divers frais")</f>
        <v>Divers frais</v>
      </c>
      <c r="D128" s="399"/>
      <c r="E128" s="399"/>
      <c r="F128" s="399"/>
      <c r="G128" s="399"/>
      <c r="H128" s="991">
        <f>'[1]CLASSE 6'!I223</f>
        <v>0</v>
      </c>
      <c r="I128" s="991">
        <f>'[1]CLASSE 6'!E223</f>
        <v>0</v>
      </c>
      <c r="J128" s="992">
        <f t="shared" si="6"/>
        <v>0</v>
      </c>
      <c r="K128" s="993">
        <f t="shared" si="7"/>
        <v>0</v>
      </c>
      <c r="L128" s="220">
        <f t="shared" si="8"/>
        <v>0</v>
      </c>
      <c r="M128" s="2">
        <f t="shared" si="9"/>
        <v>1</v>
      </c>
      <c r="N128" s="2">
        <f t="shared" si="10"/>
        <v>0</v>
      </c>
      <c r="O128" s="2">
        <f t="shared" si="11"/>
        <v>1</v>
      </c>
    </row>
    <row r="129" spans="2:15">
      <c r="B129" s="989">
        <v>6330</v>
      </c>
      <c r="C129" s="990" t="str">
        <f>IF([1]ACCUEIL!B1=1,"Staff training costs","Frais de formation du personnel")</f>
        <v>Frais de formation du personnel</v>
      </c>
      <c r="D129" s="399"/>
      <c r="E129" s="399"/>
      <c r="F129" s="399"/>
      <c r="G129" s="399"/>
      <c r="H129" s="991">
        <f>'[1]CLASSE 6'!I226</f>
        <v>0</v>
      </c>
      <c r="I129" s="991">
        <f>'[1]CLASSE 6'!E226</f>
        <v>0</v>
      </c>
      <c r="J129" s="992">
        <f t="shared" si="6"/>
        <v>0</v>
      </c>
      <c r="K129" s="993">
        <f t="shared" si="7"/>
        <v>0</v>
      </c>
      <c r="L129" s="220">
        <f t="shared" si="8"/>
        <v>0</v>
      </c>
      <c r="M129" s="2">
        <f t="shared" si="9"/>
        <v>1</v>
      </c>
      <c r="N129" s="2">
        <f t="shared" si="10"/>
        <v>0</v>
      </c>
      <c r="O129" s="2">
        <f t="shared" si="11"/>
        <v>1</v>
      </c>
    </row>
    <row r="130" spans="2:15">
      <c r="B130" s="989">
        <v>6342</v>
      </c>
      <c r="C130" s="990" t="str">
        <f>IF([1]ACCUEIL!B1=1,"Royalties for patents, licenses","Redevances pour brevets, licences")</f>
        <v>Redevances pour brevets, licences</v>
      </c>
      <c r="D130" s="399"/>
      <c r="E130" s="399"/>
      <c r="F130" s="399"/>
      <c r="G130" s="399"/>
      <c r="H130" s="991">
        <f>'[1]CLASSE 6'!I228</f>
        <v>0</v>
      </c>
      <c r="I130" s="991">
        <f>'[1]CLASSE 6'!E228</f>
        <v>0</v>
      </c>
      <c r="J130" s="992">
        <f t="shared" si="6"/>
        <v>0</v>
      </c>
      <c r="K130" s="993">
        <f t="shared" si="7"/>
        <v>0</v>
      </c>
      <c r="L130" s="220">
        <f t="shared" si="8"/>
        <v>0</v>
      </c>
      <c r="M130" s="2">
        <f t="shared" si="9"/>
        <v>1</v>
      </c>
      <c r="N130" s="2">
        <f t="shared" si="10"/>
        <v>0</v>
      </c>
      <c r="O130" s="2">
        <f t="shared" si="11"/>
        <v>1</v>
      </c>
    </row>
    <row r="131" spans="2:15">
      <c r="B131" s="989">
        <v>6343</v>
      </c>
      <c r="C131" s="990" t="str">
        <f>IF([1]ACCUEIL!B1=1,"Software royalties","Redevances pour logiciels")</f>
        <v>Redevances pour logiciels</v>
      </c>
      <c r="D131" s="399"/>
      <c r="E131" s="399"/>
      <c r="F131" s="399"/>
      <c r="G131" s="399"/>
      <c r="H131" s="991">
        <f>'[1]CLASSE 6'!I230</f>
        <v>0</v>
      </c>
      <c r="I131" s="991">
        <f>'[1]CLASSE 6'!E230</f>
        <v>0</v>
      </c>
      <c r="J131" s="992">
        <f t="shared" si="6"/>
        <v>0</v>
      </c>
      <c r="K131" s="993">
        <f t="shared" si="7"/>
        <v>0</v>
      </c>
      <c r="L131" s="220">
        <f t="shared" si="8"/>
        <v>0</v>
      </c>
      <c r="M131" s="2">
        <f t="shared" si="9"/>
        <v>1</v>
      </c>
      <c r="N131" s="2">
        <f t="shared" si="10"/>
        <v>0</v>
      </c>
      <c r="O131" s="2">
        <f t="shared" si="11"/>
        <v>1</v>
      </c>
    </row>
    <row r="132" spans="2:15">
      <c r="B132" s="989">
        <v>6344</v>
      </c>
      <c r="C132" s="990" t="str">
        <f>IF([1]ACCUEIL!B1=1,"Trademark royalties","Redevances pour marques")</f>
        <v>Redevances pour marques</v>
      </c>
      <c r="D132" s="399"/>
      <c r="E132" s="399"/>
      <c r="F132" s="399"/>
      <c r="G132" s="399"/>
      <c r="H132" s="991">
        <f>'[1]CLASSE 6'!I232</f>
        <v>0</v>
      </c>
      <c r="I132" s="991">
        <f>'[1]CLASSE 6'!E232</f>
        <v>0</v>
      </c>
      <c r="J132" s="992">
        <f t="shared" si="6"/>
        <v>0</v>
      </c>
      <c r="K132" s="993">
        <f t="shared" si="7"/>
        <v>0</v>
      </c>
      <c r="L132" s="220">
        <f t="shared" si="8"/>
        <v>0</v>
      </c>
      <c r="M132" s="2">
        <f t="shared" si="9"/>
        <v>1</v>
      </c>
      <c r="N132" s="2">
        <f t="shared" si="10"/>
        <v>0</v>
      </c>
      <c r="O132" s="2">
        <f t="shared" si="11"/>
        <v>1</v>
      </c>
    </row>
    <row r="133" spans="2:15">
      <c r="B133" s="989">
        <v>6345</v>
      </c>
      <c r="C133" s="990" t="str">
        <f>IF([1]ACCUEIL!B1=1,"Website fees","Redevances pour sites internet")</f>
        <v>Redevances pour sites internet</v>
      </c>
      <c r="D133" s="399"/>
      <c r="E133" s="399"/>
      <c r="F133" s="399"/>
      <c r="G133" s="399"/>
      <c r="H133" s="991">
        <f>'[1]CLASSE 6'!I234</f>
        <v>0</v>
      </c>
      <c r="I133" s="991">
        <f>'[1]CLASSE 6'!E234</f>
        <v>0</v>
      </c>
      <c r="J133" s="992">
        <f t="shared" si="6"/>
        <v>0</v>
      </c>
      <c r="K133" s="993">
        <f t="shared" si="7"/>
        <v>0</v>
      </c>
      <c r="L133" s="220">
        <f t="shared" si="8"/>
        <v>0</v>
      </c>
      <c r="M133" s="2">
        <f t="shared" si="9"/>
        <v>1</v>
      </c>
      <c r="N133" s="2">
        <f t="shared" si="10"/>
        <v>0</v>
      </c>
      <c r="O133" s="2">
        <f t="shared" si="11"/>
        <v>1</v>
      </c>
    </row>
    <row r="134" spans="2:15">
      <c r="B134" s="989">
        <v>6346</v>
      </c>
      <c r="C134" s="990" t="str">
        <f>IF([1]ACCUEIL!B1=1,"Royalties for concessions, rights and similar assets","Redevances pour concessions, droits et valeurs similaires")</f>
        <v>Redevances pour concessions, droits et valeurs similaires</v>
      </c>
      <c r="D134" s="399"/>
      <c r="E134" s="399"/>
      <c r="F134" s="399"/>
      <c r="G134" s="399"/>
      <c r="H134" s="991">
        <f>'[1]CLASSE 6'!I236</f>
        <v>0</v>
      </c>
      <c r="I134" s="991">
        <f>'[1]CLASSE 6'!E236</f>
        <v>0</v>
      </c>
      <c r="J134" s="992">
        <f t="shared" si="6"/>
        <v>0</v>
      </c>
      <c r="K134" s="993">
        <f t="shared" si="7"/>
        <v>0</v>
      </c>
      <c r="L134" s="220">
        <f t="shared" si="8"/>
        <v>0</v>
      </c>
      <c r="M134" s="2">
        <f t="shared" si="9"/>
        <v>1</v>
      </c>
      <c r="N134" s="2">
        <f t="shared" si="10"/>
        <v>0</v>
      </c>
      <c r="O134" s="2">
        <f t="shared" si="11"/>
        <v>1</v>
      </c>
    </row>
    <row r="135" spans="2:15">
      <c r="B135" s="989">
        <v>6351</v>
      </c>
      <c r="C135" s="990" t="str">
        <f>IF([1]ACCUEIL!B1=1,"Contributions","Cotisations")</f>
        <v>Cotisations</v>
      </c>
      <c r="D135" s="399"/>
      <c r="E135" s="399"/>
      <c r="F135" s="399"/>
      <c r="G135" s="399"/>
      <c r="H135" s="991">
        <f>'[1]CLASSE 6'!I240</f>
        <v>0</v>
      </c>
      <c r="I135" s="991">
        <f>'[1]CLASSE 6'!E240</f>
        <v>0</v>
      </c>
      <c r="J135" s="992">
        <f t="shared" si="6"/>
        <v>0</v>
      </c>
      <c r="K135" s="993">
        <f t="shared" si="7"/>
        <v>0</v>
      </c>
      <c r="L135" s="220">
        <f t="shared" si="8"/>
        <v>0</v>
      </c>
      <c r="M135" s="2">
        <f t="shared" si="9"/>
        <v>1</v>
      </c>
      <c r="N135" s="2">
        <f t="shared" si="10"/>
        <v>0</v>
      </c>
      <c r="O135" s="2">
        <f t="shared" si="11"/>
        <v>1</v>
      </c>
    </row>
    <row r="136" spans="2:15">
      <c r="B136" s="989">
        <v>6358</v>
      </c>
      <c r="C136" s="990" t="str">
        <f>IF([1]ACCUEIL!B1=1,"Various competitions","Concours divers")</f>
        <v>Concours divers</v>
      </c>
      <c r="D136" s="399"/>
      <c r="E136" s="399"/>
      <c r="F136" s="399"/>
      <c r="G136" s="399"/>
      <c r="H136" s="991">
        <f>'[1]CLASSE 6'!I242</f>
        <v>0</v>
      </c>
      <c r="I136" s="991">
        <f>'[1]CLASSE 6'!E242</f>
        <v>0</v>
      </c>
      <c r="J136" s="992">
        <f t="shared" si="6"/>
        <v>0</v>
      </c>
      <c r="K136" s="993">
        <f t="shared" si="7"/>
        <v>0</v>
      </c>
      <c r="L136" s="220">
        <f t="shared" si="8"/>
        <v>0</v>
      </c>
      <c r="M136" s="2">
        <f t="shared" si="9"/>
        <v>1</v>
      </c>
      <c r="N136" s="2">
        <f t="shared" si="10"/>
        <v>0</v>
      </c>
      <c r="O136" s="2">
        <f t="shared" si="11"/>
        <v>1</v>
      </c>
    </row>
    <row r="137" spans="2:15">
      <c r="B137" s="989">
        <v>6371</v>
      </c>
      <c r="C137" s="990" t="str">
        <f>IF([1]ACCUEIL!B1=1,"Temporary staff","Personnel intérimaire")</f>
        <v>Personnel intérimaire</v>
      </c>
      <c r="D137" s="399"/>
      <c r="E137" s="399"/>
      <c r="F137" s="399"/>
      <c r="G137" s="399"/>
      <c r="H137" s="991">
        <f>'[1]CLASSE 6'!I246</f>
        <v>0</v>
      </c>
      <c r="I137" s="991">
        <f>'[1]CLASSE 6'!E246</f>
        <v>0</v>
      </c>
      <c r="J137" s="992">
        <f t="shared" si="6"/>
        <v>0</v>
      </c>
      <c r="K137" s="993">
        <f t="shared" si="7"/>
        <v>0</v>
      </c>
      <c r="L137" s="220">
        <f t="shared" si="8"/>
        <v>0</v>
      </c>
      <c r="M137" s="2">
        <f t="shared" si="9"/>
        <v>1</v>
      </c>
      <c r="N137" s="2">
        <f t="shared" si="10"/>
        <v>0</v>
      </c>
      <c r="O137" s="2">
        <f t="shared" si="11"/>
        <v>1</v>
      </c>
    </row>
    <row r="138" spans="2:15">
      <c r="B138" s="989">
        <v>6372</v>
      </c>
      <c r="C138" s="990" t="str">
        <f>IF([1]ACCUEIL!B1=1,"Staff seconded or loaned to the entity","Personnel détaché ou prêté à l'entité")</f>
        <v>Personnel détaché ou prêté à l'entité</v>
      </c>
      <c r="D138" s="399"/>
      <c r="E138" s="399"/>
      <c r="F138" s="399"/>
      <c r="G138" s="399"/>
      <c r="H138" s="991">
        <f>'[1]CLASSE 6'!I248</f>
        <v>0</v>
      </c>
      <c r="I138" s="991">
        <f>'[1]CLASSE 6'!E248</f>
        <v>0</v>
      </c>
      <c r="J138" s="992">
        <f t="shared" si="6"/>
        <v>0</v>
      </c>
      <c r="K138" s="993">
        <f t="shared" si="7"/>
        <v>0</v>
      </c>
      <c r="L138" s="220">
        <f t="shared" si="8"/>
        <v>0</v>
      </c>
      <c r="M138" s="2">
        <f t="shared" si="9"/>
        <v>1</v>
      </c>
      <c r="N138" s="2">
        <f t="shared" si="10"/>
        <v>0</v>
      </c>
      <c r="O138" s="2">
        <f t="shared" si="11"/>
        <v>1</v>
      </c>
    </row>
    <row r="139" spans="2:15">
      <c r="B139" s="989">
        <v>6381</v>
      </c>
      <c r="C139" s="990" t="str">
        <f>IF([1]ACCUEIL!B1=1,"Staff recruitment costs","Frais de recrutement du personnel")</f>
        <v>Frais de recrutement du personnel</v>
      </c>
      <c r="D139" s="399"/>
      <c r="E139" s="399"/>
      <c r="F139" s="399"/>
      <c r="G139" s="399"/>
      <c r="H139" s="991">
        <f>'[1]CLASSE 6'!I252</f>
        <v>0</v>
      </c>
      <c r="I139" s="991">
        <f>'[1]CLASSE 6'!E252</f>
        <v>0</v>
      </c>
      <c r="J139" s="992">
        <f t="shared" si="6"/>
        <v>0</v>
      </c>
      <c r="K139" s="993">
        <f t="shared" si="7"/>
        <v>0</v>
      </c>
      <c r="L139" s="220">
        <f t="shared" si="8"/>
        <v>0</v>
      </c>
      <c r="M139" s="2">
        <f t="shared" si="9"/>
        <v>1</v>
      </c>
      <c r="N139" s="2">
        <f t="shared" si="10"/>
        <v>0</v>
      </c>
      <c r="O139" s="2">
        <f t="shared" si="11"/>
        <v>1</v>
      </c>
    </row>
    <row r="140" spans="2:15">
      <c r="B140" s="989">
        <v>6382</v>
      </c>
      <c r="C140" s="990" t="str">
        <f>IF([1]ACCUEIL!B1=1,"Moving expenses","Frais de déménagement")</f>
        <v>Frais de déménagement</v>
      </c>
      <c r="D140" s="399"/>
      <c r="E140" s="399"/>
      <c r="F140" s="399"/>
      <c r="G140" s="399"/>
      <c r="H140" s="991">
        <f>'[1]CLASSE 6'!I254</f>
        <v>0</v>
      </c>
      <c r="I140" s="991">
        <f>'[1]CLASSE 6'!E254</f>
        <v>0</v>
      </c>
      <c r="J140" s="992">
        <f t="shared" si="6"/>
        <v>0</v>
      </c>
      <c r="K140" s="993">
        <f t="shared" si="7"/>
        <v>0</v>
      </c>
      <c r="L140" s="220">
        <f t="shared" si="8"/>
        <v>0</v>
      </c>
      <c r="M140" s="2">
        <f t="shared" si="9"/>
        <v>1</v>
      </c>
      <c r="N140" s="2">
        <f t="shared" si="10"/>
        <v>0</v>
      </c>
      <c r="O140" s="2">
        <f t="shared" si="11"/>
        <v>1</v>
      </c>
    </row>
    <row r="141" spans="2:15">
      <c r="B141" s="989">
        <v>6383</v>
      </c>
      <c r="C141" s="990" t="str">
        <f>IF([1]ACCUEIL!B1=1,"Receptions","Réceptions")</f>
        <v>Réceptions</v>
      </c>
      <c r="D141" s="399"/>
      <c r="E141" s="399"/>
      <c r="F141" s="399"/>
      <c r="G141" s="399"/>
      <c r="H141" s="991">
        <f>'[1]CLASSE 6'!I256</f>
        <v>0</v>
      </c>
      <c r="I141" s="991">
        <f>'[1]CLASSE 6'!E256</f>
        <v>0</v>
      </c>
      <c r="J141" s="992">
        <f t="shared" si="6"/>
        <v>0</v>
      </c>
      <c r="K141" s="993">
        <f t="shared" si="7"/>
        <v>0</v>
      </c>
      <c r="L141" s="220">
        <f t="shared" si="8"/>
        <v>0</v>
      </c>
      <c r="M141" s="2">
        <f t="shared" si="9"/>
        <v>1</v>
      </c>
      <c r="N141" s="2">
        <f t="shared" si="10"/>
        <v>0</v>
      </c>
      <c r="O141" s="2">
        <f t="shared" si="11"/>
        <v>1</v>
      </c>
    </row>
    <row r="142" spans="2:15">
      <c r="B142" s="989">
        <v>6384</v>
      </c>
      <c r="C142" s="990" t="s">
        <v>313</v>
      </c>
      <c r="D142" s="399"/>
      <c r="E142" s="399"/>
      <c r="F142" s="399"/>
      <c r="G142" s="399"/>
      <c r="H142" s="991">
        <f>'[1]CLASSE 6'!I258</f>
        <v>0</v>
      </c>
      <c r="I142" s="991">
        <f>'[1]CLASSE 6'!E258</f>
        <v>0</v>
      </c>
      <c r="J142" s="992">
        <f t="shared" si="6"/>
        <v>0</v>
      </c>
      <c r="K142" s="993">
        <f t="shared" si="7"/>
        <v>0</v>
      </c>
      <c r="L142" s="220">
        <f t="shared" si="8"/>
        <v>0</v>
      </c>
      <c r="M142" s="2">
        <f t="shared" si="9"/>
        <v>1</v>
      </c>
      <c r="N142" s="2">
        <f t="shared" si="10"/>
        <v>0</v>
      </c>
      <c r="O142" s="2">
        <f t="shared" si="11"/>
        <v>1</v>
      </c>
    </row>
    <row r="143" spans="2:15">
      <c r="B143" s="989">
        <v>6385</v>
      </c>
      <c r="C143" s="990" t="str">
        <f>IF([1]ACCUEIL!B1=1,"Condominium fees","Charges de copropriété")</f>
        <v>Charges de copropriété</v>
      </c>
      <c r="D143" s="399"/>
      <c r="E143" s="399"/>
      <c r="F143" s="399"/>
      <c r="G143" s="399"/>
      <c r="H143" s="991">
        <f>'[1]CLASSE 6'!I260</f>
        <v>0</v>
      </c>
      <c r="I143" s="991">
        <f>'[1]CLASSE 6'!E260</f>
        <v>0</v>
      </c>
      <c r="J143" s="992">
        <f t="shared" si="6"/>
        <v>0</v>
      </c>
      <c r="K143" s="993">
        <f t="shared" si="7"/>
        <v>0</v>
      </c>
      <c r="L143" s="220">
        <f t="shared" si="8"/>
        <v>0</v>
      </c>
      <c r="M143" s="2">
        <f t="shared" si="9"/>
        <v>1</v>
      </c>
      <c r="N143" s="2">
        <f t="shared" si="10"/>
        <v>0</v>
      </c>
      <c r="O143" s="2">
        <f t="shared" si="11"/>
        <v>1</v>
      </c>
    </row>
    <row r="144" spans="2:15" ht="15.75" thickBot="1">
      <c r="B144" s="989">
        <v>6388</v>
      </c>
      <c r="C144" s="990" t="str">
        <f>IF([1]ACCUEIL!B1=1,"Various external charges","Charges externes diverses")</f>
        <v>Charges externes diverses</v>
      </c>
      <c r="D144" s="399"/>
      <c r="E144" s="399"/>
      <c r="F144" s="399"/>
      <c r="G144" s="399"/>
      <c r="H144" s="991">
        <f>'[1]CLASSE 6'!I262</f>
        <v>0</v>
      </c>
      <c r="I144" s="991">
        <f>'[1]CLASSE 6'!E262</f>
        <v>0</v>
      </c>
      <c r="J144" s="992"/>
      <c r="K144" s="993"/>
      <c r="L144" s="220"/>
      <c r="M144" s="2"/>
      <c r="N144" s="2"/>
      <c r="O144" s="2"/>
    </row>
    <row r="145" spans="2:15" ht="16.5" thickTop="1" thickBot="1">
      <c r="B145" s="995" t="s">
        <v>116</v>
      </c>
      <c r="C145" s="996"/>
      <c r="D145" s="997" t="str">
        <f>IF([1]ACCUEIL!B1=1,"External services","Services extérieurs")</f>
        <v>Services extérieurs</v>
      </c>
      <c r="E145" s="997"/>
      <c r="F145" s="997"/>
      <c r="G145" s="997"/>
      <c r="H145" s="998">
        <f>SUM(H93:H143,H64:H81)</f>
        <v>0</v>
      </c>
      <c r="I145" s="998">
        <f>SUM(I93:I143,I64:I81)</f>
        <v>0</v>
      </c>
      <c r="J145" s="992">
        <f>H145-I145</f>
        <v>0</v>
      </c>
      <c r="K145" s="993">
        <f>IF(L145=0,0,O145)</f>
        <v>0</v>
      </c>
      <c r="L145" s="220">
        <f t="shared" si="8"/>
        <v>0</v>
      </c>
      <c r="M145" s="2">
        <f t="shared" si="9"/>
        <v>1</v>
      </c>
      <c r="N145" s="2">
        <f t="shared" si="10"/>
        <v>0</v>
      </c>
      <c r="O145" s="2">
        <f t="shared" si="11"/>
        <v>1</v>
      </c>
    </row>
    <row r="146" spans="2:15" ht="15.75" thickTop="1">
      <c r="B146" s="989">
        <v>6411</v>
      </c>
      <c r="C146" s="990" t="str">
        <f>IF([1]ACCUEIL!B1=1,"Property taxes and related taxes","Impôts fonciers et taxes annexes")</f>
        <v>Impôts fonciers et taxes annexes</v>
      </c>
      <c r="D146" s="1047"/>
      <c r="E146" s="399"/>
      <c r="F146" s="399"/>
      <c r="G146" s="1048"/>
      <c r="H146" s="1000">
        <f>'[1]CLASSE 6'!I265</f>
        <v>0</v>
      </c>
      <c r="I146" s="1000">
        <f>'[1]CLASSE 6'!E265</f>
        <v>0</v>
      </c>
      <c r="J146" s="992">
        <f t="shared" si="6"/>
        <v>0</v>
      </c>
      <c r="K146" s="993">
        <f t="shared" si="7"/>
        <v>0</v>
      </c>
      <c r="L146" s="220">
        <f t="shared" si="8"/>
        <v>0</v>
      </c>
      <c r="M146" s="2">
        <f t="shared" si="9"/>
        <v>1</v>
      </c>
      <c r="N146" s="2">
        <f t="shared" si="10"/>
        <v>0</v>
      </c>
      <c r="O146" s="2">
        <f t="shared" si="11"/>
        <v>1</v>
      </c>
    </row>
    <row r="147" spans="2:15">
      <c r="B147" s="989">
        <v>6412</v>
      </c>
      <c r="C147" s="990" t="str">
        <f>IF([1]ACCUEIL!B1=1,"Patents, licenses and related taxes","Patentes, licences et taxes annexes")</f>
        <v>Patentes, licences et taxes annexes</v>
      </c>
      <c r="D147" s="1047"/>
      <c r="E147" s="399"/>
      <c r="F147" s="399"/>
      <c r="G147" s="1048"/>
      <c r="H147" s="991">
        <f>'[1]CLASSE 6'!I267</f>
        <v>0</v>
      </c>
      <c r="I147" s="991">
        <f>'[1]CLASSE 6'!E267</f>
        <v>0</v>
      </c>
      <c r="J147" s="992">
        <f t="shared" si="6"/>
        <v>0</v>
      </c>
      <c r="K147" s="993">
        <f t="shared" si="7"/>
        <v>0</v>
      </c>
      <c r="L147" s="220">
        <f t="shared" si="8"/>
        <v>0</v>
      </c>
      <c r="M147" s="2">
        <f t="shared" si="9"/>
        <v>1</v>
      </c>
      <c r="N147" s="2">
        <f t="shared" si="10"/>
        <v>0</v>
      </c>
      <c r="O147" s="2">
        <f t="shared" si="11"/>
        <v>1</v>
      </c>
    </row>
    <row r="148" spans="2:15">
      <c r="B148" s="989">
        <v>6413</v>
      </c>
      <c r="C148" s="990" t="str">
        <f>IF([1]ACCUEIL!B1=1,"Taxes on salaries and wages","Taxes sur appointements et salaires")</f>
        <v>Taxes sur appointements et salaires</v>
      </c>
      <c r="D148" s="1047"/>
      <c r="E148" s="399"/>
      <c r="F148" s="399"/>
      <c r="G148" s="1048"/>
      <c r="H148" s="991">
        <f>'[1]CLASSE 6'!I269</f>
        <v>0</v>
      </c>
      <c r="I148" s="991">
        <f>'[1]CLASSE 6'!E269</f>
        <v>0</v>
      </c>
      <c r="J148" s="992">
        <f t="shared" si="6"/>
        <v>0</v>
      </c>
      <c r="K148" s="993">
        <f t="shared" si="7"/>
        <v>0</v>
      </c>
      <c r="L148" s="220">
        <f t="shared" si="8"/>
        <v>0</v>
      </c>
      <c r="M148" s="2">
        <f t="shared" si="9"/>
        <v>1</v>
      </c>
      <c r="N148" s="2">
        <f t="shared" si="10"/>
        <v>0</v>
      </c>
      <c r="O148" s="2">
        <f t="shared" si="11"/>
        <v>1</v>
      </c>
    </row>
    <row r="149" spans="2:15">
      <c r="B149" s="989">
        <v>6414</v>
      </c>
      <c r="C149" s="990" t="str">
        <f>IF([1]ACCUEIL!B1=1,"Apprenticeship taxes","Taxes d'apprentissage")</f>
        <v>Taxes d'apprentissage</v>
      </c>
      <c r="D149" s="1047"/>
      <c r="E149" s="399"/>
      <c r="F149" s="399"/>
      <c r="G149" s="1048"/>
      <c r="H149" s="991">
        <f>'[1]CLASSE 6'!I271</f>
        <v>0</v>
      </c>
      <c r="I149" s="991">
        <f>'[1]CLASSE 6'!E271</f>
        <v>0</v>
      </c>
      <c r="J149" s="992">
        <f t="shared" si="6"/>
        <v>0</v>
      </c>
      <c r="K149" s="993">
        <f t="shared" si="7"/>
        <v>0</v>
      </c>
      <c r="L149" s="220">
        <f t="shared" si="8"/>
        <v>0</v>
      </c>
      <c r="M149" s="2">
        <f t="shared" si="9"/>
        <v>1</v>
      </c>
      <c r="N149" s="2">
        <f t="shared" si="10"/>
        <v>0</v>
      </c>
      <c r="O149" s="2">
        <f t="shared" si="11"/>
        <v>1</v>
      </c>
    </row>
    <row r="150" spans="2:15">
      <c r="B150" s="989">
        <v>6415</v>
      </c>
      <c r="C150" s="990" t="str">
        <f>IF([1]ACCUEIL!B1=1,"Professional formation continues","Formation professionnelle continue")</f>
        <v>Formation professionnelle continue</v>
      </c>
      <c r="D150" s="1047"/>
      <c r="E150" s="399"/>
      <c r="F150" s="399"/>
      <c r="G150" s="1048"/>
      <c r="H150" s="991">
        <f>'[1]CLASSE 6'!I273</f>
        <v>0</v>
      </c>
      <c r="I150" s="991">
        <f>'[1]CLASSE 6'!E273</f>
        <v>0</v>
      </c>
      <c r="J150" s="992">
        <f t="shared" si="6"/>
        <v>0</v>
      </c>
      <c r="K150" s="993">
        <f t="shared" si="7"/>
        <v>0</v>
      </c>
      <c r="L150" s="220">
        <f t="shared" si="8"/>
        <v>0</v>
      </c>
      <c r="M150" s="2">
        <f t="shared" si="9"/>
        <v>1</v>
      </c>
      <c r="N150" s="2">
        <f t="shared" si="10"/>
        <v>0</v>
      </c>
      <c r="O150" s="2">
        <f t="shared" si="11"/>
        <v>1</v>
      </c>
    </row>
    <row r="151" spans="2:15">
      <c r="B151" s="989">
        <v>6418</v>
      </c>
      <c r="C151" s="990" t="str">
        <f>IF([1]ACCUEIL!B1=1,"Other direct taxes and duties","Autres impôts et taxes directs")</f>
        <v>Autres impôts et taxes directs</v>
      </c>
      <c r="D151" s="1047"/>
      <c r="E151" s="399"/>
      <c r="F151" s="399"/>
      <c r="G151" s="1048"/>
      <c r="H151" s="991">
        <f>'[1]CLASSE 6'!I275</f>
        <v>0</v>
      </c>
      <c r="I151" s="991">
        <f>'[1]CLASSE 6'!E275</f>
        <v>0</v>
      </c>
      <c r="J151" s="992">
        <f t="shared" si="6"/>
        <v>0</v>
      </c>
      <c r="K151" s="993">
        <f t="shared" si="7"/>
        <v>0</v>
      </c>
      <c r="L151" s="220">
        <f t="shared" si="8"/>
        <v>0</v>
      </c>
      <c r="M151" s="2">
        <f t="shared" si="9"/>
        <v>1</v>
      </c>
      <c r="N151" s="2">
        <f t="shared" si="10"/>
        <v>0</v>
      </c>
      <c r="O151" s="2">
        <f t="shared" si="11"/>
        <v>1</v>
      </c>
    </row>
    <row r="152" spans="2:15">
      <c r="B152" s="989">
        <v>6450</v>
      </c>
      <c r="C152" s="990" t="str">
        <f>IF([1]ACCUEIL!B1=1,"Taxes and indirect taxes","Impôts et taxes indirects")</f>
        <v>Impôts et taxes indirects</v>
      </c>
      <c r="D152" s="1047"/>
      <c r="E152" s="399"/>
      <c r="F152" s="399"/>
      <c r="G152" s="1048"/>
      <c r="H152" s="991">
        <f>'[1]CLASSE 6'!I278</f>
        <v>0</v>
      </c>
      <c r="I152" s="991">
        <f>'[1]CLASSE 6'!E278</f>
        <v>0</v>
      </c>
      <c r="J152" s="992">
        <f t="shared" si="6"/>
        <v>0</v>
      </c>
      <c r="K152" s="993">
        <f t="shared" si="7"/>
        <v>0</v>
      </c>
      <c r="L152" s="220">
        <f t="shared" si="8"/>
        <v>0</v>
      </c>
      <c r="M152" s="2">
        <f t="shared" si="9"/>
        <v>1</v>
      </c>
      <c r="N152" s="2">
        <f t="shared" si="10"/>
        <v>0</v>
      </c>
      <c r="O152" s="2">
        <f t="shared" si="11"/>
        <v>1</v>
      </c>
    </row>
    <row r="153" spans="2:15">
      <c r="B153" s="989">
        <v>6461</v>
      </c>
      <c r="C153" s="990" t="str">
        <f>IF([1]ACCUEIL!B1=1,"Transfer taxes","Droits de mutation")</f>
        <v>Droits de mutation</v>
      </c>
      <c r="D153" s="1047"/>
      <c r="E153" s="399"/>
      <c r="F153" s="399"/>
      <c r="G153" s="1048"/>
      <c r="H153" s="991">
        <f>'[1]CLASSE 6'!I280</f>
        <v>0</v>
      </c>
      <c r="I153" s="991">
        <f>'[1]CLASSE 6'!E280</f>
        <v>0</v>
      </c>
      <c r="J153" s="992">
        <f t="shared" si="6"/>
        <v>0</v>
      </c>
      <c r="K153" s="993">
        <f t="shared" si="7"/>
        <v>0</v>
      </c>
      <c r="L153" s="220">
        <f t="shared" si="8"/>
        <v>0</v>
      </c>
      <c r="M153" s="2">
        <f t="shared" si="9"/>
        <v>1</v>
      </c>
      <c r="N153" s="2">
        <f t="shared" si="10"/>
        <v>0</v>
      </c>
      <c r="O153" s="2">
        <f t="shared" si="11"/>
        <v>1</v>
      </c>
    </row>
    <row r="154" spans="2:15">
      <c r="B154" s="989">
        <v>6462</v>
      </c>
      <c r="C154" s="990" t="str">
        <f>IF([1]ACCUEIL!B1=1,"Stamp duties","Droits de timbre")</f>
        <v>Droits de timbre</v>
      </c>
      <c r="D154" s="1047"/>
      <c r="E154" s="399"/>
      <c r="F154" s="399"/>
      <c r="G154" s="1048"/>
      <c r="H154" s="991">
        <f>'[1]CLASSE 6'!I282</f>
        <v>0</v>
      </c>
      <c r="I154" s="991">
        <f>'[1]CLASSE 6'!E282</f>
        <v>0</v>
      </c>
      <c r="J154" s="992">
        <f t="shared" si="6"/>
        <v>0</v>
      </c>
      <c r="K154" s="993">
        <f t="shared" si="7"/>
        <v>0</v>
      </c>
      <c r="L154" s="220">
        <f t="shared" si="8"/>
        <v>0</v>
      </c>
      <c r="M154" s="2">
        <f t="shared" si="9"/>
        <v>1</v>
      </c>
      <c r="N154" s="2">
        <f t="shared" si="10"/>
        <v>0</v>
      </c>
      <c r="O154" s="2">
        <f t="shared" si="11"/>
        <v>1</v>
      </c>
    </row>
    <row r="155" spans="2:15">
      <c r="B155" s="989">
        <v>6463</v>
      </c>
      <c r="C155" s="990" t="str">
        <f>IF([1]ACCUEIL!B1=1,"Taxes on company vehicles","Taxes sur les véhicules de société")</f>
        <v>Taxes sur les véhicules de société</v>
      </c>
      <c r="D155" s="1047"/>
      <c r="E155" s="399"/>
      <c r="F155" s="399"/>
      <c r="G155" s="1048"/>
      <c r="H155" s="991">
        <f>'[1]CLASSE 6'!I284</f>
        <v>0</v>
      </c>
      <c r="I155" s="991">
        <f>'[1]CLASSE 6'!E284</f>
        <v>0</v>
      </c>
      <c r="J155" s="992">
        <f t="shared" si="6"/>
        <v>0</v>
      </c>
      <c r="K155" s="993">
        <f t="shared" si="7"/>
        <v>0</v>
      </c>
      <c r="L155" s="220">
        <f t="shared" si="8"/>
        <v>0</v>
      </c>
      <c r="M155" s="2">
        <f t="shared" si="9"/>
        <v>1</v>
      </c>
      <c r="N155" s="2">
        <f t="shared" si="10"/>
        <v>0</v>
      </c>
      <c r="O155" s="2">
        <f t="shared" si="11"/>
        <v>1</v>
      </c>
    </row>
    <row r="156" spans="2:15">
      <c r="B156" s="989">
        <v>6464</v>
      </c>
      <c r="C156" s="990" t="str">
        <f>IF([1]ACCUEIL!B1=1,"Thumbnails","Vignettes")</f>
        <v>Vignettes</v>
      </c>
      <c r="D156" s="1047"/>
      <c r="E156" s="399"/>
      <c r="F156" s="399"/>
      <c r="G156" s="1048"/>
      <c r="H156" s="991">
        <f>'[1]CLASSE 6'!I286</f>
        <v>0</v>
      </c>
      <c r="I156" s="991">
        <f>'[1]CLASSE 6'!E286</f>
        <v>0</v>
      </c>
      <c r="J156" s="992">
        <f t="shared" si="6"/>
        <v>0</v>
      </c>
      <c r="K156" s="993">
        <f t="shared" si="7"/>
        <v>0</v>
      </c>
      <c r="L156" s="220">
        <f t="shared" si="8"/>
        <v>0</v>
      </c>
      <c r="M156" s="2">
        <f t="shared" si="9"/>
        <v>1</v>
      </c>
      <c r="N156" s="2">
        <f t="shared" si="10"/>
        <v>0</v>
      </c>
      <c r="O156" s="2">
        <f t="shared" si="11"/>
        <v>1</v>
      </c>
    </row>
    <row r="157" spans="2:15">
      <c r="B157" s="989">
        <v>6468</v>
      </c>
      <c r="C157" s="990" t="str">
        <f>IF([1]ACCUEIL!B1=1,"Other rights","Autres droits ")</f>
        <v xml:space="preserve">Autres droits </v>
      </c>
      <c r="D157" s="1047"/>
      <c r="E157" s="399"/>
      <c r="F157" s="399"/>
      <c r="G157" s="1048"/>
      <c r="H157" s="991">
        <f>'[1]CLASSE 6'!I288</f>
        <v>0</v>
      </c>
      <c r="I157" s="991">
        <f>'[1]CLASSE 6'!E288</f>
        <v>0</v>
      </c>
      <c r="J157" s="992">
        <f t="shared" ref="J157:J164" si="12">H157-I157</f>
        <v>0</v>
      </c>
      <c r="K157" s="993">
        <f t="shared" ref="K157:K164" si="13">IF(L157=0,0,O157)</f>
        <v>0</v>
      </c>
      <c r="L157" s="220">
        <f t="shared" ref="L157:L164" si="14">H157-I157</f>
        <v>0</v>
      </c>
      <c r="M157" s="2">
        <f t="shared" ref="M157:M164" si="15">IF(I157=0,1,IF(I157&lt;0,(H157-I157)/-I157,(H157-I157)/I157))</f>
        <v>1</v>
      </c>
      <c r="N157" s="2">
        <f t="shared" ref="N157:N164" si="16">IF(L157=H157,IF(H157&lt;0,-1,0),0)</f>
        <v>0</v>
      </c>
      <c r="O157" s="2">
        <f t="shared" ref="O157:O164" si="17">IF(N157=-1,-1,M157)</f>
        <v>1</v>
      </c>
    </row>
    <row r="158" spans="2:15">
      <c r="B158" s="989">
        <v>6471</v>
      </c>
      <c r="C158" s="990" t="str">
        <f>IF([1]ACCUEIL!B1=1,"Base penalties, direct taxes","Pénalités d'assiette, impôts directs")</f>
        <v>Pénalités d'assiette, impôts directs</v>
      </c>
      <c r="D158" s="1047"/>
      <c r="E158" s="399"/>
      <c r="F158" s="399"/>
      <c r="G158" s="1048"/>
      <c r="H158" s="991">
        <f>'[1]CLASSE 6'!I292</f>
        <v>0</v>
      </c>
      <c r="I158" s="991">
        <f>'[1]CLASSE 6'!E292</f>
        <v>0</v>
      </c>
      <c r="J158" s="992">
        <f t="shared" si="12"/>
        <v>0</v>
      </c>
      <c r="K158" s="993">
        <f t="shared" si="13"/>
        <v>0</v>
      </c>
      <c r="L158" s="220">
        <f t="shared" si="14"/>
        <v>0</v>
      </c>
      <c r="M158" s="2">
        <f t="shared" si="15"/>
        <v>1</v>
      </c>
      <c r="N158" s="2">
        <f t="shared" si="16"/>
        <v>0</v>
      </c>
      <c r="O158" s="2">
        <f t="shared" si="17"/>
        <v>1</v>
      </c>
    </row>
    <row r="159" spans="2:15">
      <c r="B159" s="989">
        <v>6472</v>
      </c>
      <c r="C159" s="990" t="str">
        <f>IF([1]ACCUEIL!B1=1,"Base penalties, indirect taxes","Pénalités d'assiette, impôts indirects")</f>
        <v>Pénalités d'assiette, impôts indirects</v>
      </c>
      <c r="D159" s="1047"/>
      <c r="E159" s="399"/>
      <c r="F159" s="399"/>
      <c r="G159" s="1048"/>
      <c r="H159" s="991">
        <f>'[1]CLASSE 6'!I294</f>
        <v>0</v>
      </c>
      <c r="I159" s="991">
        <f>'[1]CLASSE 6'!E294</f>
        <v>0</v>
      </c>
      <c r="J159" s="992">
        <f t="shared" si="12"/>
        <v>0</v>
      </c>
      <c r="K159" s="993">
        <f t="shared" si="13"/>
        <v>0</v>
      </c>
      <c r="L159" s="220">
        <f t="shared" si="14"/>
        <v>0</v>
      </c>
      <c r="M159" s="2">
        <f t="shared" si="15"/>
        <v>1</v>
      </c>
      <c r="N159" s="2">
        <f t="shared" si="16"/>
        <v>0</v>
      </c>
      <c r="O159" s="2">
        <f t="shared" si="17"/>
        <v>1</v>
      </c>
    </row>
    <row r="160" spans="2:15">
      <c r="B160" s="989">
        <v>6473</v>
      </c>
      <c r="C160" s="990" t="str">
        <f>IF([1]ACCUEIL!B1=1,"Collection penalties, direct taxes","Pénalités de recouvrement, impôts directs")</f>
        <v>Pénalités de recouvrement, impôts directs</v>
      </c>
      <c r="D160" s="1047"/>
      <c r="E160" s="399"/>
      <c r="F160" s="399"/>
      <c r="G160" s="1048"/>
      <c r="H160" s="991">
        <f>'[1]CLASSE 6'!I296</f>
        <v>0</v>
      </c>
      <c r="I160" s="991">
        <f>'[1]CLASSE 6'!E296</f>
        <v>0</v>
      </c>
      <c r="J160" s="992">
        <f t="shared" si="12"/>
        <v>0</v>
      </c>
      <c r="K160" s="993">
        <f t="shared" si="13"/>
        <v>0</v>
      </c>
      <c r="L160" s="220">
        <f t="shared" si="14"/>
        <v>0</v>
      </c>
      <c r="M160" s="2">
        <f t="shared" si="15"/>
        <v>1</v>
      </c>
      <c r="N160" s="2">
        <f t="shared" si="16"/>
        <v>0</v>
      </c>
      <c r="O160" s="2">
        <f t="shared" si="17"/>
        <v>1</v>
      </c>
    </row>
    <row r="161" spans="2:16">
      <c r="B161" s="989">
        <v>6474</v>
      </c>
      <c r="C161" s="990" t="str">
        <f>IF([1]ACCUEIL!B1=1,"Collection penalties, indirect taxes","Pénalités de recouvrement, impôts indirects")</f>
        <v>Pénalités de recouvrement, impôts indirects</v>
      </c>
      <c r="D161" s="1047"/>
      <c r="E161" s="399"/>
      <c r="F161" s="399"/>
      <c r="G161" s="1048"/>
      <c r="H161" s="991">
        <f>'[1]CLASSE 6'!I298</f>
        <v>0</v>
      </c>
      <c r="I161" s="991">
        <f>'[1]CLASSE 6'!E298</f>
        <v>0</v>
      </c>
      <c r="J161" s="992">
        <f t="shared" si="12"/>
        <v>0</v>
      </c>
      <c r="K161" s="993">
        <f t="shared" si="13"/>
        <v>0</v>
      </c>
      <c r="L161" s="220">
        <f t="shared" si="14"/>
        <v>0</v>
      </c>
      <c r="M161" s="2">
        <f t="shared" si="15"/>
        <v>1</v>
      </c>
      <c r="N161" s="2">
        <f t="shared" si="16"/>
        <v>0</v>
      </c>
      <c r="O161" s="2">
        <f t="shared" si="17"/>
        <v>1</v>
      </c>
    </row>
    <row r="162" spans="2:16">
      <c r="B162" s="989">
        <v>6478</v>
      </c>
      <c r="C162" s="990" t="str">
        <f>IF([1]ACCUEIL!B1=1,"Other penalties and tax fines","Autres pénalités et amendes fiscales")</f>
        <v>Autres pénalités et amendes fiscales</v>
      </c>
      <c r="D162" s="1047"/>
      <c r="E162" s="399"/>
      <c r="F162" s="399"/>
      <c r="G162" s="1048"/>
      <c r="H162" s="991">
        <f>'[1]CLASSE 6'!I300</f>
        <v>0</v>
      </c>
      <c r="I162" s="991">
        <f>'[1]CLASSE 6'!E300</f>
        <v>0</v>
      </c>
      <c r="J162" s="992">
        <f t="shared" si="12"/>
        <v>0</v>
      </c>
      <c r="K162" s="993">
        <f t="shared" si="13"/>
        <v>0</v>
      </c>
      <c r="L162" s="220">
        <f t="shared" si="14"/>
        <v>0</v>
      </c>
      <c r="M162" s="2">
        <f t="shared" si="15"/>
        <v>1</v>
      </c>
      <c r="N162" s="2">
        <f t="shared" si="16"/>
        <v>0</v>
      </c>
      <c r="O162" s="2">
        <f t="shared" si="17"/>
        <v>1</v>
      </c>
    </row>
    <row r="163" spans="2:16" ht="15.75" thickBot="1">
      <c r="B163" s="989">
        <v>6480</v>
      </c>
      <c r="C163" s="1049" t="str">
        <f>IF([1]ACCUEIL!B1=1,"Other taxes and fees","Autres impôts et taxes")</f>
        <v>Autres impôts et taxes</v>
      </c>
      <c r="D163" s="1047"/>
      <c r="E163" s="399"/>
      <c r="F163" s="399"/>
      <c r="G163" s="1048"/>
      <c r="H163" s="1000">
        <f>'[1]CLASSE 6'!I303</f>
        <v>0</v>
      </c>
      <c r="I163" s="1000">
        <f>'[1]CLASSE 6'!E303</f>
        <v>0</v>
      </c>
      <c r="J163" s="992">
        <f t="shared" si="12"/>
        <v>0</v>
      </c>
      <c r="K163" s="993">
        <f t="shared" si="13"/>
        <v>0</v>
      </c>
      <c r="L163" s="220">
        <f t="shared" si="14"/>
        <v>0</v>
      </c>
      <c r="M163" s="2">
        <f t="shared" si="15"/>
        <v>1</v>
      </c>
      <c r="N163" s="2">
        <f t="shared" si="16"/>
        <v>0</v>
      </c>
      <c r="O163" s="2">
        <f t="shared" si="17"/>
        <v>1</v>
      </c>
    </row>
    <row r="164" spans="2:16" ht="15.75" thickTop="1">
      <c r="B164" s="1050" t="s">
        <v>117</v>
      </c>
      <c r="C164" s="1051"/>
      <c r="D164" s="1052" t="str">
        <f>IF([1]ACCUEIL!B1=1,"Dues and taxes","Impôts et taxes")</f>
        <v>Impôts et taxes</v>
      </c>
      <c r="E164" s="1052"/>
      <c r="F164" s="1052"/>
      <c r="G164" s="1053"/>
      <c r="H164" s="1054">
        <f>SUM(H146:H163)</f>
        <v>0</v>
      </c>
      <c r="I164" s="1054">
        <f>SUM(I146:I163)</f>
        <v>0</v>
      </c>
      <c r="J164" s="1011">
        <f t="shared" si="12"/>
        <v>0</v>
      </c>
      <c r="K164" s="1055">
        <f t="shared" si="13"/>
        <v>0</v>
      </c>
      <c r="L164" s="220">
        <f t="shared" si="14"/>
        <v>0</v>
      </c>
      <c r="M164" s="2">
        <f t="shared" si="15"/>
        <v>1</v>
      </c>
      <c r="N164" s="2">
        <f t="shared" si="16"/>
        <v>0</v>
      </c>
      <c r="O164" s="2">
        <f t="shared" si="17"/>
        <v>1</v>
      </c>
    </row>
    <row r="165" spans="2:16">
      <c r="B165" s="2172" t="str">
        <f>B82</f>
        <v>SYSTÈME NORMAL</v>
      </c>
      <c r="C165" s="2173"/>
      <c r="D165" s="2158"/>
      <c r="E165" s="2158"/>
      <c r="F165" s="2159"/>
      <c r="G165" s="2174" t="str">
        <f>IF([1]ACCUEIL!B1=1,"SUPPLEMENTARY STATEMENT N ° 1 PAGE 3/4","ETAT COMPLEMENTAIRE N°1 PAGE 3/4")</f>
        <v>ETAT COMPLEMENTAIRE N°1 PAGE 3/4</v>
      </c>
      <c r="H165" s="2175"/>
      <c r="I165" s="2176"/>
      <c r="J165" s="399"/>
      <c r="K165" s="399"/>
    </row>
    <row r="166" spans="2:16">
      <c r="B166" s="957" t="str">
        <f>B83</f>
        <v>Désignation entité:</v>
      </c>
      <c r="C166" s="1056"/>
      <c r="D166" s="1057" t="str">
        <f>D83</f>
        <v/>
      </c>
      <c r="E166" s="1058"/>
      <c r="F166" s="1059"/>
      <c r="G166" s="398"/>
      <c r="H166" s="398"/>
      <c r="I166" s="398"/>
      <c r="J166" s="398"/>
      <c r="K166" s="398"/>
    </row>
    <row r="167" spans="2:16">
      <c r="B167" s="957" t="str">
        <f t="shared" ref="B167:B169" si="18">B84</f>
        <v>Sigle usuel :</v>
      </c>
      <c r="C167" s="1060"/>
      <c r="D167" s="963" t="str">
        <f>D84</f>
        <v/>
      </c>
      <c r="E167" s="964"/>
      <c r="F167" s="1061"/>
      <c r="G167" s="1061"/>
      <c r="H167" s="1062"/>
      <c r="I167" s="1062"/>
      <c r="J167" s="1063"/>
      <c r="K167" s="1063"/>
    </row>
    <row r="168" spans="2:16">
      <c r="B168" s="957" t="str">
        <f t="shared" si="18"/>
        <v>Adresse:</v>
      </c>
      <c r="D168" s="1064">
        <f>D85</f>
        <v>0</v>
      </c>
      <c r="E168" s="1058"/>
      <c r="F168" s="1058"/>
      <c r="G168" s="398"/>
      <c r="H168" s="398"/>
      <c r="I168" s="398"/>
      <c r="J168" s="1065" t="str">
        <f>J85</f>
        <v>BP:</v>
      </c>
      <c r="K168" s="1066" t="str">
        <f>K85</f>
        <v/>
      </c>
      <c r="L168" s="1016"/>
      <c r="M168" s="1016"/>
      <c r="N168" s="1016"/>
      <c r="O168" s="1016"/>
      <c r="P168" s="1016"/>
    </row>
    <row r="169" spans="2:16">
      <c r="B169" s="957" t="str">
        <f t="shared" si="18"/>
        <v>Numéro d'identification:</v>
      </c>
      <c r="C169" s="958"/>
      <c r="D169" s="1067" t="str">
        <f>D86</f>
        <v/>
      </c>
      <c r="E169" s="964"/>
      <c r="F169" s="965"/>
      <c r="G169" s="965"/>
      <c r="H169" s="1030" t="str">
        <f>G86</f>
        <v xml:space="preserve">   Exercice clos le 31 - 12- </v>
      </c>
      <c r="I169" s="1068">
        <f>H86</f>
        <v>2025</v>
      </c>
      <c r="J169" s="1030" t="str">
        <f>J86</f>
        <v xml:space="preserve">    Durée (en mois):</v>
      </c>
      <c r="K169" s="970">
        <f>K86</f>
        <v>12</v>
      </c>
    </row>
    <row r="170" spans="2:16">
      <c r="B170" s="957"/>
      <c r="C170" s="957"/>
      <c r="D170" s="957"/>
      <c r="E170" s="399"/>
      <c r="F170" s="399"/>
      <c r="G170" s="399"/>
      <c r="H170" s="399"/>
      <c r="I170" s="399"/>
      <c r="J170" s="997"/>
      <c r="K170" s="997"/>
    </row>
    <row r="171" spans="2:16">
      <c r="B171" s="1546" t="str">
        <f>IF([1]ACCUEIL!B1=1,"COMPLEMENTARY STATE DIRECTORATE GENERAL OF TAXATION / NATIONAL ACCOUNTING","ETAT COMPLEMENTAIRE DIRECTION GENERALE DES IMPOTS/COMPTABILITE NATIONALE")</f>
        <v>ETAT COMPLEMENTAIRE DIRECTION GENERALE DES IMPOTS/COMPTABILITE NATIONALE</v>
      </c>
      <c r="C171" s="1546"/>
      <c r="D171" s="1546"/>
      <c r="E171" s="1546"/>
      <c r="F171" s="1546"/>
      <c r="G171" s="1546"/>
      <c r="H171" s="1546"/>
      <c r="I171" s="1546"/>
      <c r="J171" s="1546"/>
      <c r="K171" s="1546"/>
    </row>
    <row r="172" spans="2:16">
      <c r="B172" s="1033"/>
      <c r="C172" s="1008"/>
      <c r="D172" s="1008"/>
      <c r="E172" s="1008"/>
      <c r="F172" s="1008"/>
      <c r="G172" s="1008"/>
      <c r="H172" s="1008"/>
      <c r="I172" s="1008"/>
      <c r="J172" s="1008"/>
      <c r="K172" s="1008"/>
    </row>
    <row r="173" spans="2:16">
      <c r="B173" s="1034"/>
      <c r="C173" s="1035"/>
      <c r="D173" s="1035"/>
      <c r="E173" s="1035"/>
      <c r="F173" s="1035"/>
      <c r="G173" s="1036"/>
      <c r="H173" s="1037"/>
      <c r="I173" s="1037"/>
      <c r="J173" s="2170" t="str">
        <f>J90</f>
        <v>Variations N/N-1</v>
      </c>
      <c r="K173" s="2171"/>
    </row>
    <row r="174" spans="2:16">
      <c r="B174" s="2165" t="str">
        <f>IF([1]ACCUEIL!B1=1,"DETAILS OF GNF LOADS (CONTINUED)","DETAIL DES CHARGES EN GNF (SUITE)")</f>
        <v>DETAIL DES CHARGES EN GNF (SUITE)</v>
      </c>
      <c r="C174" s="2166"/>
      <c r="D174" s="2166"/>
      <c r="E174" s="2166"/>
      <c r="F174" s="2166"/>
      <c r="G174" s="2167"/>
      <c r="H174" s="1038" t="str">
        <f>H91</f>
        <v xml:space="preserve">Année N </v>
      </c>
      <c r="I174" s="1038" t="str">
        <f>I91</f>
        <v>Année N-1</v>
      </c>
      <c r="J174" s="1039" t="str">
        <f>J91</f>
        <v xml:space="preserve">En valeur </v>
      </c>
      <c r="K174" s="1039" t="str">
        <f>K91</f>
        <v>En %</v>
      </c>
    </row>
    <row r="175" spans="2:16">
      <c r="B175" s="1040"/>
      <c r="C175" s="1041"/>
      <c r="D175" s="1041"/>
      <c r="E175" s="1041"/>
      <c r="F175" s="1041"/>
      <c r="G175" s="1042"/>
      <c r="H175" s="1043"/>
      <c r="I175" s="1043"/>
      <c r="J175" s="1044"/>
      <c r="K175" s="1045"/>
    </row>
    <row r="176" spans="2:16">
      <c r="B176" s="989">
        <v>6511</v>
      </c>
      <c r="C176" s="990" t="str">
        <f>IF([1]ACCUEIL!B1=1,"Losses on trade receivables","Pertes sur créances clients")</f>
        <v>Pertes sur créances clients</v>
      </c>
      <c r="D176" s="1047"/>
      <c r="E176" s="399"/>
      <c r="F176" s="399"/>
      <c r="G176" s="1048"/>
      <c r="H176" s="1000">
        <f>'[1]CLASSE 6'!I305</f>
        <v>0</v>
      </c>
      <c r="I176" s="1000">
        <f>'[1]CLASSE 6'!E305</f>
        <v>0</v>
      </c>
      <c r="J176" s="992">
        <f>H176-I176</f>
        <v>0</v>
      </c>
      <c r="K176" s="993">
        <f>IF(L176=0,0,O176)</f>
        <v>0</v>
      </c>
      <c r="L176" s="220">
        <f>H176-I176</f>
        <v>0</v>
      </c>
      <c r="M176" s="2">
        <f>IF(I176=0,1,IF(I176&lt;0,(H176-I176)/-I176,(H176-I176)/I176))</f>
        <v>1</v>
      </c>
      <c r="N176" s="2">
        <f>IF(L176=H176,IF(H176&lt;0,-1,0),0)</f>
        <v>0</v>
      </c>
      <c r="O176" s="2">
        <f>IF(N176=-1,-1,M176)</f>
        <v>1</v>
      </c>
    </row>
    <row r="177" spans="2:15">
      <c r="B177" s="989">
        <v>6515</v>
      </c>
      <c r="C177" s="990" t="str">
        <f>IF([1]ACCUEIL!B1=1,"Losses on other debtors","Pertes sur autres débiteurs")</f>
        <v>Pertes sur autres débiteurs</v>
      </c>
      <c r="D177" s="1047"/>
      <c r="E177" s="399"/>
      <c r="F177" s="399"/>
      <c r="G177" s="1048"/>
      <c r="H177" s="991">
        <f>'[1]CLASSE 6'!I307</f>
        <v>0</v>
      </c>
      <c r="I177" s="991">
        <f>'[1]CLASSE 6'!E307</f>
        <v>0</v>
      </c>
      <c r="J177" s="992">
        <f t="shared" ref="J177:J240" si="19">H177-I177</f>
        <v>0</v>
      </c>
      <c r="K177" s="993">
        <f t="shared" ref="K177:K240" si="20">IF(L177=0,0,O177)</f>
        <v>0</v>
      </c>
      <c r="L177" s="220">
        <f t="shared" ref="L177:L240" si="21">H177-I177</f>
        <v>0</v>
      </c>
      <c r="M177" s="2">
        <f t="shared" ref="M177:M240" si="22">IF(I177=0,1,IF(I177&lt;0,(H177-I177)/-I177,(H177-I177)/I177))</f>
        <v>1</v>
      </c>
      <c r="N177" s="2">
        <f t="shared" ref="N177:N240" si="23">IF(L177=H177,IF(H177&lt;0,-1,0),0)</f>
        <v>0</v>
      </c>
      <c r="O177" s="2">
        <f t="shared" ref="O177:O240" si="24">IF(N177=-1,-1,M177)</f>
        <v>1</v>
      </c>
    </row>
    <row r="178" spans="2:15">
      <c r="B178" s="989">
        <v>6521</v>
      </c>
      <c r="C178" s="990" t="str">
        <f>IF([1]ACCUEIL!B1=1,"Transferred share of profits (manager's accounting)","Quote-part transférée de bénéfices (comptabilité du gérant)")</f>
        <v>Quote-part transférée de bénéfices (comptabilité du gérant)</v>
      </c>
      <c r="D178" s="1047"/>
      <c r="E178" s="399"/>
      <c r="F178" s="399"/>
      <c r="G178" s="1048"/>
      <c r="H178" s="991">
        <f>'[1]CLASSE 6'!I311</f>
        <v>0</v>
      </c>
      <c r="I178" s="991">
        <f>'[1]CLASSE 6'!E311</f>
        <v>0</v>
      </c>
      <c r="J178" s="992">
        <f t="shared" si="19"/>
        <v>0</v>
      </c>
      <c r="K178" s="993">
        <f t="shared" si="20"/>
        <v>0</v>
      </c>
      <c r="L178" s="220">
        <f t="shared" si="21"/>
        <v>0</v>
      </c>
      <c r="M178" s="2">
        <f t="shared" si="22"/>
        <v>1</v>
      </c>
      <c r="N178" s="2">
        <f t="shared" si="23"/>
        <v>0</v>
      </c>
      <c r="O178" s="2">
        <f t="shared" si="24"/>
        <v>1</v>
      </c>
    </row>
    <row r="179" spans="2:15">
      <c r="B179" s="989">
        <v>6525</v>
      </c>
      <c r="C179" s="990" t="str">
        <f>IF([1]ACCUEIL!B1=1,"Losses charged by transfer (accounts of non-managing partners)","Pertes imputées par transfert (comptabilité des associés non gérants)")</f>
        <v>Pertes imputées par transfert (comptabilité des associés non gérants)</v>
      </c>
      <c r="D179" s="1047"/>
      <c r="E179" s="399"/>
      <c r="F179" s="399"/>
      <c r="G179" s="1048"/>
      <c r="H179" s="991">
        <f>'[1]CLASSE 6'!I313</f>
        <v>0</v>
      </c>
      <c r="I179" s="991">
        <f>'[1]CLASSE 6'!E313</f>
        <v>0</v>
      </c>
      <c r="J179" s="992">
        <f t="shared" si="19"/>
        <v>0</v>
      </c>
      <c r="K179" s="993">
        <f t="shared" si="20"/>
        <v>0</v>
      </c>
      <c r="L179" s="220">
        <f t="shared" si="21"/>
        <v>0</v>
      </c>
      <c r="M179" s="2">
        <f t="shared" si="22"/>
        <v>1</v>
      </c>
      <c r="N179" s="2">
        <f t="shared" si="23"/>
        <v>0</v>
      </c>
      <c r="O179" s="2">
        <f t="shared" si="24"/>
        <v>1</v>
      </c>
    </row>
    <row r="180" spans="2:15">
      <c r="B180" s="989">
        <v>6541</v>
      </c>
      <c r="C180" s="990" t="str">
        <f>IF([1]ACCUEIL!B1=1,"Carrying amount of current disposals of intangible assets","Valeur comptable des cessions courantes d'immobilisations incorporelles")</f>
        <v>Valeur comptable des cessions courantes d'immobilisations incorporelles</v>
      </c>
      <c r="D180" s="1047"/>
      <c r="E180" s="399"/>
      <c r="F180" s="399"/>
      <c r="G180" s="1048"/>
      <c r="H180" s="991">
        <f>'[1]CLASSE 6'!I317</f>
        <v>0</v>
      </c>
      <c r="I180" s="991">
        <f>'[1]CLASSE 6'!E317</f>
        <v>0</v>
      </c>
      <c r="J180" s="992">
        <f t="shared" si="19"/>
        <v>0</v>
      </c>
      <c r="K180" s="993">
        <f t="shared" si="20"/>
        <v>0</v>
      </c>
      <c r="L180" s="220">
        <f t="shared" si="21"/>
        <v>0</v>
      </c>
      <c r="M180" s="2">
        <f t="shared" si="22"/>
        <v>1</v>
      </c>
      <c r="N180" s="2">
        <f t="shared" si="23"/>
        <v>0</v>
      </c>
      <c r="O180" s="2">
        <f t="shared" si="24"/>
        <v>1</v>
      </c>
    </row>
    <row r="181" spans="2:15">
      <c r="B181" s="989">
        <v>6542</v>
      </c>
      <c r="C181" s="990" t="str">
        <f>IF([1]ACCUEIL!B1=1,"Book value of current disposals of property, plant and equipment","Valeur comptable des cessions courantes d'immobilisations corporelles")</f>
        <v>Valeur comptable des cessions courantes d'immobilisations corporelles</v>
      </c>
      <c r="D181" s="1047"/>
      <c r="E181" s="399"/>
      <c r="F181" s="399"/>
      <c r="G181" s="1048"/>
      <c r="H181" s="991">
        <f>'[1]CLASSE 6'!I319</f>
        <v>0</v>
      </c>
      <c r="I181" s="991">
        <f>'[1]CLASSE 6'!E319</f>
        <v>0</v>
      </c>
      <c r="J181" s="992">
        <f t="shared" si="19"/>
        <v>0</v>
      </c>
      <c r="K181" s="993">
        <f t="shared" si="20"/>
        <v>0</v>
      </c>
      <c r="L181" s="220">
        <f t="shared" si="21"/>
        <v>0</v>
      </c>
      <c r="M181" s="2">
        <f t="shared" si="22"/>
        <v>1</v>
      </c>
      <c r="N181" s="2">
        <f t="shared" si="23"/>
        <v>0</v>
      </c>
      <c r="O181" s="2">
        <f t="shared" si="24"/>
        <v>1</v>
      </c>
    </row>
    <row r="182" spans="2:15">
      <c r="B182" s="989">
        <v>6560</v>
      </c>
      <c r="C182" s="990" t="str">
        <f>IF([1]ACCUEIL!B1=1,"Foreign exchange loss on trade receivables and payables","Perte de change sur créances et dettes commerciales")</f>
        <v>Perte de change sur créances et dettes commerciales</v>
      </c>
      <c r="D182" s="1047"/>
      <c r="E182" s="399"/>
      <c r="F182" s="399"/>
      <c r="G182" s="1048"/>
      <c r="H182" s="991">
        <f>'[1]CLASSE 6'!I322</f>
        <v>0</v>
      </c>
      <c r="I182" s="991">
        <f>'[1]CLASSE 6'!E322</f>
        <v>0</v>
      </c>
      <c r="J182" s="992">
        <f t="shared" si="19"/>
        <v>0</v>
      </c>
      <c r="K182" s="993">
        <f t="shared" si="20"/>
        <v>0</v>
      </c>
      <c r="L182" s="220">
        <f t="shared" si="21"/>
        <v>0</v>
      </c>
      <c r="M182" s="2">
        <f t="shared" si="22"/>
        <v>1</v>
      </c>
      <c r="N182" s="2">
        <f t="shared" si="23"/>
        <v>0</v>
      </c>
      <c r="O182" s="2">
        <f t="shared" si="24"/>
        <v>1</v>
      </c>
    </row>
    <row r="183" spans="2:15">
      <c r="B183" s="989">
        <v>6570</v>
      </c>
      <c r="C183" s="990" t="str">
        <f>IF([1]ACCUEIL!B1=1,"Penalties and criminal fines","Pénalités et amendes pénales")</f>
        <v>Pénalités et amendes pénales</v>
      </c>
      <c r="D183" s="1047"/>
      <c r="E183" s="399"/>
      <c r="F183" s="399"/>
      <c r="G183" s="1048"/>
      <c r="H183" s="991">
        <f>'[1]CLASSE 6'!I323</f>
        <v>0</v>
      </c>
      <c r="I183" s="991">
        <f>'[1]CLASSE 6'!E323</f>
        <v>0</v>
      </c>
      <c r="J183" s="992">
        <f t="shared" si="19"/>
        <v>0</v>
      </c>
      <c r="K183" s="993">
        <f t="shared" si="20"/>
        <v>0</v>
      </c>
      <c r="L183" s="220">
        <f t="shared" si="21"/>
        <v>0</v>
      </c>
      <c r="M183" s="2">
        <f t="shared" si="22"/>
        <v>1</v>
      </c>
      <c r="N183" s="2">
        <f t="shared" si="23"/>
        <v>0</v>
      </c>
      <c r="O183" s="2">
        <f t="shared" si="24"/>
        <v>1</v>
      </c>
    </row>
    <row r="184" spans="2:15">
      <c r="B184" s="989">
        <v>6581</v>
      </c>
      <c r="C184" s="990" t="str">
        <f>IF([1]ACCUEIL!B1=1,"Official compensation and other directors' remuneration","Indemnités de fonction et autres rémunérations d'administrateurs")</f>
        <v>Indemnités de fonction et autres rémunérations d'administrateurs</v>
      </c>
      <c r="D184" s="1047"/>
      <c r="E184" s="399"/>
      <c r="F184" s="399"/>
      <c r="G184" s="1048"/>
      <c r="H184" s="991">
        <f>'[1]CLASSE 6'!I325</f>
        <v>0</v>
      </c>
      <c r="I184" s="991">
        <f>'[1]CLASSE 6'!E325</f>
        <v>0</v>
      </c>
      <c r="J184" s="992">
        <f t="shared" si="19"/>
        <v>0</v>
      </c>
      <c r="K184" s="993">
        <f t="shared" si="20"/>
        <v>0</v>
      </c>
      <c r="L184" s="220">
        <f t="shared" si="21"/>
        <v>0</v>
      </c>
      <c r="M184" s="2">
        <f t="shared" si="22"/>
        <v>1</v>
      </c>
      <c r="N184" s="2">
        <f t="shared" si="23"/>
        <v>0</v>
      </c>
      <c r="O184" s="2">
        <f t="shared" si="24"/>
        <v>1</v>
      </c>
    </row>
    <row r="185" spans="2:15">
      <c r="B185" s="989">
        <v>6582</v>
      </c>
      <c r="C185" s="990" t="str">
        <f>IF([1]ACCUEIL!B1=1,"Donations","Dons")</f>
        <v>Dons</v>
      </c>
      <c r="D185" s="1047"/>
      <c r="E185" s="399"/>
      <c r="F185" s="399"/>
      <c r="G185" s="1048"/>
      <c r="H185" s="991">
        <f>'[1]CLASSE 6'!I327</f>
        <v>0</v>
      </c>
      <c r="I185" s="991">
        <f>'[1]CLASSE 6'!E327</f>
        <v>0</v>
      </c>
      <c r="J185" s="992">
        <f t="shared" si="19"/>
        <v>0</v>
      </c>
      <c r="K185" s="993">
        <f t="shared" si="20"/>
        <v>0</v>
      </c>
      <c r="L185" s="220">
        <f t="shared" si="21"/>
        <v>0</v>
      </c>
      <c r="M185" s="2">
        <f t="shared" si="22"/>
        <v>1</v>
      </c>
      <c r="N185" s="2">
        <f t="shared" si="23"/>
        <v>0</v>
      </c>
      <c r="O185" s="2">
        <f t="shared" si="24"/>
        <v>1</v>
      </c>
    </row>
    <row r="186" spans="2:15">
      <c r="B186" s="989">
        <v>6583</v>
      </c>
      <c r="C186" s="990" t="str">
        <f>IF([1]ACCUEIL!B1=1,"Patronage","Mécénat")</f>
        <v>Mécénat</v>
      </c>
      <c r="D186" s="1047"/>
      <c r="E186" s="399"/>
      <c r="F186" s="399"/>
      <c r="G186" s="1048"/>
      <c r="H186" s="991">
        <f>'[1]CLASSE 6'!I329</f>
        <v>0</v>
      </c>
      <c r="I186" s="991">
        <f>'[1]CLASSE 6'!E329</f>
        <v>0</v>
      </c>
      <c r="J186" s="992">
        <f t="shared" si="19"/>
        <v>0</v>
      </c>
      <c r="K186" s="993">
        <f t="shared" si="20"/>
        <v>0</v>
      </c>
      <c r="L186" s="220">
        <f t="shared" si="21"/>
        <v>0</v>
      </c>
      <c r="M186" s="2">
        <f t="shared" si="22"/>
        <v>1</v>
      </c>
      <c r="N186" s="2">
        <f t="shared" si="23"/>
        <v>0</v>
      </c>
      <c r="O186" s="2">
        <f t="shared" si="24"/>
        <v>1</v>
      </c>
    </row>
    <row r="187" spans="2:15">
      <c r="B187" s="989">
        <v>6588</v>
      </c>
      <c r="C187" s="990" t="str">
        <f>IF([1]ACCUEIL!B1=1,"Other miscellaneous charges","Autres charges diverses")</f>
        <v>Autres charges diverses</v>
      </c>
      <c r="D187" s="1047"/>
      <c r="E187" s="399"/>
      <c r="F187" s="399"/>
      <c r="G187" s="1048"/>
      <c r="H187" s="991">
        <f>'[1]CLASSE 6'!I331</f>
        <v>0</v>
      </c>
      <c r="I187" s="991">
        <f>'[1]CLASSE 6'!E331</f>
        <v>0</v>
      </c>
      <c r="J187" s="992">
        <f t="shared" si="19"/>
        <v>0</v>
      </c>
      <c r="K187" s="993">
        <f t="shared" si="20"/>
        <v>0</v>
      </c>
      <c r="L187" s="220">
        <f t="shared" si="21"/>
        <v>0</v>
      </c>
      <c r="M187" s="2">
        <f t="shared" si="22"/>
        <v>1</v>
      </c>
      <c r="N187" s="2">
        <f t="shared" si="23"/>
        <v>0</v>
      </c>
      <c r="O187" s="2">
        <f t="shared" si="24"/>
        <v>1</v>
      </c>
    </row>
    <row r="188" spans="2:15">
      <c r="B188" s="989">
        <v>6591</v>
      </c>
      <c r="C188" s="990" t="str">
        <f>IF([1]ACCUEIL!B1=1,"Charges for depreciation and operating provisions on short-term risks","Charges pour dépréciation et provisions d'exploitation sur risques à court terme")</f>
        <v>Charges pour dépréciation et provisions d'exploitation sur risques à court terme</v>
      </c>
      <c r="D188" s="1047"/>
      <c r="E188" s="399"/>
      <c r="F188" s="399"/>
      <c r="G188" s="1048"/>
      <c r="H188" s="991">
        <f>'[1]CLASSE 6'!I335</f>
        <v>0</v>
      </c>
      <c r="I188" s="991">
        <f>'[1]CLASSE 6'!E335</f>
        <v>0</v>
      </c>
      <c r="J188" s="992">
        <f t="shared" si="19"/>
        <v>0</v>
      </c>
      <c r="K188" s="993">
        <f t="shared" si="20"/>
        <v>0</v>
      </c>
      <c r="L188" s="220">
        <f t="shared" si="21"/>
        <v>0</v>
      </c>
      <c r="M188" s="2">
        <f t="shared" si="22"/>
        <v>1</v>
      </c>
      <c r="N188" s="2">
        <f t="shared" si="23"/>
        <v>0</v>
      </c>
      <c r="O188" s="2">
        <f t="shared" si="24"/>
        <v>1</v>
      </c>
    </row>
    <row r="189" spans="2:15">
      <c r="B189" s="989">
        <v>6593</v>
      </c>
      <c r="C189" s="990" t="str">
        <f>IF([1]ACCUEIL!B1=1,"Charges for depreciation and provisions for short-term operating risk on inventories","Charges pour dépréciation et provisions pour risque à court terme d'exploitation sur stocks")</f>
        <v>Charges pour dépréciation et provisions pour risque à court terme d'exploitation sur stocks</v>
      </c>
      <c r="D189" s="1047"/>
      <c r="E189" s="399"/>
      <c r="F189" s="399"/>
      <c r="G189" s="1048"/>
      <c r="H189" s="991">
        <f>'[1]CLASSE 6'!I337</f>
        <v>0</v>
      </c>
      <c r="I189" s="991">
        <f>'[1]CLASSE 6'!E337</f>
        <v>0</v>
      </c>
      <c r="J189" s="992">
        <f t="shared" si="19"/>
        <v>0</v>
      </c>
      <c r="K189" s="993">
        <f t="shared" si="20"/>
        <v>0</v>
      </c>
      <c r="L189" s="220">
        <f t="shared" si="21"/>
        <v>0</v>
      </c>
      <c r="M189" s="2">
        <f t="shared" si="22"/>
        <v>1</v>
      </c>
      <c r="N189" s="2">
        <f t="shared" si="23"/>
        <v>0</v>
      </c>
      <c r="O189" s="2">
        <f t="shared" si="24"/>
        <v>1</v>
      </c>
    </row>
    <row r="190" spans="2:15">
      <c r="B190" s="989">
        <v>6594</v>
      </c>
      <c r="C190" s="990" t="str">
        <f>IF([1]ACCUEIL!B1=1,"Charges for depreciation and provisions for short-term operating risk on receivables","Charges pour dépréciation et provisions pour risque à court terme d'exploitation sur créances")</f>
        <v>Charges pour dépréciation et provisions pour risque à court terme d'exploitation sur créances</v>
      </c>
      <c r="D190" s="1047"/>
      <c r="E190" s="399"/>
      <c r="F190" s="399"/>
      <c r="G190" s="1048"/>
      <c r="H190" s="991">
        <f>'[1]CLASSE 6'!I339</f>
        <v>0</v>
      </c>
      <c r="I190" s="991">
        <f>'[1]CLASSE 6'!E339</f>
        <v>0</v>
      </c>
      <c r="J190" s="992">
        <f t="shared" si="19"/>
        <v>0</v>
      </c>
      <c r="K190" s="993">
        <f t="shared" si="20"/>
        <v>0</v>
      </c>
      <c r="L190" s="220">
        <f t="shared" si="21"/>
        <v>0</v>
      </c>
      <c r="M190" s="2">
        <f t="shared" si="22"/>
        <v>1</v>
      </c>
      <c r="N190" s="2">
        <f t="shared" si="23"/>
        <v>0</v>
      </c>
      <c r="O190" s="2">
        <f t="shared" si="24"/>
        <v>1</v>
      </c>
    </row>
    <row r="191" spans="2:15" ht="15.75" thickBot="1">
      <c r="B191" s="989">
        <v>6598</v>
      </c>
      <c r="C191" s="990" t="str">
        <f>IF([1]ACCUEIL!B1=1,"Other charges for depreciation and provisions for short-term operating risks","Autres charges pour dépréciations et provisions pour risques à court terme d'exploitation")</f>
        <v>Autres charges pour dépréciations et provisions pour risques à court terme d'exploitation</v>
      </c>
      <c r="D191" s="1047"/>
      <c r="E191" s="399"/>
      <c r="F191" s="399"/>
      <c r="G191" s="1048"/>
      <c r="H191" s="1000">
        <f>'[1]CLASSE 6'!I341</f>
        <v>0</v>
      </c>
      <c r="I191" s="1000">
        <f>'[1]CLASSE 6'!E341</f>
        <v>0</v>
      </c>
      <c r="J191" s="992">
        <f t="shared" si="19"/>
        <v>0</v>
      </c>
      <c r="K191" s="993">
        <f t="shared" si="20"/>
        <v>0</v>
      </c>
      <c r="L191" s="220">
        <f t="shared" si="21"/>
        <v>0</v>
      </c>
      <c r="M191" s="2">
        <f t="shared" si="22"/>
        <v>1</v>
      </c>
      <c r="N191" s="2">
        <f t="shared" si="23"/>
        <v>0</v>
      </c>
      <c r="O191" s="2">
        <f t="shared" si="24"/>
        <v>1</v>
      </c>
    </row>
    <row r="192" spans="2:15" ht="16.5" thickTop="1" thickBot="1">
      <c r="B192" s="995" t="s">
        <v>118</v>
      </c>
      <c r="C192" s="996"/>
      <c r="D192" s="997" t="str">
        <f>IF([1]ACCUEIL!B1=1,"Autres charges","Autres charges")</f>
        <v>Autres charges</v>
      </c>
      <c r="E192" s="997"/>
      <c r="F192" s="997"/>
      <c r="G192" s="1069"/>
      <c r="H192" s="998">
        <f>SUM(H176:H191)</f>
        <v>0</v>
      </c>
      <c r="I192" s="998">
        <f>SUM(I176:I191)</f>
        <v>0</v>
      </c>
      <c r="J192" s="992">
        <f t="shared" si="19"/>
        <v>0</v>
      </c>
      <c r="K192" s="993">
        <f t="shared" si="20"/>
        <v>0</v>
      </c>
      <c r="L192" s="220">
        <f t="shared" si="21"/>
        <v>0</v>
      </c>
      <c r="M192" s="2">
        <f t="shared" si="22"/>
        <v>1</v>
      </c>
      <c r="N192" s="2">
        <f t="shared" si="23"/>
        <v>0</v>
      </c>
      <c r="O192" s="2">
        <f t="shared" si="24"/>
        <v>1</v>
      </c>
    </row>
    <row r="193" spans="2:15" ht="15.75" thickTop="1">
      <c r="B193" s="989">
        <v>6611</v>
      </c>
      <c r="C193" s="990" t="str">
        <f>IF([1]ACCUEIL!B1=1,"Salaries and commissions paid to national staff","Appointements salaires et commissions versés au personnel national")</f>
        <v>Appointements salaires et commissions versés au personnel national</v>
      </c>
      <c r="D193" s="1047"/>
      <c r="E193" s="399"/>
      <c r="F193" s="399"/>
      <c r="G193" s="1048"/>
      <c r="H193" s="1000">
        <f>'[1]CLASSE 6'!I345</f>
        <v>0</v>
      </c>
      <c r="I193" s="1000">
        <f>'[1]CLASSE 6'!E345</f>
        <v>0</v>
      </c>
      <c r="J193" s="992">
        <f t="shared" si="19"/>
        <v>0</v>
      </c>
      <c r="K193" s="993">
        <f t="shared" si="20"/>
        <v>0</v>
      </c>
      <c r="L193" s="220">
        <f t="shared" si="21"/>
        <v>0</v>
      </c>
      <c r="M193" s="2">
        <f t="shared" si="22"/>
        <v>1</v>
      </c>
      <c r="N193" s="2">
        <f t="shared" si="23"/>
        <v>0</v>
      </c>
      <c r="O193" s="2">
        <f t="shared" si="24"/>
        <v>1</v>
      </c>
    </row>
    <row r="194" spans="2:15">
      <c r="B194" s="989">
        <v>6612</v>
      </c>
      <c r="C194" s="990" t="str">
        <f>IF([1]ACCUEIL!B1=1,"Bonuses and gratuities paid to national staff","Primes et gratifications versées au personnel national")</f>
        <v>Primes et gratifications versées au personnel national</v>
      </c>
      <c r="D194" s="1047"/>
      <c r="E194" s="399"/>
      <c r="F194" s="399"/>
      <c r="G194" s="1048"/>
      <c r="H194" s="991">
        <f>'[1]CLASSE 6'!I347</f>
        <v>0</v>
      </c>
      <c r="I194" s="991">
        <f>'[1]CLASSE 6'!E347</f>
        <v>0</v>
      </c>
      <c r="J194" s="992">
        <f t="shared" si="19"/>
        <v>0</v>
      </c>
      <c r="K194" s="993">
        <f t="shared" si="20"/>
        <v>0</v>
      </c>
      <c r="L194" s="220">
        <f t="shared" si="21"/>
        <v>0</v>
      </c>
      <c r="M194" s="2">
        <f t="shared" si="22"/>
        <v>1</v>
      </c>
      <c r="N194" s="2">
        <f t="shared" si="23"/>
        <v>0</v>
      </c>
      <c r="O194" s="2">
        <f t="shared" si="24"/>
        <v>1</v>
      </c>
    </row>
    <row r="195" spans="2:15">
      <c r="B195" s="989">
        <v>6613</v>
      </c>
      <c r="C195" s="990" t="str">
        <f>IF([1]ACCUEIL!B1=1,"Paid leave paid to national staff","Congés payés versés au personnel national")</f>
        <v>Congés payés versés au personnel national</v>
      </c>
      <c r="D195" s="1047"/>
      <c r="E195" s="399"/>
      <c r="F195" s="399"/>
      <c r="G195" s="1048"/>
      <c r="H195" s="991">
        <f>'[1]CLASSE 6'!I349</f>
        <v>0</v>
      </c>
      <c r="I195" s="991">
        <f>'[1]CLASSE 6'!E349</f>
        <v>0</v>
      </c>
      <c r="J195" s="992">
        <f t="shared" si="19"/>
        <v>0</v>
      </c>
      <c r="K195" s="993">
        <f t="shared" si="20"/>
        <v>0</v>
      </c>
      <c r="L195" s="220">
        <f t="shared" si="21"/>
        <v>0</v>
      </c>
      <c r="M195" s="2">
        <f t="shared" si="22"/>
        <v>1</v>
      </c>
      <c r="N195" s="2">
        <f t="shared" si="23"/>
        <v>0</v>
      </c>
      <c r="O195" s="2">
        <f t="shared" si="24"/>
        <v>1</v>
      </c>
    </row>
    <row r="196" spans="2:15">
      <c r="B196" s="989">
        <v>6614</v>
      </c>
      <c r="C196" s="990" t="str">
        <f>IF([1]ACCUEIL!B1=1,"Notice, dismissal and job search indemnities paid to national staff","Indemnités de préavis, de licenciement et de recherche d'embauche versées au personnel national")</f>
        <v>Indemnités de préavis, de licenciement et de recherche d'embauche versées au personnel national</v>
      </c>
      <c r="D196" s="1047"/>
      <c r="E196" s="399"/>
      <c r="F196" s="399"/>
      <c r="G196" s="1048"/>
      <c r="H196" s="991">
        <f>'[1]CLASSE 6'!I351</f>
        <v>0</v>
      </c>
      <c r="I196" s="991">
        <f>'[1]CLASSE 6'!E351</f>
        <v>0</v>
      </c>
      <c r="J196" s="992">
        <f t="shared" si="19"/>
        <v>0</v>
      </c>
      <c r="K196" s="993">
        <f t="shared" si="20"/>
        <v>0</v>
      </c>
      <c r="L196" s="220">
        <f t="shared" si="21"/>
        <v>0</v>
      </c>
      <c r="M196" s="2">
        <f t="shared" si="22"/>
        <v>1</v>
      </c>
      <c r="N196" s="2">
        <f t="shared" si="23"/>
        <v>0</v>
      </c>
      <c r="O196" s="2">
        <f t="shared" si="24"/>
        <v>1</v>
      </c>
    </row>
    <row r="197" spans="2:15">
      <c r="B197" s="989">
        <v>6615</v>
      </c>
      <c r="C197" s="990" t="str">
        <f>IF([1]ACCUEIL!B1=1,"Sickness benefit paid to national workers","Indemnités de maladie versées aux travailleurs nationaux")</f>
        <v>Indemnités de maladie versées aux travailleurs nationaux</v>
      </c>
      <c r="D197" s="1047"/>
      <c r="E197" s="399"/>
      <c r="F197" s="399"/>
      <c r="G197" s="1048"/>
      <c r="H197" s="991">
        <f>'[1]CLASSE 6'!I353</f>
        <v>0</v>
      </c>
      <c r="I197" s="991">
        <f>'[1]CLASSE 6'!E353</f>
        <v>0</v>
      </c>
      <c r="J197" s="992">
        <f t="shared" si="19"/>
        <v>0</v>
      </c>
      <c r="K197" s="993">
        <f t="shared" si="20"/>
        <v>0</v>
      </c>
      <c r="L197" s="220">
        <f t="shared" si="21"/>
        <v>0</v>
      </c>
      <c r="M197" s="2">
        <f t="shared" si="22"/>
        <v>1</v>
      </c>
      <c r="N197" s="2">
        <f t="shared" si="23"/>
        <v>0</v>
      </c>
      <c r="O197" s="2">
        <f t="shared" si="24"/>
        <v>1</v>
      </c>
    </row>
    <row r="198" spans="2:15">
      <c r="B198" s="989">
        <v>6616</v>
      </c>
      <c r="C198" s="990" t="str">
        <f>IF([1]ACCUEIL!B1=1,"Family supplement paid to national staff","Supplément familial versé au personnel national")</f>
        <v>Supplément familial versé au personnel national</v>
      </c>
      <c r="D198" s="1047"/>
      <c r="E198" s="399"/>
      <c r="F198" s="399"/>
      <c r="G198" s="1048"/>
      <c r="H198" s="991">
        <f>'[1]CLASSE 6'!I355</f>
        <v>0</v>
      </c>
      <c r="I198" s="991">
        <f>'[1]CLASSE 6'!E355</f>
        <v>0</v>
      </c>
      <c r="J198" s="992">
        <f t="shared" si="19"/>
        <v>0</v>
      </c>
      <c r="K198" s="993">
        <f t="shared" si="20"/>
        <v>0</v>
      </c>
      <c r="L198" s="220">
        <f t="shared" si="21"/>
        <v>0</v>
      </c>
      <c r="M198" s="2">
        <f t="shared" si="22"/>
        <v>1</v>
      </c>
      <c r="N198" s="2">
        <f t="shared" si="23"/>
        <v>0</v>
      </c>
      <c r="O198" s="2">
        <f t="shared" si="24"/>
        <v>1</v>
      </c>
    </row>
    <row r="199" spans="2:15">
      <c r="B199" s="989">
        <v>6617</v>
      </c>
      <c r="C199" s="990" t="str">
        <f>IF([1]ACCUEIL!B1=1,"Benefits in kind for national staff","Avantages en nature du personnel national")</f>
        <v>Avantages en nature du personnel national</v>
      </c>
      <c r="D199" s="1047"/>
      <c r="E199" s="399"/>
      <c r="F199" s="399"/>
      <c r="G199" s="1048"/>
      <c r="H199" s="991">
        <f>'[1]CLASSE 6'!I357</f>
        <v>0</v>
      </c>
      <c r="I199" s="991">
        <f>'[1]CLASSE 6'!E357</f>
        <v>0</v>
      </c>
      <c r="J199" s="992">
        <f t="shared" si="19"/>
        <v>0</v>
      </c>
      <c r="K199" s="993">
        <f t="shared" si="20"/>
        <v>0</v>
      </c>
      <c r="L199" s="220">
        <f t="shared" si="21"/>
        <v>0</v>
      </c>
      <c r="M199" s="2">
        <f t="shared" si="22"/>
        <v>1</v>
      </c>
      <c r="N199" s="2">
        <f t="shared" si="23"/>
        <v>0</v>
      </c>
      <c r="O199" s="2">
        <f t="shared" si="24"/>
        <v>1</v>
      </c>
    </row>
    <row r="200" spans="2:15">
      <c r="B200" s="989">
        <v>6618</v>
      </c>
      <c r="C200" s="990" t="str">
        <f>IF([1]ACCUEIL!B1=1,"Other direct remuneration paid to national staff","Autres rémunérations directes versées au personnel national")</f>
        <v>Autres rémunérations directes versées au personnel national</v>
      </c>
      <c r="D200" s="1047"/>
      <c r="E200" s="399"/>
      <c r="F200" s="399"/>
      <c r="G200" s="1048"/>
      <c r="H200" s="991">
        <f>'[1]CLASSE 6'!I359</f>
        <v>0</v>
      </c>
      <c r="I200" s="991">
        <f>'[1]CLASSE 6'!E359</f>
        <v>0</v>
      </c>
      <c r="J200" s="992">
        <f t="shared" si="19"/>
        <v>0</v>
      </c>
      <c r="K200" s="993">
        <f t="shared" si="20"/>
        <v>0</v>
      </c>
      <c r="L200" s="220">
        <f t="shared" si="21"/>
        <v>0</v>
      </c>
      <c r="M200" s="2">
        <f t="shared" si="22"/>
        <v>1</v>
      </c>
      <c r="N200" s="2">
        <f t="shared" si="23"/>
        <v>0</v>
      </c>
      <c r="O200" s="2">
        <f t="shared" si="24"/>
        <v>1</v>
      </c>
    </row>
    <row r="201" spans="2:15">
      <c r="B201" s="989">
        <v>6621</v>
      </c>
      <c r="C201" s="990" t="str">
        <f>IF([1]ACCUEIL!B1=1,"Salary and commission bonuses paid to non-national staff","Appointements salaires et commissions versés au personnel non national")</f>
        <v>Appointements salaires et commissions versés au personnel non national</v>
      </c>
      <c r="D201" s="1047"/>
      <c r="E201" s="399"/>
      <c r="F201" s="399"/>
      <c r="G201" s="1048"/>
      <c r="H201" s="991">
        <f>'[1]CLASSE 6'!I363</f>
        <v>0</v>
      </c>
      <c r="I201" s="991">
        <f>'[1]CLASSE 6'!E363</f>
        <v>0</v>
      </c>
      <c r="J201" s="992">
        <f t="shared" si="19"/>
        <v>0</v>
      </c>
      <c r="K201" s="993">
        <f t="shared" si="20"/>
        <v>0</v>
      </c>
      <c r="L201" s="220">
        <f t="shared" si="21"/>
        <v>0</v>
      </c>
      <c r="M201" s="2">
        <f t="shared" si="22"/>
        <v>1</v>
      </c>
      <c r="N201" s="2">
        <f t="shared" si="23"/>
        <v>0</v>
      </c>
      <c r="O201" s="2">
        <f t="shared" si="24"/>
        <v>1</v>
      </c>
    </row>
    <row r="202" spans="2:15">
      <c r="B202" s="989">
        <v>6622</v>
      </c>
      <c r="C202" s="990" t="str">
        <f>IF([1]ACCUEIL!B1=1,"Bonuses and gratuities paid to non-national staff","Primes et gratifications versées au personnel non national")</f>
        <v>Primes et gratifications versées au personnel non national</v>
      </c>
      <c r="D202" s="1047"/>
      <c r="E202" s="399"/>
      <c r="F202" s="399"/>
      <c r="G202" s="1048"/>
      <c r="H202" s="991">
        <f>'[1]CLASSE 6'!I365</f>
        <v>0</v>
      </c>
      <c r="I202" s="991">
        <f>'[1]CLASSE 6'!E365</f>
        <v>0</v>
      </c>
      <c r="J202" s="992">
        <f t="shared" si="19"/>
        <v>0</v>
      </c>
      <c r="K202" s="993">
        <f t="shared" si="20"/>
        <v>0</v>
      </c>
      <c r="L202" s="220">
        <f t="shared" si="21"/>
        <v>0</v>
      </c>
      <c r="M202" s="2">
        <f t="shared" si="22"/>
        <v>1</v>
      </c>
      <c r="N202" s="2">
        <f t="shared" si="23"/>
        <v>0</v>
      </c>
      <c r="O202" s="2">
        <f t="shared" si="24"/>
        <v>1</v>
      </c>
    </row>
    <row r="203" spans="2:15">
      <c r="B203" s="989">
        <v>6623</v>
      </c>
      <c r="C203" s="990" t="str">
        <f>IF([1]ACCUEIL!B1=1,"Paid leave paid to non-national staff","Congés payés versés au personnel non national")</f>
        <v>Congés payés versés au personnel non national</v>
      </c>
      <c r="D203" s="1047"/>
      <c r="E203" s="399"/>
      <c r="F203" s="399"/>
      <c r="G203" s="1048"/>
      <c r="H203" s="991">
        <f>'[1]CLASSE 6'!I367</f>
        <v>0</v>
      </c>
      <c r="I203" s="991">
        <f>'[1]CLASSE 6'!E367</f>
        <v>0</v>
      </c>
      <c r="J203" s="992">
        <f t="shared" si="19"/>
        <v>0</v>
      </c>
      <c r="K203" s="993">
        <f t="shared" si="20"/>
        <v>0</v>
      </c>
      <c r="L203" s="220">
        <f t="shared" si="21"/>
        <v>0</v>
      </c>
      <c r="M203" s="2">
        <f t="shared" si="22"/>
        <v>1</v>
      </c>
      <c r="N203" s="2">
        <f t="shared" si="23"/>
        <v>0</v>
      </c>
      <c r="O203" s="2">
        <f t="shared" si="24"/>
        <v>1</v>
      </c>
    </row>
    <row r="204" spans="2:15">
      <c r="B204" s="989">
        <v>6624</v>
      </c>
      <c r="C204" s="990" t="str">
        <f>IF([1]ACCUEIL!B1=1,"Notice, dismissal and job search indemnities paid to non-national staff","Indemnités de préavis, de licenciement et de recherche d'embauche versées au personnel non national")</f>
        <v>Indemnités de préavis, de licenciement et de recherche d'embauche versées au personnel non national</v>
      </c>
      <c r="D204" s="1047"/>
      <c r="E204" s="399"/>
      <c r="F204" s="399"/>
      <c r="G204" s="1048"/>
      <c r="H204" s="991">
        <f>'[1]CLASSE 6'!I369</f>
        <v>0</v>
      </c>
      <c r="I204" s="991">
        <f>'[1]CLASSE 6'!E369</f>
        <v>0</v>
      </c>
      <c r="J204" s="992">
        <f t="shared" si="19"/>
        <v>0</v>
      </c>
      <c r="K204" s="993">
        <f t="shared" si="20"/>
        <v>0</v>
      </c>
      <c r="L204" s="220">
        <f t="shared" si="21"/>
        <v>0</v>
      </c>
      <c r="M204" s="2">
        <f t="shared" si="22"/>
        <v>1</v>
      </c>
      <c r="N204" s="2">
        <f t="shared" si="23"/>
        <v>0</v>
      </c>
      <c r="O204" s="2">
        <f t="shared" si="24"/>
        <v>1</v>
      </c>
    </row>
    <row r="205" spans="2:15">
      <c r="B205" s="989">
        <v>6625</v>
      </c>
      <c r="C205" s="990" t="str">
        <f>IF([1]ACCUEIL!B1=1,"Sickness benefit paid to non-national workers","Indemnités de maladie versées aux travailleurs non nationaux")</f>
        <v>Indemnités de maladie versées aux travailleurs non nationaux</v>
      </c>
      <c r="D205" s="1047"/>
      <c r="E205" s="399"/>
      <c r="F205" s="399"/>
      <c r="G205" s="1048"/>
      <c r="H205" s="991">
        <f>'[1]CLASSE 6'!I371</f>
        <v>0</v>
      </c>
      <c r="I205" s="991">
        <f>'[1]CLASSE 6'!E371</f>
        <v>0</v>
      </c>
      <c r="J205" s="992">
        <f t="shared" si="19"/>
        <v>0</v>
      </c>
      <c r="K205" s="993">
        <f t="shared" si="20"/>
        <v>0</v>
      </c>
      <c r="L205" s="220">
        <f t="shared" si="21"/>
        <v>0</v>
      </c>
      <c r="M205" s="2">
        <f t="shared" si="22"/>
        <v>1</v>
      </c>
      <c r="N205" s="2">
        <f t="shared" si="23"/>
        <v>0</v>
      </c>
      <c r="O205" s="2">
        <f t="shared" si="24"/>
        <v>1</v>
      </c>
    </row>
    <row r="206" spans="2:15">
      <c r="B206" s="989">
        <v>6626</v>
      </c>
      <c r="C206" s="990" t="str">
        <f>IF([1]ACCUEIL!B1=1,"Family supplement paid to non-national staff","Supplément familial versé au personnel non national")</f>
        <v>Supplément familial versé au personnel non national</v>
      </c>
      <c r="D206" s="1047"/>
      <c r="E206" s="399"/>
      <c r="F206" s="399"/>
      <c r="G206" s="1048"/>
      <c r="H206" s="991">
        <f>'[1]CLASSE 6'!I373</f>
        <v>0</v>
      </c>
      <c r="I206" s="991">
        <f>'[1]CLASSE 6'!E373</f>
        <v>0</v>
      </c>
      <c r="J206" s="992">
        <f t="shared" si="19"/>
        <v>0</v>
      </c>
      <c r="K206" s="993">
        <f t="shared" si="20"/>
        <v>0</v>
      </c>
      <c r="L206" s="220">
        <f t="shared" si="21"/>
        <v>0</v>
      </c>
      <c r="M206" s="2">
        <f t="shared" si="22"/>
        <v>1</v>
      </c>
      <c r="N206" s="2">
        <f t="shared" si="23"/>
        <v>0</v>
      </c>
      <c r="O206" s="2">
        <f t="shared" si="24"/>
        <v>1</v>
      </c>
    </row>
    <row r="207" spans="2:15">
      <c r="B207" s="989">
        <v>6627</v>
      </c>
      <c r="C207" s="990" t="str">
        <f>IF([1]ACCUEIL!B1=1,"Benefits in kind for non-national staff","Avantages en nature du personnel non national")</f>
        <v>Avantages en nature du personnel non national</v>
      </c>
      <c r="D207" s="1047"/>
      <c r="E207" s="399"/>
      <c r="F207" s="399"/>
      <c r="G207" s="1048"/>
      <c r="H207" s="991">
        <f>'[1]CLASSE 6'!I375</f>
        <v>0</v>
      </c>
      <c r="I207" s="991">
        <f>'[1]CLASSE 6'!E375</f>
        <v>0</v>
      </c>
      <c r="J207" s="992">
        <f t="shared" si="19"/>
        <v>0</v>
      </c>
      <c r="K207" s="993">
        <f t="shared" si="20"/>
        <v>0</v>
      </c>
      <c r="L207" s="220">
        <f t="shared" si="21"/>
        <v>0</v>
      </c>
      <c r="M207" s="2">
        <f t="shared" si="22"/>
        <v>1</v>
      </c>
      <c r="N207" s="2">
        <f t="shared" si="23"/>
        <v>0</v>
      </c>
      <c r="O207" s="2">
        <f t="shared" si="24"/>
        <v>1</v>
      </c>
    </row>
    <row r="208" spans="2:15">
      <c r="B208" s="989">
        <v>6628</v>
      </c>
      <c r="C208" s="990" t="str">
        <f>IF([1]ACCUEIL!B1=1,"Other direct remuneration paid to non-national staff","Autres rémunérations directes versées au personnel non national")</f>
        <v>Autres rémunérations directes versées au personnel non national</v>
      </c>
      <c r="D208" s="1047"/>
      <c r="E208" s="399"/>
      <c r="F208" s="399"/>
      <c r="G208" s="1048"/>
      <c r="H208" s="991">
        <f>'[1]CLASSE 6'!I377</f>
        <v>0</v>
      </c>
      <c r="I208" s="991">
        <f>'[1]CLASSE 6'!E377</f>
        <v>0</v>
      </c>
      <c r="J208" s="992">
        <f t="shared" si="19"/>
        <v>0</v>
      </c>
      <c r="K208" s="993">
        <f t="shared" si="20"/>
        <v>0</v>
      </c>
      <c r="L208" s="220">
        <f t="shared" si="21"/>
        <v>0</v>
      </c>
      <c r="M208" s="2">
        <f t="shared" si="22"/>
        <v>1</v>
      </c>
      <c r="N208" s="2">
        <f t="shared" si="23"/>
        <v>0</v>
      </c>
      <c r="O208" s="2">
        <f t="shared" si="24"/>
        <v>1</v>
      </c>
    </row>
    <row r="209" spans="2:15">
      <c r="B209" s="989">
        <v>6631</v>
      </c>
      <c r="C209" s="990" t="str">
        <f>IF([1]ACCUEIL!B1=1,"Lump sum housing allowances paid to staff","Indemnités forfaitaires de logement versées au personnel")</f>
        <v>Indemnités forfaitaires de logement versées au personnel</v>
      </c>
      <c r="D209" s="1047"/>
      <c r="E209" s="399"/>
      <c r="F209" s="399"/>
      <c r="G209" s="1048"/>
      <c r="H209" s="991">
        <f>'[1]CLASSE 6'!I381</f>
        <v>0</v>
      </c>
      <c r="I209" s="991">
        <f>'[1]CLASSE 6'!E381</f>
        <v>0</v>
      </c>
      <c r="J209" s="992">
        <f t="shared" si="19"/>
        <v>0</v>
      </c>
      <c r="K209" s="993">
        <f t="shared" si="20"/>
        <v>0</v>
      </c>
      <c r="L209" s="220">
        <f t="shared" si="21"/>
        <v>0</v>
      </c>
      <c r="M209" s="2">
        <f t="shared" si="22"/>
        <v>1</v>
      </c>
      <c r="N209" s="2">
        <f t="shared" si="23"/>
        <v>0</v>
      </c>
      <c r="O209" s="2">
        <f t="shared" si="24"/>
        <v>1</v>
      </c>
    </row>
    <row r="210" spans="2:15">
      <c r="B210" s="989">
        <v>6632</v>
      </c>
      <c r="C210" s="990" t="str">
        <f>IF([1]ACCUEIL!B1=1,"Lump-sum representation allowances paid to staff","Indemnités forfaitaires de représentation versées au personnel")</f>
        <v>Indemnités forfaitaires de représentation versées au personnel</v>
      </c>
      <c r="D210" s="1047"/>
      <c r="E210" s="399"/>
      <c r="F210" s="399"/>
      <c r="G210" s="1048"/>
      <c r="H210" s="991">
        <f>'[1]CLASSE 6'!I383</f>
        <v>0</v>
      </c>
      <c r="I210" s="991">
        <f>'[1]CLASSE 6'!E383</f>
        <v>0</v>
      </c>
      <c r="J210" s="992">
        <f t="shared" si="19"/>
        <v>0</v>
      </c>
      <c r="K210" s="993">
        <f t="shared" si="20"/>
        <v>0</v>
      </c>
      <c r="L210" s="220">
        <f t="shared" si="21"/>
        <v>0</v>
      </c>
      <c r="M210" s="2">
        <f t="shared" si="22"/>
        <v>1</v>
      </c>
      <c r="N210" s="2">
        <f t="shared" si="23"/>
        <v>0</v>
      </c>
      <c r="O210" s="2">
        <f t="shared" si="24"/>
        <v>1</v>
      </c>
    </row>
    <row r="211" spans="2:15">
      <c r="B211" s="989">
        <v>6633</v>
      </c>
      <c r="C211" s="990" t="str">
        <f>IF([1]ACCUEIL!B1=1,"Lump sum expatriation allowances paid to staff","Indemnités forfaitaires d'expatriation versées au personnel")</f>
        <v>Indemnités forfaitaires d'expatriation versées au personnel</v>
      </c>
      <c r="D211" s="1047"/>
      <c r="E211" s="399"/>
      <c r="F211" s="399"/>
      <c r="G211" s="1048"/>
      <c r="H211" s="991">
        <f>'[1]CLASSE 6'!I385</f>
        <v>0</v>
      </c>
      <c r="I211" s="991">
        <f>'[1]CLASSE 6'!E385</f>
        <v>0</v>
      </c>
      <c r="J211" s="992">
        <f t="shared" si="19"/>
        <v>0</v>
      </c>
      <c r="K211" s="993">
        <f t="shared" si="20"/>
        <v>0</v>
      </c>
      <c r="L211" s="220">
        <f t="shared" si="21"/>
        <v>0</v>
      </c>
      <c r="M211" s="2">
        <f t="shared" si="22"/>
        <v>1</v>
      </c>
      <c r="N211" s="2">
        <f t="shared" si="23"/>
        <v>0</v>
      </c>
      <c r="O211" s="2">
        <f t="shared" si="24"/>
        <v>1</v>
      </c>
    </row>
    <row r="212" spans="2:15">
      <c r="B212" s="989">
        <v>6634</v>
      </c>
      <c r="C212" s="990" t="str">
        <f>IF([1]ACCUEIL!B1=1,"Lump-sum transport allowances paid to staff","Indemnités forfaitaires de transport versées au personnel")</f>
        <v>Indemnités forfaitaires de transport versées au personnel</v>
      </c>
      <c r="D212" s="1047"/>
      <c r="E212" s="399"/>
      <c r="F212" s="399"/>
      <c r="G212" s="1048"/>
      <c r="H212" s="991">
        <f>'[1]CLASSE 6'!I387</f>
        <v>0</v>
      </c>
      <c r="I212" s="991">
        <f>'[1]CLASSE 6'!E387</f>
        <v>0</v>
      </c>
      <c r="J212" s="992">
        <f t="shared" si="19"/>
        <v>0</v>
      </c>
      <c r="K212" s="993">
        <f t="shared" si="20"/>
        <v>0</v>
      </c>
      <c r="L212" s="220">
        <f t="shared" si="21"/>
        <v>0</v>
      </c>
      <c r="M212" s="2">
        <f t="shared" si="22"/>
        <v>1</v>
      </c>
      <c r="N212" s="2">
        <f t="shared" si="23"/>
        <v>0</v>
      </c>
      <c r="O212" s="2">
        <f t="shared" si="24"/>
        <v>1</v>
      </c>
    </row>
    <row r="213" spans="2:15">
      <c r="B213" s="989">
        <v>6638</v>
      </c>
      <c r="C213" s="990" t="str">
        <f>IF([1]ACCUEIL!B1=1,"Other indemnities and miscellaneous benefits paid to staff","Autres indemnités et avantages divers versés au personnel")</f>
        <v>Autres indemnités et avantages divers versés au personnel</v>
      </c>
      <c r="D213" s="1047"/>
      <c r="E213" s="399"/>
      <c r="F213" s="399"/>
      <c r="G213" s="1048"/>
      <c r="H213" s="991">
        <f>'[1]CLASSE 6'!I389</f>
        <v>0</v>
      </c>
      <c r="I213" s="991">
        <f>'[1]CLASSE 6'!E389</f>
        <v>0</v>
      </c>
      <c r="J213" s="992">
        <f t="shared" si="19"/>
        <v>0</v>
      </c>
      <c r="K213" s="993">
        <f t="shared" si="20"/>
        <v>0</v>
      </c>
      <c r="L213" s="220">
        <f t="shared" si="21"/>
        <v>0</v>
      </c>
      <c r="M213" s="2">
        <f t="shared" si="22"/>
        <v>1</v>
      </c>
      <c r="N213" s="2">
        <f t="shared" si="23"/>
        <v>0</v>
      </c>
      <c r="O213" s="2">
        <f t="shared" si="24"/>
        <v>1</v>
      </c>
    </row>
    <row r="214" spans="2:15">
      <c r="B214" s="989">
        <v>6641</v>
      </c>
      <c r="C214" s="990" t="str">
        <f>IF([1]ACCUEIL!B1=1,"Social charges on remuneration of national staff","Charges sociales sur rémunération du personnel national")</f>
        <v>Charges sociales sur rémunération du personnel national</v>
      </c>
      <c r="D214" s="1047"/>
      <c r="E214" s="399"/>
      <c r="F214" s="399"/>
      <c r="G214" s="1048"/>
      <c r="H214" s="991">
        <f>'[1]CLASSE 6'!I393</f>
        <v>0</v>
      </c>
      <c r="I214" s="991">
        <f>'[1]CLASSE 6'!E393</f>
        <v>0</v>
      </c>
      <c r="J214" s="992">
        <f t="shared" si="19"/>
        <v>0</v>
      </c>
      <c r="K214" s="993">
        <f t="shared" si="20"/>
        <v>0</v>
      </c>
      <c r="L214" s="220">
        <f t="shared" si="21"/>
        <v>0</v>
      </c>
      <c r="M214" s="2">
        <f t="shared" si="22"/>
        <v>1</v>
      </c>
      <c r="N214" s="2">
        <f t="shared" si="23"/>
        <v>0</v>
      </c>
      <c r="O214" s="2">
        <f t="shared" si="24"/>
        <v>1</v>
      </c>
    </row>
    <row r="215" spans="2:15">
      <c r="B215" s="989">
        <v>6642</v>
      </c>
      <c r="C215" s="990" t="str">
        <f>IF([1]ACCUEIL!B1=1,"Social charges on remuneration of non-national staff","Charges sociales sur rémunération du personnel non national")</f>
        <v>Charges sociales sur rémunération du personnel non national</v>
      </c>
      <c r="D215" s="1047"/>
      <c r="E215" s="399"/>
      <c r="F215" s="399"/>
      <c r="G215" s="1048"/>
      <c r="H215" s="991">
        <f>'[1]CLASSE 6'!I395</f>
        <v>0</v>
      </c>
      <c r="I215" s="991">
        <f>'[1]CLASSE 6'!E395</f>
        <v>0</v>
      </c>
      <c r="J215" s="992">
        <f t="shared" si="19"/>
        <v>0</v>
      </c>
      <c r="K215" s="993">
        <f t="shared" si="20"/>
        <v>0</v>
      </c>
      <c r="L215" s="220">
        <f t="shared" si="21"/>
        <v>0</v>
      </c>
      <c r="M215" s="2">
        <f t="shared" si="22"/>
        <v>1</v>
      </c>
      <c r="N215" s="2">
        <f t="shared" si="23"/>
        <v>0</v>
      </c>
      <c r="O215" s="2">
        <f t="shared" si="24"/>
        <v>1</v>
      </c>
    </row>
    <row r="216" spans="2:15">
      <c r="B216" s="989">
        <v>6661</v>
      </c>
      <c r="C216" s="990" t="str">
        <f>IF([1]ACCUEIL!B1=1,"Remuneration for the work of the individual operator","Rémunérations du travail de l'exploitant individuel")</f>
        <v>Rémunérations du travail de l'exploitant individuel</v>
      </c>
      <c r="D216" s="1047"/>
      <c r="E216" s="399"/>
      <c r="F216" s="399"/>
      <c r="G216" s="1048"/>
      <c r="H216" s="991">
        <f>'[1]CLASSE 6'!I399</f>
        <v>0</v>
      </c>
      <c r="I216" s="991">
        <f>'[1]CLASSE 6'!E399</f>
        <v>0</v>
      </c>
      <c r="J216" s="992">
        <f t="shared" si="19"/>
        <v>0</v>
      </c>
      <c r="K216" s="993">
        <f t="shared" si="20"/>
        <v>0</v>
      </c>
      <c r="L216" s="220">
        <f t="shared" si="21"/>
        <v>0</v>
      </c>
      <c r="M216" s="2">
        <f t="shared" si="22"/>
        <v>1</v>
      </c>
      <c r="N216" s="2">
        <f t="shared" si="23"/>
        <v>0</v>
      </c>
      <c r="O216" s="2">
        <f t="shared" si="24"/>
        <v>1</v>
      </c>
    </row>
    <row r="217" spans="2:15">
      <c r="B217" s="989">
        <v>6662</v>
      </c>
      <c r="C217" s="990" t="str">
        <f>IF([1]ACCUEIL!B1=1,"Social security charges for the individual operator","Charges sociales de l'exploitant individuel")</f>
        <v>Charges sociales de l'exploitant individuel</v>
      </c>
      <c r="D217" s="1047"/>
      <c r="E217" s="399"/>
      <c r="F217" s="399"/>
      <c r="G217" s="1048"/>
      <c r="H217" s="991">
        <f>'[1]CLASSE 6'!I401</f>
        <v>0</v>
      </c>
      <c r="I217" s="991">
        <f>'[1]CLASSE 6'!E401</f>
        <v>0</v>
      </c>
      <c r="J217" s="992">
        <f t="shared" si="19"/>
        <v>0</v>
      </c>
      <c r="K217" s="993">
        <f t="shared" si="20"/>
        <v>0</v>
      </c>
      <c r="L217" s="220">
        <f t="shared" si="21"/>
        <v>0</v>
      </c>
      <c r="M217" s="2">
        <f t="shared" si="22"/>
        <v>1</v>
      </c>
      <c r="N217" s="2">
        <f t="shared" si="23"/>
        <v>0</v>
      </c>
      <c r="O217" s="2">
        <f t="shared" si="24"/>
        <v>1</v>
      </c>
    </row>
    <row r="218" spans="2:15">
      <c r="B218" s="989">
        <v>6671</v>
      </c>
      <c r="C218" s="990" t="str">
        <f>IF([1]ACCUEIL!B1=1,"Remuneration transferred from temporary staff","Rémunérations transférée du personnel intérimaire")</f>
        <v>Rémunérations transférée du personnel intérimaire</v>
      </c>
      <c r="D218" s="1047"/>
      <c r="E218" s="399"/>
      <c r="F218" s="399"/>
      <c r="G218" s="1048"/>
      <c r="H218" s="991">
        <f>'[1]CLASSE 6'!I405</f>
        <v>0</v>
      </c>
      <c r="I218" s="991">
        <f>'[1]CLASSE 6'!E405</f>
        <v>0</v>
      </c>
      <c r="J218" s="992">
        <f t="shared" si="19"/>
        <v>0</v>
      </c>
      <c r="K218" s="993">
        <f t="shared" si="20"/>
        <v>0</v>
      </c>
      <c r="L218" s="220">
        <f t="shared" si="21"/>
        <v>0</v>
      </c>
      <c r="M218" s="2">
        <f t="shared" si="22"/>
        <v>1</v>
      </c>
      <c r="N218" s="2">
        <f t="shared" si="23"/>
        <v>0</v>
      </c>
      <c r="O218" s="2">
        <f t="shared" si="24"/>
        <v>1</v>
      </c>
    </row>
    <row r="219" spans="2:15">
      <c r="B219" s="989">
        <v>6672</v>
      </c>
      <c r="C219" s="990" t="str">
        <f>IF([1]ACCUEIL!B1=1,"Remuneration transferred from staff seconded or loaned to the entity","Rémunérations transférée du personnel détaché ou prêté à l'entité")</f>
        <v>Rémunérations transférée du personnel détaché ou prêté à l'entité</v>
      </c>
      <c r="D219" s="1047"/>
      <c r="E219" s="399"/>
      <c r="F219" s="399"/>
      <c r="G219" s="1048"/>
      <c r="H219" s="991">
        <f>'[1]CLASSE 6'!I407</f>
        <v>0</v>
      </c>
      <c r="I219" s="991">
        <f>'[1]CLASSE 6'!E407</f>
        <v>0</v>
      </c>
      <c r="J219" s="992">
        <f t="shared" si="19"/>
        <v>0</v>
      </c>
      <c r="K219" s="993">
        <f t="shared" si="20"/>
        <v>0</v>
      </c>
      <c r="L219" s="220">
        <f t="shared" si="21"/>
        <v>0</v>
      </c>
      <c r="M219" s="2">
        <f t="shared" si="22"/>
        <v>1</v>
      </c>
      <c r="N219" s="2">
        <f t="shared" si="23"/>
        <v>0</v>
      </c>
      <c r="O219" s="2">
        <f t="shared" si="24"/>
        <v>1</v>
      </c>
    </row>
    <row r="220" spans="2:15">
      <c r="B220" s="989">
        <v>6681</v>
      </c>
      <c r="C220" s="990" t="str">
        <f>IF([1]ACCUEIL!B1=1,"Payments to unions and works councils, establishment","Versements aux Syndicats et Comités d'entreprise, d'établissement")</f>
        <v>Versements aux Syndicats et Comités d'entreprise, d'établissement</v>
      </c>
      <c r="D220" s="1047"/>
      <c r="E220" s="399"/>
      <c r="F220" s="399"/>
      <c r="G220" s="1048"/>
      <c r="H220" s="991">
        <f>'[1]CLASSE 6'!I411</f>
        <v>0</v>
      </c>
      <c r="I220" s="991">
        <f>'[1]CLASSE 6'!E411</f>
        <v>0</v>
      </c>
      <c r="J220" s="992">
        <f t="shared" si="19"/>
        <v>0</v>
      </c>
      <c r="K220" s="993">
        <f t="shared" si="20"/>
        <v>0</v>
      </c>
      <c r="L220" s="220">
        <f t="shared" si="21"/>
        <v>0</v>
      </c>
      <c r="M220" s="2">
        <f t="shared" si="22"/>
        <v>1</v>
      </c>
      <c r="N220" s="2">
        <f t="shared" si="23"/>
        <v>0</v>
      </c>
      <c r="O220" s="2">
        <f t="shared" si="24"/>
        <v>1</v>
      </c>
    </row>
    <row r="221" spans="2:15">
      <c r="B221" s="989">
        <v>6682</v>
      </c>
      <c r="C221" s="990" t="str">
        <f>IF([1]ACCUEIL!B1=1,"Payments to Health and Safety Committees","Versements aux Comités d'hygiène et de sécurité")</f>
        <v>Versements aux Comités d'hygiène et de sécurité</v>
      </c>
      <c r="D221" s="1047"/>
      <c r="E221" s="399"/>
      <c r="F221" s="399"/>
      <c r="G221" s="1048"/>
      <c r="H221" s="991">
        <f>'[1]CLASSE 6'!I413</f>
        <v>0</v>
      </c>
      <c r="I221" s="991">
        <f>'[1]CLASSE 6'!E413</f>
        <v>0</v>
      </c>
      <c r="J221" s="992">
        <f t="shared" si="19"/>
        <v>0</v>
      </c>
      <c r="K221" s="993">
        <f t="shared" si="20"/>
        <v>0</v>
      </c>
      <c r="L221" s="220">
        <f t="shared" si="21"/>
        <v>0</v>
      </c>
      <c r="M221" s="2">
        <f t="shared" si="22"/>
        <v>1</v>
      </c>
      <c r="N221" s="2">
        <f t="shared" si="23"/>
        <v>0</v>
      </c>
      <c r="O221" s="2">
        <f t="shared" si="24"/>
        <v>1</v>
      </c>
    </row>
    <row r="222" spans="2:15">
      <c r="B222" s="989">
        <v>6683</v>
      </c>
      <c r="C222" s="990" t="str">
        <f>IF([1]ACCUEIL!B1=1,"Payments and contributions to other social works","Versements et contributions aux autres œuvres sociales")</f>
        <v>Versements et contributions aux autres œuvres sociales</v>
      </c>
      <c r="D222" s="1047"/>
      <c r="E222" s="399"/>
      <c r="F222" s="399"/>
      <c r="G222" s="1048"/>
      <c r="H222" s="991">
        <f>'[1]CLASSE 6'!I415</f>
        <v>0</v>
      </c>
      <c r="I222" s="991">
        <f>'[1]CLASSE 6'!E415</f>
        <v>0</v>
      </c>
      <c r="J222" s="992">
        <f t="shared" si="19"/>
        <v>0</v>
      </c>
      <c r="K222" s="993">
        <f t="shared" si="20"/>
        <v>0</v>
      </c>
      <c r="L222" s="220">
        <f t="shared" si="21"/>
        <v>0</v>
      </c>
      <c r="M222" s="2">
        <f t="shared" si="22"/>
        <v>1</v>
      </c>
      <c r="N222" s="2">
        <f t="shared" si="23"/>
        <v>0</v>
      </c>
      <c r="O222" s="2">
        <f t="shared" si="24"/>
        <v>1</v>
      </c>
    </row>
    <row r="223" spans="2:15">
      <c r="B223" s="989">
        <v>6684</v>
      </c>
      <c r="C223" s="990" t="str">
        <f>IF([1]ACCUEIL!B1=1,"Occupational medicine and pharmacy","Médecine du travail et pharmacie")</f>
        <v>Médecine du travail et pharmacie</v>
      </c>
      <c r="D223" s="1047"/>
      <c r="E223" s="399"/>
      <c r="F223" s="399"/>
      <c r="G223" s="1048"/>
      <c r="H223" s="991">
        <f>'[1]CLASSE 6'!I417</f>
        <v>0</v>
      </c>
      <c r="I223" s="991">
        <f>'[1]CLASSE 6'!E417</f>
        <v>0</v>
      </c>
      <c r="J223" s="992">
        <f t="shared" si="19"/>
        <v>0</v>
      </c>
      <c r="K223" s="993">
        <f t="shared" si="20"/>
        <v>0</v>
      </c>
      <c r="L223" s="220">
        <f t="shared" si="21"/>
        <v>0</v>
      </c>
      <c r="M223" s="2">
        <f t="shared" si="22"/>
        <v>1</v>
      </c>
      <c r="N223" s="2">
        <f t="shared" si="23"/>
        <v>0</v>
      </c>
      <c r="O223" s="2">
        <f t="shared" si="24"/>
        <v>1</v>
      </c>
    </row>
    <row r="224" spans="2:15">
      <c r="B224" s="989">
        <v>6685</v>
      </c>
      <c r="C224" s="990" t="str">
        <f>IF([1]ACCUEIL!B1=1,"Insurance and health organizations","Assurances et organismes de santé")</f>
        <v>Assurances et organismes de santé</v>
      </c>
      <c r="D224" s="1047"/>
      <c r="E224" s="399"/>
      <c r="F224" s="399"/>
      <c r="G224" s="1048"/>
      <c r="H224" s="991">
        <f>'[1]CLASSE 6'!I419</f>
        <v>0</v>
      </c>
      <c r="I224" s="991">
        <f>'[1]CLASSE 6'!E419</f>
        <v>0</v>
      </c>
      <c r="J224" s="992">
        <f t="shared" si="19"/>
        <v>0</v>
      </c>
      <c r="K224" s="993">
        <f t="shared" si="20"/>
        <v>0</v>
      </c>
      <c r="L224" s="220">
        <f t="shared" si="21"/>
        <v>0</v>
      </c>
      <c r="M224" s="2">
        <f t="shared" si="22"/>
        <v>1</v>
      </c>
      <c r="N224" s="2">
        <f t="shared" si="23"/>
        <v>0</v>
      </c>
      <c r="O224" s="2">
        <f t="shared" si="24"/>
        <v>1</v>
      </c>
    </row>
    <row r="225" spans="2:15">
      <c r="B225" s="989">
        <v>6686</v>
      </c>
      <c r="C225" s="990" t="str">
        <f>IF([1]ACCUEIL!B1=1,"Pension insurance and pension funds","Assurances retraite et fonds de pension")</f>
        <v>Assurances retraite et fonds de pension</v>
      </c>
      <c r="D225" s="1047"/>
      <c r="E225" s="399"/>
      <c r="F225" s="399"/>
      <c r="G225" s="1048"/>
      <c r="H225" s="991">
        <f>'[1]CLASSE 6'!I421</f>
        <v>0</v>
      </c>
      <c r="I225" s="991">
        <f>'[1]CLASSE 6'!E421</f>
        <v>0</v>
      </c>
      <c r="J225" s="992">
        <f t="shared" si="19"/>
        <v>0</v>
      </c>
      <c r="K225" s="993">
        <f t="shared" si="20"/>
        <v>0</v>
      </c>
      <c r="L225" s="220">
        <f t="shared" si="21"/>
        <v>0</v>
      </c>
      <c r="M225" s="2">
        <f t="shared" si="22"/>
        <v>1</v>
      </c>
      <c r="N225" s="2">
        <f t="shared" si="23"/>
        <v>0</v>
      </c>
      <c r="O225" s="2">
        <f t="shared" si="24"/>
        <v>1</v>
      </c>
    </row>
    <row r="226" spans="2:15">
      <c r="B226" s="989">
        <v>6687</v>
      </c>
      <c r="C226" s="990" t="str">
        <f>IF([1]ACCUEIL!B1=1,"Social supplements and penalties","Majorations et pénalités sociales")</f>
        <v>Majorations et pénalités sociales</v>
      </c>
      <c r="D226" s="1047"/>
      <c r="E226" s="399"/>
      <c r="F226" s="399"/>
      <c r="G226" s="1048"/>
      <c r="H226" s="991">
        <f>'[1]CLASSE 6'!I423</f>
        <v>0</v>
      </c>
      <c r="I226" s="991">
        <f>'[1]CLASSE 6'!E423</f>
        <v>0</v>
      </c>
      <c r="J226" s="992">
        <f t="shared" si="19"/>
        <v>0</v>
      </c>
      <c r="K226" s="993">
        <f t="shared" si="20"/>
        <v>0</v>
      </c>
      <c r="L226" s="220">
        <f t="shared" si="21"/>
        <v>0</v>
      </c>
      <c r="M226" s="2">
        <f t="shared" si="22"/>
        <v>1</v>
      </c>
      <c r="N226" s="2">
        <f t="shared" si="23"/>
        <v>0</v>
      </c>
      <c r="O226" s="2">
        <f t="shared" si="24"/>
        <v>1</v>
      </c>
    </row>
    <row r="227" spans="2:15" ht="15.75" thickBot="1">
      <c r="B227" s="989">
        <v>6688</v>
      </c>
      <c r="C227" s="990" t="str">
        <f>IF([1]ACCUEIL!B1=1,"Various social charges","Charges sociales diverses")</f>
        <v>Charges sociales diverses</v>
      </c>
      <c r="D227" s="1047"/>
      <c r="E227" s="399"/>
      <c r="F227" s="399"/>
      <c r="G227" s="1048"/>
      <c r="H227" s="991">
        <f>'[1]CLASSE 6'!I425</f>
        <v>0</v>
      </c>
      <c r="I227" s="991">
        <f>'[1]CLASSE 6'!E425</f>
        <v>0</v>
      </c>
      <c r="J227" s="992">
        <f t="shared" si="19"/>
        <v>0</v>
      </c>
      <c r="K227" s="993">
        <f t="shared" si="20"/>
        <v>0</v>
      </c>
      <c r="L227" s="220">
        <f t="shared" si="21"/>
        <v>0</v>
      </c>
      <c r="M227" s="2">
        <f t="shared" si="22"/>
        <v>1</v>
      </c>
      <c r="N227" s="2">
        <f t="shared" si="23"/>
        <v>0</v>
      </c>
      <c r="O227" s="2">
        <f t="shared" si="24"/>
        <v>1</v>
      </c>
    </row>
    <row r="228" spans="2:15" ht="16.5" thickTop="1" thickBot="1">
      <c r="B228" s="995" t="s">
        <v>120</v>
      </c>
      <c r="C228" s="996"/>
      <c r="D228" s="997" t="str">
        <f>IF([1]ACCUEIL!B1=1,"Staff costs","Charges de personnel")</f>
        <v>Charges de personnel</v>
      </c>
      <c r="E228" s="997"/>
      <c r="F228" s="997"/>
      <c r="G228" s="1069"/>
      <c r="H228" s="998">
        <f>SUM(H193:H227)</f>
        <v>0</v>
      </c>
      <c r="I228" s="998">
        <f>SUM(I193:I227)</f>
        <v>0</v>
      </c>
      <c r="J228" s="992">
        <f t="shared" si="19"/>
        <v>0</v>
      </c>
      <c r="K228" s="993">
        <f t="shared" si="20"/>
        <v>0</v>
      </c>
      <c r="L228" s="220">
        <f t="shared" si="21"/>
        <v>0</v>
      </c>
      <c r="M228" s="2">
        <f t="shared" si="22"/>
        <v>1</v>
      </c>
      <c r="N228" s="2">
        <f t="shared" si="23"/>
        <v>0</v>
      </c>
      <c r="O228" s="2">
        <f t="shared" si="24"/>
        <v>1</v>
      </c>
    </row>
    <row r="229" spans="2:15" ht="15.75" thickTop="1">
      <c r="B229" s="989">
        <v>6711</v>
      </c>
      <c r="C229" s="990" t="str">
        <f>IF([1]ACCUEIL!B1=1,"Interest on bonds","Intérêts des emprunts obligataires")</f>
        <v>Intérêts des emprunts obligataires</v>
      </c>
      <c r="D229" s="1047"/>
      <c r="E229" s="399"/>
      <c r="F229" s="399"/>
      <c r="G229" s="1048"/>
      <c r="H229" s="1000">
        <f>'[1]CLASSE 6'!I429</f>
        <v>0</v>
      </c>
      <c r="I229" s="1000">
        <f>'[1]CLASSE 6'!E429</f>
        <v>0</v>
      </c>
      <c r="J229" s="992">
        <f t="shared" si="19"/>
        <v>0</v>
      </c>
      <c r="K229" s="993">
        <f t="shared" si="20"/>
        <v>0</v>
      </c>
      <c r="L229" s="220">
        <f t="shared" si="21"/>
        <v>0</v>
      </c>
      <c r="M229" s="2">
        <f t="shared" si="22"/>
        <v>1</v>
      </c>
      <c r="N229" s="2">
        <f t="shared" si="23"/>
        <v>0</v>
      </c>
      <c r="O229" s="2">
        <f t="shared" si="24"/>
        <v>1</v>
      </c>
    </row>
    <row r="230" spans="2:15">
      <c r="B230" s="989">
        <v>6712</v>
      </c>
      <c r="C230" s="990" t="str">
        <f>IF([1]ACCUEIL!B1=1,"Interest on loans from credit institutions","Intérêts des emprunts auprès des établissements de crédit")</f>
        <v>Intérêts des emprunts auprès des établissements de crédit</v>
      </c>
      <c r="D230" s="1047"/>
      <c r="E230" s="399"/>
      <c r="F230" s="399"/>
      <c r="G230" s="1048"/>
      <c r="H230" s="991">
        <f>'[1]CLASSE 6'!I431</f>
        <v>0</v>
      </c>
      <c r="I230" s="991">
        <f>'[1]CLASSE 6'!E431</f>
        <v>0</v>
      </c>
      <c r="J230" s="992">
        <f t="shared" si="19"/>
        <v>0</v>
      </c>
      <c r="K230" s="993">
        <f t="shared" si="20"/>
        <v>0</v>
      </c>
      <c r="L230" s="220">
        <f t="shared" si="21"/>
        <v>0</v>
      </c>
      <c r="M230" s="2">
        <f t="shared" si="22"/>
        <v>1</v>
      </c>
      <c r="N230" s="2">
        <f t="shared" si="23"/>
        <v>0</v>
      </c>
      <c r="O230" s="2">
        <f t="shared" si="24"/>
        <v>1</v>
      </c>
    </row>
    <row r="231" spans="2:15">
      <c r="B231" s="989">
        <v>6713</v>
      </c>
      <c r="C231" s="990" t="str">
        <f>IF([1]ACCUEIL!B1=1,"Interest on debts linked to investments","Intérêts des dettes liées à des participations")</f>
        <v>Intérêts des dettes liées à des participations</v>
      </c>
      <c r="D231" s="1047"/>
      <c r="E231" s="399"/>
      <c r="F231" s="399"/>
      <c r="G231" s="1048"/>
      <c r="H231" s="991">
        <f>'[1]CLASSE 6'!I433</f>
        <v>0</v>
      </c>
      <c r="I231" s="991">
        <f>'[1]CLASSE 6'!E433</f>
        <v>0</v>
      </c>
      <c r="J231" s="992">
        <f t="shared" si="19"/>
        <v>0</v>
      </c>
      <c r="K231" s="993">
        <f t="shared" si="20"/>
        <v>0</v>
      </c>
      <c r="L231" s="220">
        <f t="shared" si="21"/>
        <v>0</v>
      </c>
      <c r="M231" s="2">
        <f t="shared" si="22"/>
        <v>1</v>
      </c>
      <c r="N231" s="2">
        <f t="shared" si="23"/>
        <v>0</v>
      </c>
      <c r="O231" s="2">
        <f t="shared" si="24"/>
        <v>1</v>
      </c>
    </row>
    <row r="232" spans="2:15">
      <c r="B232" s="989">
        <v>6714</v>
      </c>
      <c r="C232" s="990" t="str">
        <f>IF([1]ACCUEIL!B1=1,"Interest on bond redemption premiums","Intérêts des primes de remboursement des obligations")</f>
        <v>Intérêts des primes de remboursement des obligations</v>
      </c>
      <c r="D232" s="1047"/>
      <c r="E232" s="399"/>
      <c r="F232" s="399"/>
      <c r="G232" s="1048"/>
      <c r="H232" s="991">
        <f>'[1]CLASSE 6'!I435</f>
        <v>0</v>
      </c>
      <c r="I232" s="991">
        <f>'[1]CLASSE 6'!E435</f>
        <v>0</v>
      </c>
      <c r="J232" s="992">
        <f t="shared" si="19"/>
        <v>0</v>
      </c>
      <c r="K232" s="993">
        <f t="shared" si="20"/>
        <v>0</v>
      </c>
      <c r="L232" s="220">
        <f t="shared" si="21"/>
        <v>0</v>
      </c>
      <c r="M232" s="2">
        <f t="shared" si="22"/>
        <v>1</v>
      </c>
      <c r="N232" s="2">
        <f t="shared" si="23"/>
        <v>0</v>
      </c>
      <c r="O232" s="2">
        <f t="shared" si="24"/>
        <v>1</v>
      </c>
    </row>
    <row r="233" spans="2:15">
      <c r="B233" s="989">
        <v>6722</v>
      </c>
      <c r="C233" s="990" t="str">
        <f>IF([1]ACCUEIL!B1=1,"Interest in rental capital / real estate leasing","Intérêts dans loyers de location acquisition/crédit-bail immobilier")</f>
        <v>Intérêts dans loyers de location acquisition/crédit-bail immobilier</v>
      </c>
      <c r="D233" s="1047"/>
      <c r="E233" s="399"/>
      <c r="F233" s="399"/>
      <c r="G233" s="1048"/>
      <c r="H233" s="991">
        <f>'[1]CLASSE 6'!I439</f>
        <v>0</v>
      </c>
      <c r="I233" s="991">
        <f>'[1]CLASSE 6'!E439</f>
        <v>0</v>
      </c>
      <c r="J233" s="992">
        <f t="shared" si="19"/>
        <v>0</v>
      </c>
      <c r="K233" s="993">
        <f t="shared" si="20"/>
        <v>0</v>
      </c>
      <c r="L233" s="220">
        <f t="shared" si="21"/>
        <v>0</v>
      </c>
      <c r="M233" s="2">
        <f t="shared" si="22"/>
        <v>1</v>
      </c>
      <c r="N233" s="2">
        <f t="shared" si="23"/>
        <v>0</v>
      </c>
      <c r="O233" s="2">
        <f t="shared" si="24"/>
        <v>1</v>
      </c>
    </row>
    <row r="234" spans="2:15">
      <c r="B234" s="989">
        <v>6723</v>
      </c>
      <c r="C234" s="990" t="str">
        <f>IF([1]ACCUEIL!B1=1,"Interest in rental capital rental / equipment leasing","Intérêts dans loyers de location acquisition/crédit-bail mobilier")</f>
        <v>Intérêts dans loyers de location acquisition/crédit-bail mobilier</v>
      </c>
      <c r="D234" s="1047"/>
      <c r="E234" s="399"/>
      <c r="F234" s="399"/>
      <c r="G234" s="1048"/>
      <c r="H234" s="991">
        <f>'[1]CLASSE 6'!I441</f>
        <v>0</v>
      </c>
      <c r="I234" s="991">
        <f>'[1]CLASSE 6'!E441</f>
        <v>0</v>
      </c>
      <c r="J234" s="992">
        <f t="shared" si="19"/>
        <v>0</v>
      </c>
      <c r="K234" s="993">
        <f t="shared" si="20"/>
        <v>0</v>
      </c>
      <c r="L234" s="220">
        <f t="shared" si="21"/>
        <v>0</v>
      </c>
      <c r="M234" s="2">
        <f t="shared" si="22"/>
        <v>1</v>
      </c>
      <c r="N234" s="2">
        <f t="shared" si="23"/>
        <v>0</v>
      </c>
      <c r="O234" s="2">
        <f t="shared" si="24"/>
        <v>1</v>
      </c>
    </row>
    <row r="235" spans="2:15">
      <c r="B235" s="989">
        <v>6724</v>
      </c>
      <c r="C235" s="990" t="str">
        <f>IF([1]ACCUEIL!B1=1,"Interest in capital lease / hire-purchase rents","Intérêts dans loyers de location acquisition/location-vente")</f>
        <v>Intérêts dans loyers de location acquisition/location-vente</v>
      </c>
      <c r="D235" s="1047"/>
      <c r="E235" s="399"/>
      <c r="F235" s="399"/>
      <c r="G235" s="1048"/>
      <c r="H235" s="991">
        <f>'[1]CLASSE 6'!I443</f>
        <v>0</v>
      </c>
      <c r="I235" s="991">
        <f>'[1]CLASSE 6'!E443</f>
        <v>0</v>
      </c>
      <c r="J235" s="992">
        <f t="shared" si="19"/>
        <v>0</v>
      </c>
      <c r="K235" s="993">
        <f t="shared" si="20"/>
        <v>0</v>
      </c>
      <c r="L235" s="220">
        <f t="shared" si="21"/>
        <v>0</v>
      </c>
      <c r="M235" s="2">
        <f t="shared" si="22"/>
        <v>1</v>
      </c>
      <c r="N235" s="2">
        <f t="shared" si="23"/>
        <v>0</v>
      </c>
      <c r="O235" s="2">
        <f t="shared" si="24"/>
        <v>1</v>
      </c>
    </row>
    <row r="236" spans="2:15">
      <c r="B236" s="989">
        <v>6728</v>
      </c>
      <c r="C236" s="990" t="str">
        <f>IF([1]ACCUEIL!B1=1,"Interest in rents from other acquisition leases","Intérêts dans loyers des autres locations acquisition")</f>
        <v>Intérêts dans loyers des autres locations acquisition</v>
      </c>
      <c r="D236" s="1047"/>
      <c r="E236" s="399"/>
      <c r="F236" s="399"/>
      <c r="G236" s="1048"/>
      <c r="H236" s="991">
        <f>'[1]CLASSE 6'!I445</f>
        <v>0</v>
      </c>
      <c r="I236" s="991">
        <f>'[1]CLASSE 6'!E445</f>
        <v>0</v>
      </c>
      <c r="J236" s="992">
        <f t="shared" si="19"/>
        <v>0</v>
      </c>
      <c r="K236" s="993">
        <f t="shared" si="20"/>
        <v>0</v>
      </c>
      <c r="L236" s="220">
        <f t="shared" si="21"/>
        <v>0</v>
      </c>
      <c r="M236" s="2">
        <f t="shared" si="22"/>
        <v>1</v>
      </c>
      <c r="N236" s="2">
        <f t="shared" si="23"/>
        <v>0</v>
      </c>
      <c r="O236" s="2">
        <f t="shared" si="24"/>
        <v>1</v>
      </c>
    </row>
    <row r="237" spans="2:15">
      <c r="B237" s="989">
        <v>6730</v>
      </c>
      <c r="C237" s="990" t="str">
        <f>IF([1]ACCUEIL!B1=1,"Discounts granted","Escomptes accordés")</f>
        <v>Escomptes accordés</v>
      </c>
      <c r="D237" s="1047"/>
      <c r="E237" s="399"/>
      <c r="F237" s="399"/>
      <c r="G237" s="1048"/>
      <c r="H237" s="991">
        <f>'[1]CLASSE 6'!I448</f>
        <v>0</v>
      </c>
      <c r="I237" s="991">
        <f>'[1]CLASSE 6'!E448</f>
        <v>0</v>
      </c>
      <c r="J237" s="992">
        <f t="shared" si="19"/>
        <v>0</v>
      </c>
      <c r="K237" s="993">
        <f t="shared" si="20"/>
        <v>0</v>
      </c>
      <c r="L237" s="220">
        <f t="shared" si="21"/>
        <v>0</v>
      </c>
      <c r="M237" s="2">
        <f t="shared" si="22"/>
        <v>1</v>
      </c>
      <c r="N237" s="2">
        <f t="shared" si="23"/>
        <v>0</v>
      </c>
      <c r="O237" s="2">
        <f t="shared" si="24"/>
        <v>1</v>
      </c>
    </row>
    <row r="238" spans="2:15">
      <c r="B238" s="989">
        <v>6741</v>
      </c>
      <c r="C238" s="990" t="str">
        <f>IF([1]ACCUEIL!B1=1,"Interest on advances received and credit deposits","Intérêts sur avances reçues et dépôts créditeurs")</f>
        <v>Intérêts sur avances reçues et dépôts créditeurs</v>
      </c>
      <c r="D238" s="1047"/>
      <c r="E238" s="399"/>
      <c r="F238" s="399"/>
      <c r="G238" s="1048"/>
      <c r="H238" s="991">
        <f>'[1]CLASSE 6'!I450</f>
        <v>0</v>
      </c>
      <c r="I238" s="991">
        <f>'[1]CLASSE 6'!E450</f>
        <v>0</v>
      </c>
      <c r="J238" s="992">
        <f t="shared" si="19"/>
        <v>0</v>
      </c>
      <c r="K238" s="993">
        <f t="shared" si="20"/>
        <v>0</v>
      </c>
      <c r="L238" s="220">
        <f t="shared" si="21"/>
        <v>0</v>
      </c>
      <c r="M238" s="2">
        <f t="shared" si="22"/>
        <v>1</v>
      </c>
      <c r="N238" s="2">
        <f t="shared" si="23"/>
        <v>0</v>
      </c>
      <c r="O238" s="2">
        <f t="shared" si="24"/>
        <v>1</v>
      </c>
    </row>
    <row r="239" spans="2:15">
      <c r="B239" s="989">
        <v>6742</v>
      </c>
      <c r="C239" s="990" t="str">
        <f>IF([1]ACCUEIL!B1=1,"Interest on blocked current accounts","Intérêts sur Comptes courants bloqués")</f>
        <v>Intérêts sur Comptes courants bloqués</v>
      </c>
      <c r="D239" s="1047"/>
      <c r="E239" s="399"/>
      <c r="F239" s="399"/>
      <c r="G239" s="1048"/>
      <c r="H239" s="991">
        <f>'[1]CLASSE 6'!I452</f>
        <v>0</v>
      </c>
      <c r="I239" s="991">
        <f>'[1]CLASSE 6'!E452</f>
        <v>0</v>
      </c>
      <c r="J239" s="992">
        <f t="shared" si="19"/>
        <v>0</v>
      </c>
      <c r="K239" s="993">
        <f t="shared" si="20"/>
        <v>0</v>
      </c>
      <c r="L239" s="220">
        <f t="shared" si="21"/>
        <v>0</v>
      </c>
      <c r="M239" s="2">
        <f t="shared" si="22"/>
        <v>1</v>
      </c>
      <c r="N239" s="2">
        <f t="shared" si="23"/>
        <v>0</v>
      </c>
      <c r="O239" s="2">
        <f t="shared" si="24"/>
        <v>1</v>
      </c>
    </row>
    <row r="240" spans="2:15">
      <c r="B240" s="989">
        <v>6743</v>
      </c>
      <c r="C240" s="990" t="str">
        <f>IF([1]ACCUEIL!B1=1,"Interest on guaranteed bonds","Intérêts sur obligations cautionnées")</f>
        <v>Intérêts sur obligations cautionnées</v>
      </c>
      <c r="D240" s="1047"/>
      <c r="E240" s="399"/>
      <c r="F240" s="399"/>
      <c r="G240" s="1048"/>
      <c r="H240" s="991">
        <f>'[1]CLASSE 6'!I454</f>
        <v>0</v>
      </c>
      <c r="I240" s="991">
        <f>'[1]CLASSE 6'!E454</f>
        <v>0</v>
      </c>
      <c r="J240" s="992">
        <f t="shared" si="19"/>
        <v>0</v>
      </c>
      <c r="K240" s="993">
        <f t="shared" si="20"/>
        <v>0</v>
      </c>
      <c r="L240" s="220">
        <f t="shared" si="21"/>
        <v>0</v>
      </c>
      <c r="M240" s="2">
        <f t="shared" si="22"/>
        <v>1</v>
      </c>
      <c r="N240" s="2">
        <f t="shared" si="23"/>
        <v>0</v>
      </c>
      <c r="O240" s="2">
        <f t="shared" si="24"/>
        <v>1</v>
      </c>
    </row>
    <row r="241" spans="1:15">
      <c r="B241" s="989">
        <v>6744</v>
      </c>
      <c r="C241" s="990" t="str">
        <f>IF([1]ACCUEIL!B1=1,"Interest on trade debts","Intérêts sur dettes commerciales")</f>
        <v>Intérêts sur dettes commerciales</v>
      </c>
      <c r="D241" s="1047"/>
      <c r="E241" s="399"/>
      <c r="F241" s="399"/>
      <c r="G241" s="1048"/>
      <c r="H241" s="991">
        <f>'[1]CLASSE 6'!I456</f>
        <v>0</v>
      </c>
      <c r="I241" s="991">
        <f>'[1]CLASSE 6'!E456</f>
        <v>0</v>
      </c>
      <c r="J241" s="992">
        <f>H241-I241</f>
        <v>0</v>
      </c>
      <c r="K241" s="993">
        <f>IF(L241=0,0,O241)</f>
        <v>0</v>
      </c>
      <c r="L241" s="220">
        <f>H241-I241</f>
        <v>0</v>
      </c>
      <c r="M241" s="2">
        <f>IF(I241=0,1,IF(I241&lt;0,(H241-I241)/-I241,(H241-I241)/I241))</f>
        <v>1</v>
      </c>
      <c r="N241" s="2">
        <f>IF(L241=H241,IF(H241&lt;0,-1,0),0)</f>
        <v>0</v>
      </c>
      <c r="O241" s="2">
        <f>IF(N241=-1,-1,M241)</f>
        <v>1</v>
      </c>
    </row>
    <row r="242" spans="1:15">
      <c r="B242" s="989">
        <v>6745</v>
      </c>
      <c r="C242" s="990" t="str">
        <f>IF([1]ACCUEIL!B1=1,"Bank and financing interests (discount, etc.)","Intérêts bancaires et sur opérations de financement (escompte…)")</f>
        <v>Intérêts bancaires et sur opérations de financement (escompte…)</v>
      </c>
      <c r="D242" s="1047"/>
      <c r="E242" s="399"/>
      <c r="F242" s="399"/>
      <c r="G242" s="1048"/>
      <c r="H242" s="991">
        <f>'[1]CLASSE 6'!I458</f>
        <v>0</v>
      </c>
      <c r="I242" s="991">
        <f>'[1]CLASSE 6'!E458</f>
        <v>0</v>
      </c>
      <c r="J242" s="992">
        <f>H242-I242</f>
        <v>0</v>
      </c>
      <c r="K242" s="993">
        <f>IF(L242=0,0,O242)</f>
        <v>0</v>
      </c>
      <c r="L242" s="220">
        <f>H242-I242</f>
        <v>0</v>
      </c>
      <c r="M242" s="2">
        <f>IF(I242=0,1,IF(I242&lt;0,(H242-I242)/-I242,(H242-I242)/I242))</f>
        <v>1</v>
      </c>
      <c r="N242" s="2">
        <f>IF(L242=H242,IF(H242&lt;0,-1,0),0)</f>
        <v>0</v>
      </c>
      <c r="O242" s="2">
        <f>IF(N242=-1,-1,M242)</f>
        <v>1</v>
      </c>
    </row>
    <row r="243" spans="1:15">
      <c r="A243" s="1070">
        <f>'[1]CLASSE 6'!I450</f>
        <v>0</v>
      </c>
      <c r="B243" s="989">
        <v>6748</v>
      </c>
      <c r="C243" s="990" t="str">
        <f>IF([1]ACCUEIL!B1=1,"Interest on various debts","Intérêts sur dettes diverses"          )</f>
        <v>Intérêts sur dettes diverses</v>
      </c>
      <c r="D243" s="1047"/>
      <c r="E243" s="399"/>
      <c r="F243" s="399"/>
      <c r="G243" s="1048"/>
      <c r="H243" s="991">
        <f>'[1]CLASSE 6'!I460</f>
        <v>0</v>
      </c>
      <c r="I243" s="991">
        <f>'[1]CLASSE 6'!E460</f>
        <v>0</v>
      </c>
      <c r="J243" s="992">
        <f>H243-I243</f>
        <v>0</v>
      </c>
      <c r="K243" s="993">
        <f>IF(L243=0,0,O243)</f>
        <v>0</v>
      </c>
      <c r="L243" s="220">
        <f>H243-I243</f>
        <v>0</v>
      </c>
      <c r="M243" s="2">
        <f>IF(I243=0,1,IF(I243&lt;0,(H243-I243)/-I243,(H243-I243)/I243))</f>
        <v>1</v>
      </c>
      <c r="N243" s="2">
        <f>IF(L243=H243,IF(H243&lt;0,-1,0),0)</f>
        <v>0</v>
      </c>
      <c r="O243" s="2">
        <f>IF(N243=-1,-1,M243)</f>
        <v>1</v>
      </c>
    </row>
    <row r="244" spans="1:15">
      <c r="B244" s="989">
        <v>6750</v>
      </c>
      <c r="C244" s="990" t="str">
        <f>IF([1]ACCUEIL!B1=1,"Discounted bills of exchange","Escomptés des effets de commerce")</f>
        <v>Escomptés des effets de commerce</v>
      </c>
      <c r="D244" s="1047"/>
      <c r="E244" s="399"/>
      <c r="F244" s="399"/>
      <c r="G244" s="1048"/>
      <c r="H244" s="991">
        <f>'[1]CLASSE 6'!I463</f>
        <v>0</v>
      </c>
      <c r="I244" s="991">
        <f>'[1]CLASSE 6'!E463</f>
        <v>0</v>
      </c>
      <c r="J244" s="992">
        <f>H244-I244</f>
        <v>0</v>
      </c>
      <c r="K244" s="993">
        <f>IF(L244=0,0,O244)</f>
        <v>0</v>
      </c>
      <c r="L244" s="220">
        <f>H244-I244</f>
        <v>0</v>
      </c>
      <c r="M244" s="2">
        <f>IF(I244=0,1,IF(I244&lt;0,(H244-I244)/-I244,(H244-I244)/I244))</f>
        <v>1</v>
      </c>
      <c r="N244" s="2">
        <f>IF(L244=H244,IF(H244&lt;0,-1,0),0)</f>
        <v>0</v>
      </c>
      <c r="O244" s="2">
        <f>IF(N244=-1,-1,M244)</f>
        <v>1</v>
      </c>
    </row>
    <row r="245" spans="1:15">
      <c r="B245" s="1071">
        <v>6760</v>
      </c>
      <c r="C245" s="1007" t="str">
        <f>IF([1]ACCUEIL!B1=1,"Financial exchange losses","Pertes de change financières")</f>
        <v>Pertes de change financières</v>
      </c>
      <c r="D245" s="1072"/>
      <c r="E245" s="1008"/>
      <c r="F245" s="1008"/>
      <c r="G245" s="1009"/>
      <c r="H245" s="1073">
        <f>'[1]CLASSE 6'!I464</f>
        <v>0</v>
      </c>
      <c r="I245" s="1073">
        <f>'[1]CLASSE 6'!E464</f>
        <v>0</v>
      </c>
      <c r="J245" s="1011">
        <f>H245-I245</f>
        <v>0</v>
      </c>
      <c r="K245" s="1055">
        <f>IF(L245=0,0,O245)</f>
        <v>0</v>
      </c>
      <c r="L245" s="220">
        <f>H245-I245</f>
        <v>0</v>
      </c>
      <c r="M245" s="2">
        <f>IF(I245=0,1,IF(I245&lt;0,(H245-I245)/-I245,(H245-I245)/I245))</f>
        <v>1</v>
      </c>
      <c r="N245" s="2">
        <f>IF(L245=H245,IF(H245&lt;0,-1,0),0)</f>
        <v>0</v>
      </c>
      <c r="O245" s="2">
        <f>IF(N245=-1,-1,M245)</f>
        <v>1</v>
      </c>
    </row>
    <row r="246" spans="1:15">
      <c r="B246" s="2172" t="str">
        <f>IF([1]ACCUEIL!B1=1,"NORMAL SYSTEM","SYSTÈME NORMAL")</f>
        <v>SYSTÈME NORMAL</v>
      </c>
      <c r="C246" s="2173"/>
      <c r="D246" s="2158"/>
      <c r="E246" s="2158"/>
      <c r="F246" s="2159"/>
      <c r="G246" s="2174" t="str">
        <f>IF([1]ACCUEIL!B1=1,"SUPPLEMENTARY STATEMENT N ° 1 PAGE 4/4","ETAT COMPLEMENTAIRE N°1 PAGE 4/4")</f>
        <v>ETAT COMPLEMENTAIRE N°1 PAGE 4/4</v>
      </c>
      <c r="H246" s="2175"/>
      <c r="I246" s="2176"/>
      <c r="J246" s="399"/>
      <c r="K246" s="399"/>
    </row>
    <row r="247" spans="1:15">
      <c r="B247" s="957" t="str">
        <f>B166</f>
        <v>Désignation entité:</v>
      </c>
      <c r="C247" s="1056"/>
      <c r="D247" s="1057" t="str">
        <f>D83</f>
        <v/>
      </c>
      <c r="E247" s="1058"/>
      <c r="F247" s="1059"/>
      <c r="G247" s="398"/>
      <c r="H247" s="398"/>
      <c r="I247" s="398"/>
      <c r="J247" s="398"/>
      <c r="K247" s="398"/>
    </row>
    <row r="248" spans="1:15">
      <c r="B248" s="957" t="str">
        <f t="shared" ref="B248:B250" si="25">B167</f>
        <v>Sigle usuel :</v>
      </c>
      <c r="D248" s="1074" t="str">
        <f>D167</f>
        <v/>
      </c>
      <c r="E248" s="964"/>
      <c r="F248" s="964"/>
      <c r="G248" s="964"/>
      <c r="H248" s="964"/>
      <c r="I248" s="964"/>
      <c r="J248" s="403"/>
      <c r="K248" s="403"/>
    </row>
    <row r="249" spans="1:15">
      <c r="B249" s="957" t="str">
        <f t="shared" si="25"/>
        <v>Adresse:</v>
      </c>
      <c r="D249" s="970">
        <f>D168</f>
        <v>0</v>
      </c>
      <c r="E249" s="1075"/>
      <c r="F249" s="1075"/>
      <c r="G249" s="403"/>
      <c r="H249" s="398"/>
      <c r="I249" s="398"/>
      <c r="J249" s="1065" t="str">
        <f>J168</f>
        <v>BP:</v>
      </c>
      <c r="K249" s="970" t="str">
        <f>K168</f>
        <v/>
      </c>
    </row>
    <row r="250" spans="1:15">
      <c r="B250" s="957" t="str">
        <f t="shared" si="25"/>
        <v>Numéro d'identification:</v>
      </c>
      <c r="C250" s="958"/>
      <c r="D250" s="1076" t="str">
        <f>D169</f>
        <v/>
      </c>
      <c r="E250" s="964"/>
      <c r="F250" s="964"/>
      <c r="G250" s="964"/>
      <c r="H250" s="1030" t="str">
        <f>H169</f>
        <v xml:space="preserve">   Exercice clos le 31 - 12- </v>
      </c>
      <c r="I250" s="1077">
        <f>I169</f>
        <v>2025</v>
      </c>
      <c r="J250" s="1030" t="str">
        <f>J169</f>
        <v xml:space="preserve">    Durée (en mois):</v>
      </c>
      <c r="K250" s="970">
        <f>K169</f>
        <v>12</v>
      </c>
    </row>
    <row r="251" spans="1:15">
      <c r="B251" s="957"/>
      <c r="C251" s="957"/>
      <c r="D251" s="957"/>
      <c r="E251" s="399"/>
      <c r="F251" s="399"/>
      <c r="G251" s="399"/>
      <c r="H251" s="399"/>
      <c r="I251" s="399"/>
      <c r="J251" s="997"/>
      <c r="K251" s="997"/>
    </row>
    <row r="252" spans="1:15">
      <c r="B252" s="1546" t="str">
        <f>IF([1]ACCUEIL!B1=1,"COMPLEMENTARY STATE DIRECTORATE GENERAL OF TAXATION / NATIONAL ACCOUNTING","ETAT COMPLEMENTAIRE DIRECTION GENERALE DES IMPOTS/COMPTABILITE NATIONALE")</f>
        <v>ETAT COMPLEMENTAIRE DIRECTION GENERALE DES IMPOTS/COMPTABILITE NATIONALE</v>
      </c>
      <c r="C252" s="1546"/>
      <c r="D252" s="1546"/>
      <c r="E252" s="1546"/>
      <c r="F252" s="1546"/>
      <c r="G252" s="1546"/>
      <c r="H252" s="1546"/>
      <c r="I252" s="1546"/>
      <c r="J252" s="1546"/>
      <c r="K252" s="1546"/>
    </row>
    <row r="253" spans="1:15">
      <c r="B253" s="1033"/>
      <c r="C253" s="1008"/>
      <c r="D253" s="1008"/>
      <c r="E253" s="1008"/>
      <c r="F253" s="1008"/>
      <c r="G253" s="1008"/>
      <c r="H253" s="1008"/>
      <c r="I253" s="1008"/>
      <c r="J253" s="1008"/>
      <c r="K253" s="1008"/>
    </row>
    <row r="254" spans="1:15">
      <c r="B254" s="1034"/>
      <c r="C254" s="1035"/>
      <c r="D254" s="1035"/>
      <c r="E254" s="1035"/>
      <c r="F254" s="1035"/>
      <c r="G254" s="1036"/>
      <c r="H254" s="1037"/>
      <c r="I254" s="1037"/>
      <c r="J254" s="2170" t="str">
        <f>J173</f>
        <v>Variations N/N-1</v>
      </c>
      <c r="K254" s="2171"/>
    </row>
    <row r="255" spans="1:15">
      <c r="B255" s="2165" t="str">
        <f>B174</f>
        <v>DETAIL DES CHARGES EN GNF (SUITE)</v>
      </c>
      <c r="C255" s="2166"/>
      <c r="D255" s="2166"/>
      <c r="E255" s="2166"/>
      <c r="F255" s="2166"/>
      <c r="G255" s="2167"/>
      <c r="H255" s="1038" t="str">
        <f>H174</f>
        <v xml:space="preserve">Année N </v>
      </c>
      <c r="I255" s="1038" t="str">
        <f t="shared" ref="I255:K255" si="26">I174</f>
        <v>Année N-1</v>
      </c>
      <c r="J255" s="1038" t="str">
        <f t="shared" si="26"/>
        <v xml:space="preserve">En valeur </v>
      </c>
      <c r="K255" s="1038" t="str">
        <f t="shared" si="26"/>
        <v>En %</v>
      </c>
    </row>
    <row r="256" spans="1:15">
      <c r="B256" s="1040"/>
      <c r="C256" s="1041"/>
      <c r="D256" s="1041"/>
      <c r="E256" s="1041"/>
      <c r="F256" s="1041"/>
      <c r="G256" s="1042"/>
      <c r="H256" s="1043"/>
      <c r="I256" s="1043"/>
      <c r="J256" s="1044"/>
      <c r="K256" s="1045"/>
    </row>
    <row r="257" spans="2:15">
      <c r="B257" s="1078">
        <v>6771</v>
      </c>
      <c r="C257" s="1079" t="str">
        <f>IF([1]ACCUEIL!B1=1,"Losses on sales of investment securities","Pertes sur cessions de titre de placement")</f>
        <v>Pertes sur cessions de titre de placement</v>
      </c>
      <c r="D257" s="1080"/>
      <c r="E257" s="1081"/>
      <c r="F257" s="1081"/>
      <c r="G257" s="1082"/>
      <c r="H257" s="1083">
        <f>'[1]CLASSE 6'!I466</f>
        <v>0</v>
      </c>
      <c r="I257" s="1083">
        <f>'[1]CLASSE 6'!E466</f>
        <v>0</v>
      </c>
      <c r="J257" s="992">
        <f>H257-I257</f>
        <v>0</v>
      </c>
      <c r="K257" s="993">
        <f>IF(L257=0,0,O257)</f>
        <v>0</v>
      </c>
      <c r="L257" s="220">
        <f>H257-I257</f>
        <v>0</v>
      </c>
      <c r="M257" s="2">
        <f>IF(I257=0,1,IF(I257&lt;0,(H257-I257)/-I257,(H257-I257)/I257))</f>
        <v>1</v>
      </c>
      <c r="N257" s="2">
        <f>IF(L257=H257,IF(H257&lt;0,-1,0),0)</f>
        <v>0</v>
      </c>
      <c r="O257" s="2">
        <f>IF(N257=-1,-1,M257)</f>
        <v>1</v>
      </c>
    </row>
    <row r="258" spans="2:15">
      <c r="B258" s="989">
        <v>6772</v>
      </c>
      <c r="C258" s="990" t="str">
        <f>IF([1]ACCUEIL!B1=1,"Malis from the allocation of free shares to employees and managers","Malis provenant d’attribution gratuite d'actions au personnel salarié et aux dirigeants")</f>
        <v>Malis provenant d’attribution gratuite d'actions au personnel salarié et aux dirigeants</v>
      </c>
      <c r="D258" s="1047"/>
      <c r="E258" s="399"/>
      <c r="F258" s="399"/>
      <c r="G258" s="1048"/>
      <c r="H258" s="991">
        <f>'[1]CLASSE 6'!I468</f>
        <v>0</v>
      </c>
      <c r="I258" s="991">
        <f>'[1]CLASSE 6'!E468</f>
        <v>0</v>
      </c>
      <c r="J258" s="992">
        <f t="shared" ref="J258:J276" si="27">H258-I258</f>
        <v>0</v>
      </c>
      <c r="K258" s="993">
        <f t="shared" ref="K258:K276" si="28">IF(L258=0,0,O258)</f>
        <v>0</v>
      </c>
      <c r="L258" s="220">
        <f t="shared" ref="L258:L276" si="29">H258-I258</f>
        <v>0</v>
      </c>
      <c r="M258" s="2">
        <f t="shared" ref="M258:M276" si="30">IF(I258=0,1,IF(I258&lt;0,(H258-I258)/-I258,(H258-I258)/I258))</f>
        <v>1</v>
      </c>
      <c r="N258" s="2">
        <f t="shared" ref="N258:N276" si="31">IF(L258=H258,IF(H258&lt;0,-1,0),0)</f>
        <v>0</v>
      </c>
      <c r="O258" s="2">
        <f t="shared" ref="O258:O276" si="32">IF(N258=-1,-1,M258)</f>
        <v>1</v>
      </c>
    </row>
    <row r="259" spans="2:15">
      <c r="B259" s="989">
        <v>6781</v>
      </c>
      <c r="C259" s="990" t="str">
        <f>IF([1]ACCUEIL!B1=1,"Losses and charges on life annuities","Pertes et charges sur rentes viagères")</f>
        <v>Pertes et charges sur rentes viagères</v>
      </c>
      <c r="D259" s="1047"/>
      <c r="E259" s="399"/>
      <c r="F259" s="399"/>
      <c r="G259" s="1048"/>
      <c r="H259" s="991">
        <f>'[1]CLASSE 6'!I472</f>
        <v>0</v>
      </c>
      <c r="I259" s="991">
        <f>'[1]CLASSE 6'!E472</f>
        <v>0</v>
      </c>
      <c r="J259" s="992">
        <f t="shared" si="27"/>
        <v>0</v>
      </c>
      <c r="K259" s="993">
        <f t="shared" si="28"/>
        <v>0</v>
      </c>
      <c r="L259" s="220">
        <f t="shared" si="29"/>
        <v>0</v>
      </c>
      <c r="M259" s="2">
        <f t="shared" si="30"/>
        <v>1</v>
      </c>
      <c r="N259" s="2">
        <f t="shared" si="31"/>
        <v>0</v>
      </c>
      <c r="O259" s="2">
        <f t="shared" si="32"/>
        <v>1</v>
      </c>
    </row>
    <row r="260" spans="2:15">
      <c r="B260" s="989">
        <v>6782</v>
      </c>
      <c r="C260" s="990" t="str">
        <f>IF([1]ACCUEIL!B1=1,"Losses and charges on financial transactions","Pertes et charges sur opérations financières")</f>
        <v>Pertes et charges sur opérations financières</v>
      </c>
      <c r="D260" s="1047"/>
      <c r="E260" s="399"/>
      <c r="F260" s="399"/>
      <c r="G260" s="1048"/>
      <c r="H260" s="991">
        <f>'[1]CLASSE 6'!I474</f>
        <v>0</v>
      </c>
      <c r="I260" s="991">
        <f>'[1]CLASSE 6'!E474</f>
        <v>0</v>
      </c>
      <c r="J260" s="992">
        <f t="shared" si="27"/>
        <v>0</v>
      </c>
      <c r="K260" s="993">
        <f t="shared" si="28"/>
        <v>0</v>
      </c>
      <c r="L260" s="220">
        <f t="shared" si="29"/>
        <v>0</v>
      </c>
      <c r="M260" s="2">
        <f t="shared" si="30"/>
        <v>1</v>
      </c>
      <c r="N260" s="2">
        <f t="shared" si="31"/>
        <v>0</v>
      </c>
      <c r="O260" s="2">
        <f t="shared" si="32"/>
        <v>1</v>
      </c>
    </row>
    <row r="261" spans="2:15">
      <c r="B261" s="989">
        <v>6784</v>
      </c>
      <c r="C261" s="990" t="str">
        <f>IF([1]ACCUEIL!B1=1,"Losses and charges on cash instruments","Pertes et charges sur instrument de trésorerie")</f>
        <v>Pertes et charges sur instrument de trésorerie</v>
      </c>
      <c r="D261" s="1047"/>
      <c r="E261" s="399"/>
      <c r="F261" s="399"/>
      <c r="G261" s="1048"/>
      <c r="H261" s="991">
        <f>'[1]CLASSE 6'!I476</f>
        <v>0</v>
      </c>
      <c r="I261" s="991">
        <f>'[1]CLASSE 6'!E476</f>
        <v>0</v>
      </c>
      <c r="J261" s="992">
        <f t="shared" si="27"/>
        <v>0</v>
      </c>
      <c r="K261" s="993">
        <f t="shared" si="28"/>
        <v>0</v>
      </c>
      <c r="L261" s="220">
        <f t="shared" si="29"/>
        <v>0</v>
      </c>
      <c r="M261" s="2">
        <f t="shared" si="30"/>
        <v>1</v>
      </c>
      <c r="N261" s="2">
        <f t="shared" si="31"/>
        <v>0</v>
      </c>
      <c r="O261" s="2">
        <f t="shared" si="32"/>
        <v>1</v>
      </c>
    </row>
    <row r="262" spans="2:15">
      <c r="B262" s="989">
        <v>6791</v>
      </c>
      <c r="C262" s="990" t="str">
        <f>IF([1]ACCUEIL!B1=1,"Charges for depreciation and provisions for short-term financial risks","Charges pour dépréciations et provisions sur risques financiers à court terme")</f>
        <v>Charges pour dépréciations et provisions sur risques financiers à court terme</v>
      </c>
      <c r="D262" s="1047"/>
      <c r="E262" s="399"/>
      <c r="F262" s="399"/>
      <c r="G262" s="1048"/>
      <c r="H262" s="991">
        <f>'[1]CLASSE 6'!I480</f>
        <v>0</v>
      </c>
      <c r="I262" s="991">
        <f>'[1]CLASSE 6'!E480</f>
        <v>0</v>
      </c>
      <c r="J262" s="992">
        <f t="shared" si="27"/>
        <v>0</v>
      </c>
      <c r="K262" s="993">
        <f t="shared" si="28"/>
        <v>0</v>
      </c>
      <c r="L262" s="220">
        <f t="shared" si="29"/>
        <v>0</v>
      </c>
      <c r="M262" s="2">
        <f t="shared" si="30"/>
        <v>1</v>
      </c>
      <c r="N262" s="2">
        <f t="shared" si="31"/>
        <v>0</v>
      </c>
      <c r="O262" s="2">
        <f t="shared" si="32"/>
        <v>1</v>
      </c>
    </row>
    <row r="263" spans="2:15">
      <c r="B263" s="989">
        <v>6795</v>
      </c>
      <c r="C263" s="990" t="str">
        <f>IF([1]ACCUEIL!B1=1,"Charges for depreciation and provisions on investment securities","Charges pour dépréciations et provisions sur titres de placement")</f>
        <v>Charges pour dépréciations et provisions sur titres de placement</v>
      </c>
      <c r="D263" s="1047"/>
      <c r="E263" s="399"/>
      <c r="F263" s="399"/>
      <c r="G263" s="1048"/>
      <c r="H263" s="991">
        <f>'[1]CLASSE 6'!I482</f>
        <v>0</v>
      </c>
      <c r="I263" s="991">
        <f>'[1]CLASSE 6'!E482</f>
        <v>0</v>
      </c>
      <c r="J263" s="992">
        <f t="shared" si="27"/>
        <v>0</v>
      </c>
      <c r="K263" s="993">
        <f t="shared" si="28"/>
        <v>0</v>
      </c>
      <c r="L263" s="220">
        <f t="shared" si="29"/>
        <v>0</v>
      </c>
      <c r="M263" s="2">
        <f t="shared" si="30"/>
        <v>1</v>
      </c>
      <c r="N263" s="2">
        <f t="shared" si="31"/>
        <v>0</v>
      </c>
      <c r="O263" s="2">
        <f t="shared" si="32"/>
        <v>1</v>
      </c>
    </row>
    <row r="264" spans="2:15" ht="15.75" thickBot="1">
      <c r="B264" s="989">
        <v>6798</v>
      </c>
      <c r="C264" s="990" t="str">
        <f>IF([1]ACCUEIL!B1=1,"Other charges for depreciation and provisions for short-term financial risks","Autres charges pour dépréciations et provisions pour risques à court terme financières")</f>
        <v>Autres charges pour dépréciations et provisions pour risques à court terme financières</v>
      </c>
      <c r="D264" s="1047"/>
      <c r="E264" s="399"/>
      <c r="F264" s="399"/>
      <c r="G264" s="1048"/>
      <c r="H264" s="1002">
        <f>'[1]CLASSE 6'!I484</f>
        <v>0</v>
      </c>
      <c r="I264" s="1002">
        <f>'[1]CLASSE 6'!E484</f>
        <v>0</v>
      </c>
      <c r="J264" s="992">
        <f t="shared" si="27"/>
        <v>0</v>
      </c>
      <c r="K264" s="993">
        <f t="shared" si="28"/>
        <v>0</v>
      </c>
      <c r="L264" s="220">
        <f t="shared" si="29"/>
        <v>0</v>
      </c>
      <c r="M264" s="2">
        <f t="shared" si="30"/>
        <v>1</v>
      </c>
      <c r="N264" s="2">
        <f t="shared" si="31"/>
        <v>0</v>
      </c>
      <c r="O264" s="2">
        <f t="shared" si="32"/>
        <v>1</v>
      </c>
    </row>
    <row r="265" spans="2:15" ht="16.5" thickTop="1" thickBot="1">
      <c r="B265" s="995" t="s">
        <v>129</v>
      </c>
      <c r="C265" s="996"/>
      <c r="D265" s="997" t="str">
        <f>IF([1]ACCUEIL!B1=1,"
Financial costs and similar charges","Frais financiers et charges assimilés")</f>
        <v>Frais financiers et charges assimilés</v>
      </c>
      <c r="E265" s="1084"/>
      <c r="F265" s="1084"/>
      <c r="G265" s="1085"/>
      <c r="H265" s="998">
        <f>SUM(H257:H264,H229:H245)</f>
        <v>0</v>
      </c>
      <c r="I265" s="998">
        <f>SUM(I257:I264,I229:I245)</f>
        <v>0</v>
      </c>
      <c r="J265" s="992">
        <f t="shared" si="27"/>
        <v>0</v>
      </c>
      <c r="K265" s="993">
        <f t="shared" si="28"/>
        <v>0</v>
      </c>
      <c r="L265" s="220">
        <f t="shared" si="29"/>
        <v>0</v>
      </c>
      <c r="M265" s="2">
        <f t="shared" si="30"/>
        <v>1</v>
      </c>
      <c r="N265" s="2">
        <f t="shared" si="31"/>
        <v>0</v>
      </c>
      <c r="O265" s="2">
        <f t="shared" si="32"/>
        <v>1</v>
      </c>
    </row>
    <row r="266" spans="2:15" ht="15.75" thickTop="1">
      <c r="B266" s="989">
        <v>6812</v>
      </c>
      <c r="C266" s="990" t="str">
        <f>IF([1]ACCUEIL!B1=1,"Amortization of intangible assets","Dotations aux amortissements des immobilisations incorporelles")</f>
        <v>Dotations aux amortissements des immobilisations incorporelles</v>
      </c>
      <c r="D266" s="1047"/>
      <c r="E266" s="399"/>
      <c r="F266" s="399"/>
      <c r="G266" s="1048"/>
      <c r="H266" s="991">
        <f>'[1]CLASSE 6'!I488</f>
        <v>0</v>
      </c>
      <c r="I266" s="991">
        <f>'[1]CLASSE 6'!E488</f>
        <v>0</v>
      </c>
      <c r="J266" s="992">
        <f t="shared" si="27"/>
        <v>0</v>
      </c>
      <c r="K266" s="993">
        <f t="shared" si="28"/>
        <v>0</v>
      </c>
      <c r="L266" s="220">
        <f t="shared" si="29"/>
        <v>0</v>
      </c>
      <c r="M266" s="2">
        <f t="shared" si="30"/>
        <v>1</v>
      </c>
      <c r="N266" s="2">
        <f t="shared" si="31"/>
        <v>0</v>
      </c>
      <c r="O266" s="2">
        <f t="shared" si="32"/>
        <v>1</v>
      </c>
    </row>
    <row r="267" spans="2:15">
      <c r="B267" s="989">
        <v>6813</v>
      </c>
      <c r="C267" s="990" t="str">
        <f>IF([1]ACCUEIL!B1=1,"Depreciation of tangible fixed assets","Dotations aux amortissements des immobilisations corporelles")</f>
        <v>Dotations aux amortissements des immobilisations corporelles</v>
      </c>
      <c r="D267" s="1047"/>
      <c r="E267" s="399"/>
      <c r="F267" s="399"/>
      <c r="G267" s="1048"/>
      <c r="H267" s="991">
        <f>'[1]CLASSE 6'!I490</f>
        <v>0</v>
      </c>
      <c r="I267" s="991">
        <f>'[1]CLASSE 6'!E490</f>
        <v>0</v>
      </c>
      <c r="J267" s="992">
        <f t="shared" si="27"/>
        <v>0</v>
      </c>
      <c r="K267" s="993">
        <f t="shared" si="28"/>
        <v>0</v>
      </c>
      <c r="L267" s="220">
        <f t="shared" si="29"/>
        <v>0</v>
      </c>
      <c r="M267" s="2">
        <f t="shared" si="30"/>
        <v>1</v>
      </c>
      <c r="N267" s="2">
        <f t="shared" si="31"/>
        <v>0</v>
      </c>
      <c r="O267" s="2">
        <f t="shared" si="32"/>
        <v>1</v>
      </c>
    </row>
    <row r="268" spans="2:15">
      <c r="B268" s="989">
        <v>6911</v>
      </c>
      <c r="C268" s="990" t="str">
        <f>IF([1]ACCUEIL!B1=1,"Allocations to provisions for risks and charges","Dotations aux provisions pour risques et charges")</f>
        <v>Dotations aux provisions pour risques et charges</v>
      </c>
      <c r="D268" s="1047"/>
      <c r="E268" s="399"/>
      <c r="F268" s="399"/>
      <c r="G268" s="1048"/>
      <c r="H268" s="991">
        <f>'[1]CLASSE 6'!I494</f>
        <v>0</v>
      </c>
      <c r="I268" s="991">
        <f>'[1]CLASSE 6'!E494</f>
        <v>0</v>
      </c>
      <c r="J268" s="992">
        <f t="shared" si="27"/>
        <v>0</v>
      </c>
      <c r="K268" s="993">
        <f t="shared" si="28"/>
        <v>0</v>
      </c>
      <c r="L268" s="220">
        <f t="shared" si="29"/>
        <v>0</v>
      </c>
      <c r="M268" s="2">
        <f t="shared" si="30"/>
        <v>1</v>
      </c>
      <c r="N268" s="2">
        <f t="shared" si="31"/>
        <v>0</v>
      </c>
      <c r="O268" s="2">
        <f t="shared" si="32"/>
        <v>1</v>
      </c>
    </row>
    <row r="269" spans="2:15">
      <c r="B269" s="989">
        <v>6913</v>
      </c>
      <c r="C269" s="990" t="str">
        <f>IF([1]ACCUEIL!B1=1,"Depreciation of intangible assets","Dotations aux dépréciations des immobilisations incorporelles")</f>
        <v>Dotations aux dépréciations des immobilisations incorporelles</v>
      </c>
      <c r="D269" s="1047"/>
      <c r="E269" s="399"/>
      <c r="F269" s="399"/>
      <c r="G269" s="1048"/>
      <c r="H269" s="991">
        <f>'[1]CLASSE 6'!I496</f>
        <v>0</v>
      </c>
      <c r="I269" s="991">
        <f>'[1]CLASSE 6'!E496</f>
        <v>0</v>
      </c>
      <c r="J269" s="992">
        <f t="shared" si="27"/>
        <v>0</v>
      </c>
      <c r="K269" s="993">
        <f t="shared" si="28"/>
        <v>0</v>
      </c>
      <c r="L269" s="220">
        <f t="shared" si="29"/>
        <v>0</v>
      </c>
      <c r="M269" s="2">
        <f t="shared" si="30"/>
        <v>1</v>
      </c>
      <c r="N269" s="2">
        <f t="shared" si="31"/>
        <v>0</v>
      </c>
      <c r="O269" s="2">
        <f t="shared" si="32"/>
        <v>1</v>
      </c>
    </row>
    <row r="270" spans="2:15" ht="15.75" thickBot="1">
      <c r="B270" s="989">
        <v>6914</v>
      </c>
      <c r="C270" s="990" t="str">
        <f>IF([1]ACCUEIL!B1=1,"Depreciation of tangible fixed assets","Dotations aux dépréciations des immobilisations corporelles")</f>
        <v>Dotations aux dépréciations des immobilisations corporelles</v>
      </c>
      <c r="D270" s="1047"/>
      <c r="E270" s="399"/>
      <c r="F270" s="399"/>
      <c r="G270" s="1048"/>
      <c r="H270" s="1086">
        <f>'[1]CLASSE 6'!I498</f>
        <v>0</v>
      </c>
      <c r="I270" s="1086">
        <f>'[1]CLASSE 6'!E498</f>
        <v>0</v>
      </c>
      <c r="J270" s="992">
        <f t="shared" si="27"/>
        <v>0</v>
      </c>
      <c r="K270" s="993">
        <f t="shared" si="28"/>
        <v>0</v>
      </c>
      <c r="L270" s="220">
        <f t="shared" si="29"/>
        <v>0</v>
      </c>
      <c r="M270" s="2">
        <f t="shared" si="30"/>
        <v>1</v>
      </c>
      <c r="N270" s="2">
        <f t="shared" si="31"/>
        <v>0</v>
      </c>
      <c r="O270" s="2">
        <f t="shared" si="32"/>
        <v>1</v>
      </c>
    </row>
    <row r="271" spans="2:15" ht="16.5" thickTop="1" thickBot="1">
      <c r="B271" s="995" t="s">
        <v>123</v>
      </c>
      <c r="C271" s="1087"/>
      <c r="D271" s="997" t="str">
        <f>IF([1]ACCUEIL!B1=1,"Depreciation, provisions and depreciation","Dotations aux amortissements, aux provisions et dépréciations")</f>
        <v>Dotations aux amortissements, aux provisions et dépréciations</v>
      </c>
      <c r="E271" s="399"/>
      <c r="F271" s="399"/>
      <c r="G271" s="1048"/>
      <c r="H271" s="998">
        <f>SUM(H266:H270)</f>
        <v>0</v>
      </c>
      <c r="I271" s="998">
        <f>SUM(I266:I270)</f>
        <v>0</v>
      </c>
      <c r="J271" s="992">
        <f t="shared" si="27"/>
        <v>0</v>
      </c>
      <c r="K271" s="993">
        <f t="shared" si="28"/>
        <v>0</v>
      </c>
      <c r="L271" s="220">
        <f t="shared" si="29"/>
        <v>0</v>
      </c>
      <c r="M271" s="2">
        <f t="shared" si="30"/>
        <v>1</v>
      </c>
      <c r="N271" s="2">
        <f t="shared" si="31"/>
        <v>0</v>
      </c>
      <c r="O271" s="2">
        <f t="shared" si="32"/>
        <v>1</v>
      </c>
    </row>
    <row r="272" spans="2:15" ht="15.75" thickTop="1">
      <c r="B272" s="989">
        <v>6971</v>
      </c>
      <c r="C272" s="990" t="str">
        <f>IF([1]ACCUEIL!B1=1,"Allocations to provisions for financial risks and charges","Dotations aux provisions pour risques et charges financières")</f>
        <v>Dotations aux provisions pour risques et charges financières</v>
      </c>
      <c r="D272" s="1047"/>
      <c r="E272" s="399"/>
      <c r="F272" s="399"/>
      <c r="G272" s="1088"/>
      <c r="H272" s="1000">
        <f>'[1]CLASSE 6'!I502</f>
        <v>0</v>
      </c>
      <c r="I272" s="1000">
        <f>'[1]CLASSE 6'!E502</f>
        <v>0</v>
      </c>
      <c r="J272" s="992">
        <f t="shared" si="27"/>
        <v>0</v>
      </c>
      <c r="K272" s="993">
        <f t="shared" si="28"/>
        <v>0</v>
      </c>
      <c r="L272" s="220">
        <f t="shared" si="29"/>
        <v>0</v>
      </c>
      <c r="M272" s="2">
        <f t="shared" si="30"/>
        <v>1</v>
      </c>
      <c r="N272" s="2">
        <f t="shared" si="31"/>
        <v>0</v>
      </c>
      <c r="O272" s="2">
        <f t="shared" si="32"/>
        <v>1</v>
      </c>
    </row>
    <row r="273" spans="2:15" ht="15.75" thickBot="1">
      <c r="B273" s="989">
        <v>6972</v>
      </c>
      <c r="C273" s="990" t="str">
        <f>IF([1]ACCUEIL!B1=1,"Depreciation of financial fixed assets","Dotations aux dépréciations des immobilisations financières")</f>
        <v>Dotations aux dépréciations des immobilisations financières</v>
      </c>
      <c r="D273" s="1047"/>
      <c r="E273" s="399"/>
      <c r="F273" s="399"/>
      <c r="G273" s="1088"/>
      <c r="H273" s="1089">
        <f>'[1]CLASSE 6'!I504</f>
        <v>0</v>
      </c>
      <c r="I273" s="1089">
        <f>'[1]CLASSE 6'!E504</f>
        <v>0</v>
      </c>
      <c r="J273" s="992">
        <f t="shared" si="27"/>
        <v>0</v>
      </c>
      <c r="K273" s="993">
        <f t="shared" si="28"/>
        <v>0</v>
      </c>
      <c r="L273" s="220">
        <f t="shared" si="29"/>
        <v>0</v>
      </c>
      <c r="M273" s="2">
        <f t="shared" si="30"/>
        <v>1</v>
      </c>
      <c r="N273" s="2">
        <f t="shared" si="31"/>
        <v>0</v>
      </c>
      <c r="O273" s="2">
        <f t="shared" si="32"/>
        <v>1</v>
      </c>
    </row>
    <row r="274" spans="2:15" ht="16.5" thickTop="1" thickBot="1">
      <c r="B274" s="1050" t="s">
        <v>130</v>
      </c>
      <c r="C274" s="1051"/>
      <c r="D274" s="1052" t="str">
        <f>IF([1]ACCUEIL!B1=1,"Allocations to provisions and financial depreciation","Dotations aux provisions et aux dépréciations financières")</f>
        <v>Dotations aux provisions et aux dépréciations financières</v>
      </c>
      <c r="E274" s="1090"/>
      <c r="F274" s="1090"/>
      <c r="G274" s="1091"/>
      <c r="H274" s="998">
        <f>SUM(H272:H273)</f>
        <v>0</v>
      </c>
      <c r="I274" s="998">
        <f>SUM(I272:I273)</f>
        <v>0</v>
      </c>
      <c r="J274" s="992">
        <f>H274-I274</f>
        <v>0</v>
      </c>
      <c r="K274" s="993">
        <f t="shared" si="28"/>
        <v>0</v>
      </c>
      <c r="L274" s="220">
        <f t="shared" si="29"/>
        <v>0</v>
      </c>
      <c r="M274" s="2">
        <f t="shared" si="30"/>
        <v>1</v>
      </c>
      <c r="N274" s="2">
        <f t="shared" si="31"/>
        <v>0</v>
      </c>
      <c r="O274" s="2">
        <f t="shared" si="32"/>
        <v>1</v>
      </c>
    </row>
    <row r="275" spans="2:15" ht="15.75" thickTop="1">
      <c r="B275" s="1092"/>
      <c r="C275" s="399"/>
      <c r="D275" s="399"/>
      <c r="E275" s="399"/>
      <c r="F275" s="399"/>
      <c r="G275" s="399"/>
      <c r="H275" s="1000"/>
      <c r="I275" s="1000"/>
      <c r="J275" s="992">
        <f t="shared" si="27"/>
        <v>0</v>
      </c>
      <c r="K275" s="993">
        <f t="shared" si="28"/>
        <v>0</v>
      </c>
      <c r="L275" s="220">
        <f t="shared" si="29"/>
        <v>0</v>
      </c>
      <c r="M275" s="2">
        <f t="shared" si="30"/>
        <v>1</v>
      </c>
      <c r="N275" s="2">
        <f t="shared" si="31"/>
        <v>0</v>
      </c>
      <c r="O275" s="2">
        <f t="shared" si="32"/>
        <v>1</v>
      </c>
    </row>
    <row r="276" spans="2:15">
      <c r="B276" s="2177" t="str">
        <f>IF([1]ACCUEIL!B1=1,"TOTAL ORDINARY EXPENSES","TOTAL DES CHARGES ORDINAIRES")</f>
        <v>TOTAL DES CHARGES ORDINAIRES</v>
      </c>
      <c r="C276" s="2178"/>
      <c r="D276" s="2178"/>
      <c r="E276" s="2178"/>
      <c r="F276" s="2178"/>
      <c r="G276" s="2179"/>
      <c r="H276" s="1093">
        <f>H19+H21+H28+H30+H53+H55+H63+H145+H164+H192+H228+H265+H271+H274</f>
        <v>0</v>
      </c>
      <c r="I276" s="1093">
        <f>I19+I21+I28+I30+I53+I55+I63+I145+I164+I192+I228+I265+I271+I274</f>
        <v>0</v>
      </c>
      <c r="J276" s="1011">
        <f t="shared" si="27"/>
        <v>0</v>
      </c>
      <c r="K276" s="1055">
        <f t="shared" si="28"/>
        <v>0</v>
      </c>
      <c r="L276" s="220">
        <f t="shared" si="29"/>
        <v>0</v>
      </c>
      <c r="M276" s="2">
        <f t="shared" si="30"/>
        <v>1</v>
      </c>
      <c r="N276" s="2">
        <f t="shared" si="31"/>
        <v>0</v>
      </c>
      <c r="O276" s="2">
        <f t="shared" si="32"/>
        <v>1</v>
      </c>
    </row>
  </sheetData>
  <sheetProtection selectLockedCells="1" selectUnlockedCells="1"/>
  <mergeCells count="25">
    <mergeCell ref="B276:G276"/>
    <mergeCell ref="B246:C246"/>
    <mergeCell ref="D246:F246"/>
    <mergeCell ref="G246:I246"/>
    <mergeCell ref="B252:K252"/>
    <mergeCell ref="J254:K254"/>
    <mergeCell ref="B255:G255"/>
    <mergeCell ref="B174:G174"/>
    <mergeCell ref="B82:C82"/>
    <mergeCell ref="D82:F82"/>
    <mergeCell ref="G82:I82"/>
    <mergeCell ref="B88:K88"/>
    <mergeCell ref="J90:K90"/>
    <mergeCell ref="B91:G91"/>
    <mergeCell ref="B165:C165"/>
    <mergeCell ref="D165:F165"/>
    <mergeCell ref="G165:I165"/>
    <mergeCell ref="B171:K171"/>
    <mergeCell ref="J173:K173"/>
    <mergeCell ref="B11:G11"/>
    <mergeCell ref="B2:C2"/>
    <mergeCell ref="D2:F2"/>
    <mergeCell ref="G2:I2"/>
    <mergeCell ref="B8:K8"/>
    <mergeCell ref="J10:K10"/>
  </mergeCells>
  <printOptions horizontalCentered="1"/>
  <pageMargins left="0.78740157480314965" right="0" top="0.59055118110236227" bottom="0.19685039370078741" header="0.31496062992125984" footer="0.51181102362204722"/>
  <pageSetup paperSize="9" scale="55" fitToWidth="0" fitToHeight="0" orientation="portrait" r:id="rId1"/>
  <headerFooter>
    <oddHeader>&amp;C&amp;"-,Gras"&amp;20Page &amp;P / &amp;N</oddHeader>
  </headerFooter>
  <rowBreaks count="3" manualBreakCount="3">
    <brk id="81" min="1" max="10" man="1"/>
    <brk id="164" min="1" max="10" man="1"/>
    <brk id="245" min="1" max="10"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64</vt:i4>
      </vt:variant>
      <vt:variant>
        <vt:lpstr>Plages nommées</vt:lpstr>
      </vt:variant>
      <vt:variant>
        <vt:i4>63</vt:i4>
      </vt:variant>
    </vt:vector>
  </HeadingPairs>
  <TitlesOfParts>
    <vt:vector size="127" baseType="lpstr">
      <vt:lpstr>PAGE DE GARDE</vt:lpstr>
      <vt:lpstr>FICHE R1</vt:lpstr>
      <vt:lpstr>FICHE R2</vt:lpstr>
      <vt:lpstr>dirigeants</vt:lpstr>
      <vt:lpstr>ACTIF</vt:lpstr>
      <vt:lpstr>PASSIF</vt:lpstr>
      <vt:lpstr>BILAN paysage</vt:lpstr>
      <vt:lpstr>COMPTE DE RESULTAT</vt:lpstr>
      <vt:lpstr>TABLEAU DE FLUX DE TRESORERIE</vt:lpstr>
      <vt:lpstr>NOTES ANNEXES</vt:lpstr>
      <vt:lpstr>Imprimer</vt:lpstr>
      <vt:lpstr>NOTE 1</vt:lpstr>
      <vt:lpstr>NOTE 2</vt:lpstr>
      <vt:lpstr>NOTE 3 A</vt:lpstr>
      <vt:lpstr>NOTE 3 B</vt:lpstr>
      <vt:lpstr>NOTE 3 C</vt:lpstr>
      <vt:lpstr>NOTE 3C Bis</vt:lpstr>
      <vt:lpstr>NOTE 3 D</vt:lpstr>
      <vt:lpstr>NOTE 3 E</vt:lpstr>
      <vt:lpstr>NOTE 4</vt:lpstr>
      <vt:lpstr>NOTE 5</vt:lpstr>
      <vt:lpstr>NOTE 6</vt:lpstr>
      <vt:lpstr>NOTE 7</vt:lpstr>
      <vt:lpstr>NOTE 8</vt:lpstr>
      <vt:lpstr>NOTE 8 A</vt:lpstr>
      <vt:lpstr>NOTE 8 B</vt:lpstr>
      <vt:lpstr>NOTE 8 C</vt:lpstr>
      <vt:lpstr>NOTE 9</vt:lpstr>
      <vt:lpstr>NOTE 10</vt:lpstr>
      <vt:lpstr>NOTE 11</vt:lpstr>
      <vt:lpstr>NOTE 12</vt:lpstr>
      <vt:lpstr>NOTE 13</vt:lpstr>
      <vt:lpstr>NOTE 14</vt:lpstr>
      <vt:lpstr>NOTE 15 A</vt:lpstr>
      <vt:lpstr>NOTE 15 B</vt:lpstr>
      <vt:lpstr>NOTE 16 A</vt:lpstr>
      <vt:lpstr>NOTE 16 B</vt:lpstr>
      <vt:lpstr>NOTE 16 B bis</vt:lpstr>
      <vt:lpstr>NOTE 16 C</vt:lpstr>
      <vt:lpstr>NOTE 17</vt:lpstr>
      <vt:lpstr>NOTE 18</vt:lpstr>
      <vt:lpstr>NOTE 19</vt:lpstr>
      <vt:lpstr>NOTE 20</vt:lpstr>
      <vt:lpstr>NOTE 21</vt:lpstr>
      <vt:lpstr>NOTE 22</vt:lpstr>
      <vt:lpstr>NOTE 23</vt:lpstr>
      <vt:lpstr>NOTE 24</vt:lpstr>
      <vt:lpstr>NOTE 25</vt:lpstr>
      <vt:lpstr>NOTE 26</vt:lpstr>
      <vt:lpstr>NOTE 27 A</vt:lpstr>
      <vt:lpstr>NOTE 27 B</vt:lpstr>
      <vt:lpstr>NOTE 28 A</vt:lpstr>
      <vt:lpstr>NOTE 28 B</vt:lpstr>
      <vt:lpstr>NOTE 28 C</vt:lpstr>
      <vt:lpstr>NOTE 29</vt:lpstr>
      <vt:lpstr>NOTE 30</vt:lpstr>
      <vt:lpstr>NOTE 31</vt:lpstr>
      <vt:lpstr>NOTE 32</vt:lpstr>
      <vt:lpstr>NOTE 33</vt:lpstr>
      <vt:lpstr>NOTE 34</vt:lpstr>
      <vt:lpstr>NOTE 35</vt:lpstr>
      <vt:lpstr>NOTE 36 TABLEAU DE CODES</vt:lpstr>
      <vt:lpstr>CODES ACTIVITES ECONOMIQUES</vt:lpstr>
      <vt:lpstr>DETAIL DES CHARGES</vt:lpstr>
      <vt:lpstr>ACTIF!Zone_d_impression</vt:lpstr>
      <vt:lpstr>'BILAN paysage'!Zone_d_impression</vt:lpstr>
      <vt:lpstr>'CODES ACTIVITES ECONOMIQUES'!Zone_d_impression</vt:lpstr>
      <vt:lpstr>'COMPTE DE RESULTAT'!Zone_d_impression</vt:lpstr>
      <vt:lpstr>'DETAIL DES CHARGES'!Zone_d_impression</vt:lpstr>
      <vt:lpstr>dirigeants!Zone_d_impression</vt:lpstr>
      <vt:lpstr>'FICHE R1'!Zone_d_impression</vt:lpstr>
      <vt:lpstr>'FICHE R2'!Zone_d_impression</vt:lpstr>
      <vt:lpstr>'NOTE 1'!Zone_d_impression</vt:lpstr>
      <vt:lpstr>'NOTE 10'!Zone_d_impression</vt:lpstr>
      <vt:lpstr>'NOTE 11'!Zone_d_impression</vt:lpstr>
      <vt:lpstr>'NOTE 12'!Zone_d_impression</vt:lpstr>
      <vt:lpstr>'NOTE 13'!Zone_d_impression</vt:lpstr>
      <vt:lpstr>'NOTE 14'!Zone_d_impression</vt:lpstr>
      <vt:lpstr>'NOTE 15 A'!Zone_d_impression</vt:lpstr>
      <vt:lpstr>'NOTE 15 B'!Zone_d_impression</vt:lpstr>
      <vt:lpstr>'NOTE 16 A'!Zone_d_impression</vt:lpstr>
      <vt:lpstr>'NOTE 16 B'!Zone_d_impression</vt:lpstr>
      <vt:lpstr>'NOTE 16 B bis'!Zone_d_impression</vt:lpstr>
      <vt:lpstr>'NOTE 16 C'!Zone_d_impression</vt:lpstr>
      <vt:lpstr>'NOTE 17'!Zone_d_impression</vt:lpstr>
      <vt:lpstr>'NOTE 18'!Zone_d_impression</vt:lpstr>
      <vt:lpstr>'NOTE 19'!Zone_d_impression</vt:lpstr>
      <vt:lpstr>'NOTE 2'!Zone_d_impression</vt:lpstr>
      <vt:lpstr>'NOTE 20'!Zone_d_impression</vt:lpstr>
      <vt:lpstr>'NOTE 21'!Zone_d_impression</vt:lpstr>
      <vt:lpstr>'NOTE 22'!Zone_d_impression</vt:lpstr>
      <vt:lpstr>'NOTE 23'!Zone_d_impression</vt:lpstr>
      <vt:lpstr>'NOTE 24'!Zone_d_impression</vt:lpstr>
      <vt:lpstr>'NOTE 25'!Zone_d_impression</vt:lpstr>
      <vt:lpstr>'NOTE 26'!Zone_d_impression</vt:lpstr>
      <vt:lpstr>'NOTE 27 A'!Zone_d_impression</vt:lpstr>
      <vt:lpstr>'NOTE 27 B'!Zone_d_impression</vt:lpstr>
      <vt:lpstr>'NOTE 28 A'!Zone_d_impression</vt:lpstr>
      <vt:lpstr>'NOTE 28 B'!Zone_d_impression</vt:lpstr>
      <vt:lpstr>'NOTE 28 C'!Zone_d_impression</vt:lpstr>
      <vt:lpstr>'NOTE 29'!Zone_d_impression</vt:lpstr>
      <vt:lpstr>'NOTE 3 A'!Zone_d_impression</vt:lpstr>
      <vt:lpstr>'NOTE 3 B'!Zone_d_impression</vt:lpstr>
      <vt:lpstr>'NOTE 3 C'!Zone_d_impression</vt:lpstr>
      <vt:lpstr>'NOTE 3 D'!Zone_d_impression</vt:lpstr>
      <vt:lpstr>'NOTE 3 E'!Zone_d_impression</vt:lpstr>
      <vt:lpstr>'NOTE 30'!Zone_d_impression</vt:lpstr>
      <vt:lpstr>'NOTE 31'!Zone_d_impression</vt:lpstr>
      <vt:lpstr>'NOTE 32'!Zone_d_impression</vt:lpstr>
      <vt:lpstr>'NOTE 33'!Zone_d_impression</vt:lpstr>
      <vt:lpstr>'NOTE 34'!Zone_d_impression</vt:lpstr>
      <vt:lpstr>'NOTE 35'!Zone_d_impression</vt:lpstr>
      <vt:lpstr>'NOTE 36 TABLEAU DE CODES'!Zone_d_impression</vt:lpstr>
      <vt:lpstr>'NOTE 3C Bis'!Zone_d_impression</vt:lpstr>
      <vt:lpstr>'NOTE 4'!Zone_d_impression</vt:lpstr>
      <vt:lpstr>'NOTE 5'!Zone_d_impression</vt:lpstr>
      <vt:lpstr>'NOTE 6'!Zone_d_impression</vt:lpstr>
      <vt:lpstr>'NOTE 7'!Zone_d_impression</vt:lpstr>
      <vt:lpstr>'NOTE 8'!Zone_d_impression</vt:lpstr>
      <vt:lpstr>'NOTE 8 A'!Zone_d_impression</vt:lpstr>
      <vt:lpstr>'NOTE 8 B'!Zone_d_impression</vt:lpstr>
      <vt:lpstr>'NOTE 8 C'!Zone_d_impression</vt:lpstr>
      <vt:lpstr>'NOTE 9'!Zone_d_impression</vt:lpstr>
      <vt:lpstr>'NOTES ANNEXES'!Zone_d_impression</vt:lpstr>
      <vt:lpstr>'PAGE DE GARDE'!Zone_d_impression</vt:lpstr>
      <vt:lpstr>PASSIF!Zone_d_impression</vt:lpstr>
      <vt:lpstr>'TABLEAU DE FLUX DE TRESORERIE'!Zone_d_impression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Boubacar Fatoumata</dc:creator>
  <cp:keywords/>
  <dc:description/>
  <cp:lastModifiedBy>SOW Boubacar Fatoumata</cp:lastModifiedBy>
  <cp:revision/>
  <dcterms:created xsi:type="dcterms:W3CDTF">2021-08-18T17:24:44Z</dcterms:created>
  <dcterms:modified xsi:type="dcterms:W3CDTF">2026-05-08T12:32:06Z</dcterms:modified>
  <cp:category/>
  <cp:contentStatus/>
</cp:coreProperties>
</file>